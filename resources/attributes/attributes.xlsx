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F3FB850F-56A0-6340-9D0C-4165F339DF5B}" xr6:coauthVersionLast="47" xr6:coauthVersionMax="47" xr10:uidLastSave="{00000000-0000-0000-0000-000000000000}"/>
  <bookViews>
    <workbookView xWindow="6280" yWindow="130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8" i="2" l="1"/>
  <c r="C438" i="2"/>
  <c r="C636" i="2"/>
  <c r="C942" i="2"/>
  <c r="C941" i="2"/>
  <c r="C940" i="2"/>
  <c r="C939" i="2"/>
  <c r="C938" i="2"/>
  <c r="C932" i="2"/>
  <c r="C933" i="2"/>
  <c r="C934" i="2"/>
  <c r="C935" i="2"/>
  <c r="C936" i="2"/>
  <c r="C937" i="2"/>
  <c r="C931" i="2"/>
  <c r="C930" i="2"/>
  <c r="C929" i="2"/>
  <c r="C928" i="2"/>
  <c r="C807" i="2"/>
  <c r="C806" i="2"/>
  <c r="C805" i="2"/>
  <c r="C403" i="2"/>
  <c r="C421" i="2"/>
  <c r="C420" i="2"/>
  <c r="C838" i="2"/>
  <c r="C470" i="2"/>
  <c r="C469" i="2"/>
  <c r="C468" i="2"/>
  <c r="C837" i="2"/>
  <c r="C842" i="2"/>
  <c r="C841" i="2"/>
  <c r="C840" i="2"/>
  <c r="C839" i="2"/>
  <c r="C836" i="2"/>
  <c r="C835" i="2"/>
  <c r="C761" i="2"/>
  <c r="C922" i="2"/>
  <c r="C921" i="2"/>
  <c r="C920" i="2"/>
  <c r="C919" i="2"/>
  <c r="C918" i="2"/>
  <c r="C917" i="2"/>
  <c r="C916" i="2"/>
  <c r="C915" i="2"/>
  <c r="C914" i="2"/>
  <c r="C913" i="2"/>
  <c r="C912" i="2"/>
  <c r="C911" i="2"/>
  <c r="C910" i="2"/>
  <c r="C909" i="2"/>
  <c r="C908" i="2"/>
  <c r="C907" i="2"/>
  <c r="C906" i="2"/>
  <c r="C905" i="2"/>
  <c r="C904" i="2"/>
  <c r="C215" i="2"/>
  <c r="C219" i="2"/>
  <c r="C450" i="2"/>
  <c r="C457" i="2"/>
  <c r="C456" i="2"/>
  <c r="C788" i="2"/>
  <c r="C787" i="2"/>
  <c r="C786" i="2"/>
  <c r="C777" i="2"/>
  <c r="C927" i="2"/>
  <c r="C926" i="2"/>
  <c r="C925" i="2"/>
  <c r="C924" i="2"/>
  <c r="C923" i="2"/>
  <c r="C707" i="2"/>
  <c r="C419" i="2"/>
  <c r="C799"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4" i="2"/>
  <c r="C803" i="2"/>
  <c r="C802" i="2"/>
  <c r="C801" i="2"/>
  <c r="C800" i="2"/>
  <c r="C798" i="2"/>
  <c r="C797" i="2"/>
  <c r="C796" i="2"/>
  <c r="C795" i="2"/>
  <c r="C794" i="2"/>
  <c r="C793" i="2"/>
  <c r="C792" i="2"/>
  <c r="C791" i="2"/>
  <c r="C790" i="2"/>
  <c r="C789" i="2"/>
  <c r="C785" i="2"/>
  <c r="C784" i="2"/>
  <c r="C783" i="2"/>
  <c r="C782" i="2"/>
  <c r="C781" i="2"/>
  <c r="C780" i="2"/>
  <c r="C779" i="2"/>
  <c r="C778" i="2"/>
  <c r="C776" i="2"/>
  <c r="C775" i="2"/>
  <c r="C774" i="2"/>
  <c r="C773" i="2"/>
  <c r="C772" i="2"/>
  <c r="C771" i="2"/>
  <c r="C770" i="2"/>
  <c r="C769" i="2"/>
  <c r="C768" i="2"/>
  <c r="C767" i="2"/>
  <c r="C766" i="2"/>
  <c r="C765" i="2"/>
  <c r="C764" i="2"/>
  <c r="C763" i="2"/>
  <c r="C762"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67" i="2"/>
  <c r="C466" i="2"/>
  <c r="C465" i="2"/>
  <c r="C464" i="2"/>
  <c r="C463" i="2"/>
  <c r="C462" i="2"/>
  <c r="C461" i="2"/>
  <c r="C460" i="2"/>
  <c r="C459" i="2"/>
  <c r="C458" i="2"/>
  <c r="C455" i="2"/>
  <c r="C454" i="2"/>
  <c r="C453" i="2"/>
  <c r="C452" i="2"/>
  <c r="C451" i="2"/>
  <c r="C449" i="2"/>
  <c r="C448" i="2"/>
  <c r="C447" i="2"/>
  <c r="C446" i="2"/>
  <c r="C445" i="2"/>
  <c r="C444" i="2"/>
  <c r="C443" i="2"/>
  <c r="C442" i="2"/>
  <c r="C441" i="2"/>
  <c r="C440" i="2"/>
  <c r="C439" i="2"/>
  <c r="C437" i="2"/>
  <c r="C436" i="2"/>
  <c r="C435" i="2"/>
  <c r="C434" i="2"/>
  <c r="C433" i="2"/>
  <c r="C432" i="2"/>
  <c r="C431" i="2"/>
  <c r="C430" i="2"/>
  <c r="C429" i="2"/>
  <c r="C428" i="2"/>
  <c r="C427" i="2"/>
  <c r="C426" i="2"/>
  <c r="C425" i="2"/>
  <c r="C424" i="2"/>
  <c r="C423" i="2"/>
  <c r="C422"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<sst xmlns="http://schemas.openxmlformats.org/spreadsheetml/2006/main" count="10501" uniqueCount="3045">
  <si>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</si>
  <si>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</si>
  <si>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</si>
  <si>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</si>
  <si>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</si>
  <si>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</si>
  <si>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</si>
  <si>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</si>
  <si>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</si>
  <si>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</si>
  <si>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</si>
  <si>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</si>
  <si>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</si>
  <si>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</si>
  <si>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</si>
  <si>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</si>
  <si>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</si>
  <si>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</si>
  <si>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</si>
  <si>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</si>
  <si>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</si>
  <si>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</si>
  <si>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</si>
  <si>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</si>
  <si>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</si>
  <si>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</si>
  <si>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</si>
  <si>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</si>
  <si>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</si>
  <si>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</si>
  <si>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</si>
  <si>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</si>
  <si>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</si>
  <si>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</si>
  <si>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</si>
  <si>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</si>
  <si>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</si>
  <si>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</si>
  <si>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</si>
  <si>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</si>
  <si>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</si>
  <si>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</si>
  <si>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</si>
  <si>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</si>
  <si>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</si>
  <si>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</si>
  <si>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</si>
  <si>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</si>
  <si>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</si>
  <si>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</si>
  <si>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</si>
  <si>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</si>
  <si>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</si>
  <si>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</si>
  <si>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</si>
  <si>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</si>
  <si>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</si>
  <si>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</si>
  <si>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</si>
  <si>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</si>
  <si>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</si>
  <si>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</si>
  <si>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</si>
  <si>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</si>
  <si>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</si>
  <si>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</si>
  <si>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</si>
  <si>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</si>
  <si>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</si>
  <si>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</si>
  <si>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</si>
  <si>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</si>
  <si>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</si>
  <si>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</si>
  <si>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</si>
  <si>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</si>
  <si>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</si>
  <si>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</si>
  <si>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</si>
  <si>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</si>
  <si>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</si>
  <si>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</si>
  <si>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</si>
  <si>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</si>
  <si>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</si>
  <si>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</si>
  <si>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</si>
  <si>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</si>
  <si>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</si>
  <si>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</si>
  <si>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</si>
  <si>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</si>
  <si>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</si>
  <si>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</si>
  <si>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</si>
  <si>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</si>
  <si>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</si>
  <si>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</si>
  <si>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</si>
  <si>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</si>
  <si>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</si>
  <si>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</si>
  <si>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</si>
  <si>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</si>
  <si>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</si>
  <si>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</si>
  <si>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</si>
  <si>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</si>
  <si>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</si>
  <si>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</si>
  <si>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</si>
  <si>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</si>
  <si>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</si>
  <si>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</si>
  <si>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</si>
  <si>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</si>
  <si>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</si>
  <si>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</si>
  <si>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</si>
  <si>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</si>
  <si>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</si>
  <si>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</si>
  <si>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</si>
  <si>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</si>
  <si>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</si>
  <si>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</si>
  <si>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</si>
  <si>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</si>
  <si>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</si>
  <si>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</si>
  <si>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</si>
  <si>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</si>
  <si>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</si>
  <si>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</si>
  <si>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</si>
  <si>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</si>
  <si>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</si>
  <si>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</si>
  <si>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</si>
  <si>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</si>
  <si>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</si>
  <si>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</si>
  <si>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</si>
  <si>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</si>
  <si>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</si>
  <si>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</si>
  <si>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</si>
  <si>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</si>
  <si>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</si>
  <si>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</si>
  <si>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</si>
  <si>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</si>
  <si>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</si>
  <si>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</si>
  <si>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</si>
  <si>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</si>
  <si>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</si>
  <si>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</si>
  <si>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</si>
  <si>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</si>
  <si>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</si>
  <si>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</si>
  <si>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</si>
  <si>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</si>
  <si>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</si>
  <si>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</si>
  <si>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</si>
  <si>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</si>
  <si>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</si>
  <si>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</si>
  <si>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</si>
  <si>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</si>
  <si>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</si>
  <si>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</si>
  <si>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</si>
  <si>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</si>
  <si>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</si>
  <si>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</si>
  <si>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</si>
  <si>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</si>
  <si>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</si>
  <si>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</si>
  <si>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</si>
  <si>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</si>
  <si>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</si>
  <si>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</si>
  <si>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</si>
  <si>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</si>
  <si>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</si>
  <si>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</si>
  <si>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</si>
  <si>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</si>
  <si>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</si>
  <si>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</si>
  <si>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</si>
  <si>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</si>
  <si>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</si>
  <si>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</si>
  <si>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</si>
  <si>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</si>
  <si>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</si>
  <si>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</si>
  <si>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</si>
  <si>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</si>
  <si>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</si>
  <si>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</si>
  <si>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</si>
  <si>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</si>
  <si>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</si>
  <si>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</si>
  <si>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</si>
  <si>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</si>
  <si>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</si>
  <si>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</si>
  <si>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</si>
  <si>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</si>
  <si>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</si>
  <si>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</si>
  <si>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</si>
  <si>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</si>
  <si>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</si>
  <si>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</si>
  <si>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</si>
  <si>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</si>
  <si>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</si>
  <si>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</si>
  <si>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</si>
  <si>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</si>
  <si>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</si>
  <si>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</si>
  <si>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</si>
  <si>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</si>
  <si>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</si>
  <si>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</si>
  <si>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</si>
  <si>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</si>
  <si>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</si>
  <si>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</si>
  <si>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</si>
  <si>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</si>
  <si>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</si>
  <si>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</si>
  <si>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</si>
  <si>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</si>
  <si>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</si>
  <si>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</si>
  <si>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</si>
  <si>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</si>
  <si>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</si>
  <si>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</si>
  <si>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</si>
  <si>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</si>
  <si>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</si>
  <si>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</si>
  <si>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</si>
  <si>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</si>
  <si>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</si>
  <si>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</si>
  <si>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</si>
  <si>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</si>
  <si>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</si>
  <si>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</si>
  <si>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</si>
  <si>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</si>
  <si>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</si>
  <si>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</si>
  <si>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</si>
  <si>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</si>
  <si>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</si>
  <si>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</si>
  <si>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</si>
  <si>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</si>
  <si>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</si>
  <si>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</si>
  <si>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</si>
  <si>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</si>
  <si>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</si>
  <si>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</si>
  <si>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</si>
  <si>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</si>
  <si>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</si>
  <si>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</si>
  <si>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</si>
  <si>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</si>
  <si>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</si>
  <si>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</si>
  <si>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</si>
  <si>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</si>
  <si>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</si>
  <si>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</si>
  <si>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</si>
  <si>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</si>
  <si>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</si>
  <si>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</si>
  <si>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</si>
  <si>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</si>
  <si>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</si>
  <si>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</si>
  <si>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</si>
  <si>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</si>
  <si>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</si>
  <si>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</si>
  <si>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</si>
  <si>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</si>
  <si>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</si>
  <si>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</si>
  <si>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</si>
  <si>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</si>
  <si>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</si>
  <si>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</si>
  <si>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</si>
  <si>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</si>
  <si>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</si>
  <si>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</si>
  <si>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</si>
  <si>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</si>
  <si>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</si>
  <si>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</si>
  <si>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</si>
  <si>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</si>
  <si>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</si>
  <si>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</si>
  <si>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</si>
  <si>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</si>
  <si>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</si>
  <si>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</si>
  <si>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</si>
  <si>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</si>
  <si>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</si>
  <si>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</si>
  <si>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</si>
  <si>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</si>
  <si>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</si>
  <si>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</si>
  <si>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</si>
  <si>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</si>
  <si>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</si>
  <si>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</si>
  <si>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</si>
  <si>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</si>
  <si>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</si>
  <si>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</si>
  <si>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</si>
  <si>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</si>
  <si>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</si>
  <si>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</si>
  <si>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</si>
  <si>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</si>
  <si>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</si>
  <si>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</si>
  <si>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</si>
  <si>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</si>
  <si>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</si>
  <si>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</si>
  <si>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</si>
  <si>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</si>
  <si>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</si>
  <si>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</si>
  <si>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</si>
  <si>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</si>
  <si>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</si>
  <si>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</si>
  <si>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</si>
  <si>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</si>
  <si>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</si>
  <si>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</si>
  <si>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</si>
  <si>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</si>
  <si>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</si>
  <si>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</si>
  <si>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</si>
  <si>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</si>
  <si>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</si>
  <si>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</si>
  <si>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</si>
  <si>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</si>
  <si>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</si>
  <si>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</si>
  <si>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</si>
  <si>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</si>
  <si>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</si>
  <si>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</si>
  <si>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</si>
  <si>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</si>
  <si>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</si>
  <si>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</si>
  <si>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</si>
  <si>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</si>
  <si>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</si>
  <si>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</si>
  <si>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</si>
  <si>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</si>
  <si>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</si>
  <si>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</si>
  <si>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</si>
  <si>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</si>
  <si>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</si>
  <si>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</si>
  <si>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</si>
  <si>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</si>
  <si>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</si>
  <si>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</si>
  <si>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</si>
  <si>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</si>
  <si>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</si>
  <si>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</si>
  <si>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</si>
  <si>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</si>
  <si>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</si>
  <si>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</si>
  <si>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</si>
  <si>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</si>
  <si>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</si>
  <si>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</si>
  <si>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</si>
  <si>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</si>
  <si>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</si>
  <si>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</si>
  <si>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</si>
  <si>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</si>
  <si>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</si>
  <si>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</si>
  <si>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</si>
  <si>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</si>
  <si>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</si>
  <si>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</si>
  <si>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</si>
  <si>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</si>
  <si>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</si>
  <si>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</si>
  <si>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</si>
  <si>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</si>
  <si>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</si>
  <si>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</si>
  <si>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</si>
  <si>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</si>
  <si>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</si>
  <si>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</si>
  <si>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</si>
  <si>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</si>
  <si>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</si>
  <si>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</si>
  <si>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</si>
  <si>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</si>
  <si>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</si>
  <si>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</si>
  <si>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</si>
  <si>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</si>
  <si>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</si>
  <si>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</si>
  <si>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</si>
  <si>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</si>
  <si>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</si>
  <si>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</si>
  <si>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</si>
  <si>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</si>
  <si>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</si>
  <si>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</si>
  <si>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</si>
  <si>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</si>
  <si>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</si>
  <si>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</si>
  <si>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</si>
  <si>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</si>
  <si>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</si>
  <si>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</si>
  <si>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</si>
  <si>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</si>
  <si>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</si>
  <si>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</si>
  <si>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</si>
  <si>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</si>
  <si>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</si>
  <si>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</si>
  <si>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</si>
  <si>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</si>
  <si>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</si>
  <si>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</si>
  <si>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</si>
  <si>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</si>
  <si>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</si>
  <si>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</si>
  <si>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</si>
  <si>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</si>
  <si>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</si>
  <si>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</si>
  <si>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</si>
  <si>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</si>
  <si>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</si>
  <si>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</si>
  <si>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</si>
  <si>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</si>
  <si>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</si>
  <si>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</si>
  <si>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</si>
  <si>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</si>
  <si>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</si>
  <si>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</si>
  <si>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</si>
  <si>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</si>
  <si>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</si>
  <si>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</si>
  <si>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</si>
  <si>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</si>
  <si>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</si>
  <si>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</si>
  <si>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</si>
  <si>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</si>
  <si>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</si>
  <si>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</si>
  <si>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</si>
  <si>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</si>
  <si>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</si>
  <si>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</si>
  <si>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</si>
  <si>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</si>
  <si>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</si>
  <si>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</si>
  <si>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</si>
  <si>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</si>
  <si>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</si>
  <si>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</si>
  <si>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</si>
  <si>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</si>
  <si>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</si>
  <si>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</si>
  <si>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</si>
  <si>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</si>
  <si>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</si>
  <si>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</si>
  <si>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</si>
  <si>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</si>
  <si>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</si>
  <si>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</si>
  <si>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</si>
  <si>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</si>
  <si>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</si>
  <si>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</si>
  <si>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</si>
  <si>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</si>
  <si>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</si>
  <si>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</si>
  <si>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</si>
  <si>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</si>
  <si>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</si>
  <si>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</si>
  <si>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</si>
  <si>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</si>
  <si>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</si>
  <si>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</si>
  <si>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</si>
  <si>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</si>
  <si>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</si>
  <si>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</si>
  <si>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</si>
  <si>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</si>
  <si>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</si>
  <si>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</si>
  <si>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</si>
  <si>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</si>
  <si>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</si>
  <si>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</si>
  <si>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</si>
  <si>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</si>
  <si>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</si>
  <si>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</si>
  <si>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</si>
  <si>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</si>
  <si>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</si>
  <si>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</si>
  <si>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</si>
  <si>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</si>
  <si>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</si>
  <si>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</si>
  <si>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</si>
  <si>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</si>
  <si>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</si>
  <si>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</si>
  <si>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</si>
  <si>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</si>
  <si>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</si>
  <si>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</si>
  <si>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</si>
  <si>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</si>
  <si>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</si>
  <si>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</si>
  <si>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</si>
  <si>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</si>
  <si>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</si>
  <si>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</si>
  <si>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</si>
  <si>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</si>
  <si>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</si>
  <si>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</si>
  <si>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</si>
  <si>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</si>
  <si>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</si>
  <si>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</si>
  <si>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</si>
  <si>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</si>
  <si>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</si>
  <si>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</si>
  <si>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</si>
  <si>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</si>
  <si>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</si>
  <si>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</si>
  <si>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</si>
  <si>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</si>
  <si>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</si>
  <si>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</si>
  <si>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</si>
  <si>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</si>
  <si>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</si>
  <si>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</si>
  <si>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</si>
  <si>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</si>
  <si>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</si>
  <si>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</si>
  <si>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</si>
  <si>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</si>
  <si>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</si>
  <si>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</si>
  <si>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</si>
  <si>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</si>
  <si>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</si>
  <si>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</si>
  <si>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</si>
  <si>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</si>
  <si>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</si>
  <si>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</si>
  <si>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</si>
  <si>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</si>
  <si>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</si>
  <si>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</si>
  <si>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</si>
  <si>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</si>
  <si>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</si>
  <si>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</si>
  <si>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</si>
  <si>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</si>
  <si>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</si>
  <si>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</si>
  <si>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</si>
  <si>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</si>
  <si>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</si>
  <si>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</si>
  <si>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</si>
  <si>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</si>
  <si>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</si>
  <si>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</si>
  <si>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</si>
  <si>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</si>
  <si>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</si>
  <si>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</si>
  <si>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</si>
  <si>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</si>
  <si>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</si>
  <si>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</si>
  <si>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</si>
  <si>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</si>
  <si>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</si>
  <si>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</si>
  <si>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</si>
  <si>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</si>
  <si>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</si>
  <si>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</si>
  <si>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</si>
  <si>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</si>
  <si>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</si>
  <si>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</si>
  <si>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</si>
  <si>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</si>
  <si>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</si>
  <si>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</si>
  <si>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</si>
  <si>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</si>
  <si>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</si>
  <si>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</si>
  <si>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</si>
  <si>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</si>
  <si>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</si>
  <si>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</si>
  <si>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</si>
  <si>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</si>
  <si>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</si>
  <si>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</si>
  <si>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</si>
  <si>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</si>
  <si>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</si>
  <si>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</si>
  <si>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</si>
  <si>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</si>
  <si>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</si>
  <si>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</si>
  <si>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</si>
  <si>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</si>
  <si>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</si>
  <si>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</si>
  <si>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</si>
  <si>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</si>
  <si>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</si>
  <si>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</si>
  <si>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</si>
  <si>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</si>
  <si>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</si>
  <si>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</si>
  <si>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</si>
  <si>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</si>
  <si>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</si>
  <si>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</si>
  <si>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</si>
  <si>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</si>
  <si>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</si>
  <si>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</si>
  <si>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</si>
  <si>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</si>
  <si>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</si>
  <si>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</si>
  <si>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</si>
  <si>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</si>
  <si>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</si>
  <si>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</si>
  <si>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</si>
  <si>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</si>
  <si>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</si>
  <si>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</si>
  <si>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</si>
  <si>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</si>
  <si>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</si>
  <si>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</si>
  <si>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</si>
  <si>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</si>
  <si>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</si>
  <si>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</si>
  <si>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</si>
  <si>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</si>
  <si>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</si>
  <si>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</si>
  <si>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</si>
  <si>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</si>
  <si>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</si>
  <si>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</si>
  <si>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</si>
  <si>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</si>
  <si>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</si>
  <si>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</si>
  <si>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</si>
  <si>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</si>
  <si>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</si>
  <si>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</si>
  <si>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</si>
  <si>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</si>
  <si>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</si>
  <si>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</si>
  <si>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</si>
  <si>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</si>
  <si>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</si>
  <si>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</si>
  <si>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</si>
  <si>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</si>
  <si>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</si>
  <si>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</si>
  <si>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</si>
  <si>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</si>
  <si>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</si>
  <si>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</si>
  <si>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</si>
  <si>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</si>
  <si>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</si>
  <si>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</si>
  <si>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</si>
  <si>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</si>
  <si>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</si>
  <si>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</si>
  <si>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</si>
  <si>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</si>
  <si>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</si>
  <si>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</si>
  <si>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</si>
  <si>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</si>
  <si>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</si>
  <si>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</si>
  <si>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</si>
  <si>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</si>
  <si>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</si>
  <si>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</si>
  <si>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</si>
  <si>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</si>
  <si>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</si>
  <si>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</si>
  <si>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</si>
  <si>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</si>
  <si>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</si>
  <si>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</si>
  <si>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</si>
  <si>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</si>
  <si>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</si>
  <si>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</si>
  <si>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</si>
  <si>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</si>
  <si>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</si>
  <si>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</si>
  <si>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</si>
  <si>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</si>
  <si>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</si>
  <si>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</si>
  <si>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</si>
  <si>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</si>
  <si>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</si>
  <si>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</si>
  <si>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</si>
  <si>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</si>
  <si>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</si>
  <si>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</si>
  <si>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</si>
  <si>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</si>
  <si>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</si>
  <si>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</si>
  <si>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</si>
  <si>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</si>
  <si>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</si>
  <si>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</si>
  <si>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</si>
  <si>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</si>
  <si>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</si>
  <si>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</si>
  <si>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</si>
  <si>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</si>
  <si>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</si>
  <si>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</si>
  <si>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</si>
  <si>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</si>
  <si>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</si>
  <si>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</si>
  <si>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</si>
  <si>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</si>
  <si>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</si>
  <si>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</si>
  <si>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</si>
  <si>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</si>
  <si>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</si>
  <si>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</si>
  <si>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</si>
  <si>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</si>
  <si>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</si>
  <si>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</si>
  <si>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</si>
  <si>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</si>
  <si>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</si>
  <si>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</si>
  <si>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</si>
  <si>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</si>
  <si>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</si>
  <si>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</si>
  <si>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</si>
  <si>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</si>
  <si>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</si>
  <si>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</si>
  <si>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</si>
  <si>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</si>
  <si>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</si>
  <si>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</si>
  <si>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</si>
  <si>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</si>
  <si>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</si>
  <si>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</si>
  <si>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</si>
  <si>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</si>
  <si>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</si>
  <si>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</si>
  <si>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</si>
  <si>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</si>
  <si>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</si>
  <si>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</si>
  <si>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</si>
  <si>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</si>
  <si>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</si>
  <si>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</si>
  <si>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</si>
  <si>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</si>
  <si>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</si>
  <si>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</si>
  <si>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</si>
  <si>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</si>
  <si>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</si>
  <si>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</si>
  <si>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</si>
  <si>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</si>
  <si>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</si>
  <si>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</si>
  <si>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</si>
  <si>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</si>
  <si>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</si>
  <si>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</si>
  <si>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</si>
  <si>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</si>
  <si>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</si>
  <si>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</si>
  <si>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</si>
  <si>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</si>
  <si>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</si>
  <si>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</si>
  <si>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</si>
  <si>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</si>
  <si>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</si>
  <si>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</si>
  <si>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</si>
  <si>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</si>
  <si>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</si>
  <si>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</si>
  <si>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</si>
  <si>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</si>
  <si>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</si>
  <si>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</si>
  <si>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</si>
  <si>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</si>
  <si>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</si>
  <si>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</si>
  <si>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</si>
  <si>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</si>
  <si>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</si>
  <si>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</si>
  <si>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</si>
  <si>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</si>
  <si>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</si>
  <si>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</si>
  <si>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</si>
  <si>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</si>
  <si>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</si>
  <si>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</si>
  <si>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</si>
  <si>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</si>
  <si>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</si>
  <si>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</si>
  <si>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</si>
  <si>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</si>
  <si>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</si>
  <si>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</si>
  <si>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</si>
  <si>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</si>
  <si>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</si>
  <si>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</si>
  <si>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</si>
  <si>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</si>
  <si>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</si>
  <si>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</si>
  <si>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</si>
  <si>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</si>
  <si>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</si>
  <si>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</si>
  <si>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</si>
  <si>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</si>
  <si>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</si>
  <si>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</si>
  <si>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</si>
  <si>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</si>
  <si>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</si>
  <si>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</si>
  <si>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</si>
  <si>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</si>
  <si>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</si>
  <si>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</si>
  <si>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</si>
  <si>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</si>
  <si>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</si>
  <si>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</si>
  <si>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</si>
  <si>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</si>
  <si>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</si>
  <si>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</si>
  <si>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</si>
  <si>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</si>
  <si>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</si>
  <si>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</si>
  <si>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</si>
  <si>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</si>
  <si>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</si>
  <si>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</si>
  <si>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</si>
  <si>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</si>
  <si>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</si>
  <si>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</si>
  <si>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</si>
  <si>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</si>
  <si>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</si>
  <si>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</si>
  <si>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</si>
  <si>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</si>
  <si>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</si>
  <si>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</si>
  <si>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</si>
  <si>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</si>
  <si>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</si>
  <si>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</si>
  <si>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</si>
  <si>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</si>
  <si>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</si>
  <si>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</si>
  <si>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</si>
  <si>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</si>
  <si>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</si>
  <si>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</si>
  <si>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</si>
  <si>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</si>
  <si>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</si>
  <si>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</si>
  <si>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</si>
  <si>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</si>
  <si>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</si>
  <si>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</si>
  <si>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</si>
  <si>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</si>
  <si>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</si>
  <si>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</si>
  <si>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</si>
  <si>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</si>
  <si>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</si>
  <si>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</si>
  <si>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</si>
  <si>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</si>
  <si>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</si>
  <si>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</si>
  <si>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</si>
  <si>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</si>
  <si>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</si>
  <si>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</si>
  <si>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</si>
  <si>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</si>
  <si>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</si>
  <si>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</si>
  <si>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</si>
  <si>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</si>
  <si>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</si>
  <si>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</si>
  <si>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</si>
  <si>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</si>
  <si>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</si>
  <si>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</si>
  <si>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</si>
  <si>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</si>
  <si>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</si>
  <si>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</si>
  <si>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</si>
  <si>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</si>
  <si>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</si>
  <si>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</si>
  <si>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</si>
  <si>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</si>
  <si>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</si>
  <si>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</si>
  <si>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</si>
  <si>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</si>
  <si>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</si>
  <si>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</si>
  <si>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</si>
  <si>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</si>
  <si>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</si>
  <si>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</si>
  <si>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</si>
  <si>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</si>
  <si>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</si>
  <si>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</si>
  <si>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</si>
  <si>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</si>
  <si>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</si>
  <si>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</si>
  <si>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</si>
  <si>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</si>
  <si>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</si>
  <si>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</si>
  <si>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</si>
  <si>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</si>
  <si>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</si>
  <si>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</si>
  <si>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</si>
  <si>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</si>
  <si>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</si>
  <si>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</si>
  <si>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</si>
  <si>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</si>
  <si>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</si>
  <si>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</si>
  <si>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</si>
  <si>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</si>
  <si>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</si>
  <si>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</si>
  <si>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</si>
  <si>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</si>
  <si>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</si>
  <si>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</si>
  <si>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</si>
  <si>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</si>
  <si>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</si>
  <si>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</si>
  <si>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</si>
  <si>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</si>
  <si>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</si>
  <si>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</si>
  <si>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</si>
  <si>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</si>
  <si>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</si>
  <si>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</si>
  <si>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</si>
  <si>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</si>
  <si>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</si>
  <si>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</si>
  <si>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</si>
  <si>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</si>
  <si>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</si>
  <si>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</si>
  <si>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</si>
  <si>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</si>
  <si>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</si>
  <si>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</si>
  <si>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</si>
  <si>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</si>
  <si>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</si>
  <si>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</si>
  <si>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</si>
  <si>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</si>
  <si>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</si>
  <si>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</si>
  <si>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</si>
  <si>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</si>
  <si>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</si>
  <si>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</si>
  <si>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</si>
  <si>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</si>
  <si>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</si>
  <si>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</si>
  <si>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</si>
  <si>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</si>
  <si>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</si>
  <si>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</si>
  <si>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</si>
  <si>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</si>
  <si>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</si>
  <si>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</si>
  <si>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</si>
  <si>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</si>
  <si>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</si>
  <si>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</si>
  <si>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</si>
  <si>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</si>
  <si>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</si>
  <si>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</si>
  <si>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</si>
  <si>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</si>
  <si>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</si>
  <si>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</si>
  <si>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</si>
  <si>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</si>
  <si>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</si>
  <si>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</si>
  <si>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</si>
  <si>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</si>
  <si>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</si>
  <si>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</si>
  <si>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</si>
  <si>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</si>
  <si>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</si>
  <si>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</si>
  <si>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</si>
  <si>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</si>
  <si>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</si>
  <si>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</si>
  <si>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</si>
  <si>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</si>
  <si>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</si>
  <si>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</si>
  <si>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</si>
  <si>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</si>
  <si>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</si>
  <si>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</si>
  <si>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</si>
  <si>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</si>
  <si>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</si>
  <si>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</si>
  <si>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</si>
  <si>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</si>
  <si>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</si>
  <si>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</si>
  <si>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</si>
  <si>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</si>
  <si>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</si>
  <si>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</si>
  <si>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</si>
  <si>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</si>
  <si>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</si>
  <si>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</si>
  <si>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</si>
  <si>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</si>
  <si>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</si>
  <si>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</si>
  <si>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</si>
  <si>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</si>
  <si>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</si>
  <si>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</si>
  <si>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</si>
  <si>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</si>
  <si>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</si>
  <si>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</si>
  <si>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</si>
  <si>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</si>
  <si>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</si>
  <si>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</si>
  <si>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</si>
  <si>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</si>
  <si>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</si>
  <si>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</si>
  <si>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</si>
  <si>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</si>
  <si>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</si>
  <si>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</si>
  <si>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</si>
  <si>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</si>
  <si>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</si>
  <si>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</si>
  <si>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</si>
  <si>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</si>
  <si>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</si>
  <si>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</si>
  <si>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</si>
  <si>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</si>
  <si>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</si>
  <si>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</si>
  <si>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</si>
  <si>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</si>
  <si>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</si>
  <si>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</si>
  <si>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</si>
  <si>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</si>
  <si>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</si>
  <si>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</si>
  <si>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</si>
  <si>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</si>
  <si>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</si>
  <si>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</si>
  <si>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</si>
  <si>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</si>
  <si>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</si>
  <si>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</si>
  <si>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</si>
  <si>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</si>
  <si>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</si>
  <si>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</si>
  <si>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</si>
  <si>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</si>
  <si>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</si>
  <si>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</si>
  <si>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</si>
  <si>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</si>
  <si>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</si>
  <si>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</si>
  <si>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</si>
  <si>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</si>
  <si>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</si>
  <si>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</si>
  <si>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</si>
  <si>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</si>
  <si>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</si>
  <si>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</si>
  <si>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</si>
  <si>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</si>
  <si>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</si>
  <si>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</si>
  <si>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</si>
  <si>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</si>
  <si>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</si>
  <si>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</si>
  <si>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</si>
  <si>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</si>
  <si>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</si>
  <si>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</si>
  <si>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</si>
  <si>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</si>
  <si>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</si>
  <si>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</si>
  <si>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</si>
  <si>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</si>
  <si>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</si>
  <si>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</si>
  <si>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</si>
  <si>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</si>
  <si>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</si>
  <si>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</si>
  <si>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</si>
  <si>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</si>
  <si>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</si>
  <si>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</si>
  <si>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</si>
  <si>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</si>
  <si>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</si>
  <si>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</si>
  <si>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</si>
  <si>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</si>
  <si>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</si>
  <si>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</si>
  <si>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</si>
  <si>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</si>
  <si>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</si>
  <si>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</si>
  <si>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</si>
  <si>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</si>
  <si>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</si>
  <si>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</si>
  <si>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</si>
  <si>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</si>
  <si>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</si>
  <si>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</si>
  <si>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</si>
  <si>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</si>
  <si>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</si>
  <si>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</si>
  <si>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</si>
  <si>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</si>
  <si>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</si>
  <si>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</si>
  <si>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</si>
  <si>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</si>
  <si>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</si>
  <si>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</si>
  <si>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</si>
  <si>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</si>
  <si>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</si>
  <si>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</si>
  <si>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</si>
  <si>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</si>
  <si>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</si>
  <si>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</si>
  <si>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</si>
  <si>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</si>
  <si>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</si>
  <si>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</si>
  <si>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</si>
  <si>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</si>
  <si>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</si>
  <si>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</si>
  <si>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</si>
  <si>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</si>
  <si>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</si>
  <si>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</si>
  <si>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</si>
  <si>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</si>
  <si>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</si>
  <si>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</si>
  <si>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</si>
  <si>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</si>
  <si>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</si>
  <si>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</si>
  <si>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</si>
  <si>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</si>
  <si>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</si>
  <si>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</si>
  <si>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</si>
  <si>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</si>
  <si>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</si>
  <si>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</si>
  <si>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</si>
  <si>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</si>
  <si>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</si>
  <si>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</si>
  <si>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</si>
  <si>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</si>
  <si>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</si>
  <si>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</si>
  <si>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</si>
  <si>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</si>
  <si>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</si>
  <si>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</si>
  <si>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</si>
  <si>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</si>
  <si>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</si>
  <si>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</si>
  <si>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</si>
  <si>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</si>
  <si>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</si>
  <si>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</si>
  <si>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</si>
  <si>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</si>
  <si>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</si>
  <si>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</si>
  <si>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</si>
  <si>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</si>
  <si>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</si>
  <si>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</si>
  <si>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</si>
  <si>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</si>
  <si>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</si>
  <si>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</si>
  <si>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</si>
  <si>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</si>
  <si>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</si>
  <si>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</si>
  <si>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</si>
  <si>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</si>
  <si>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</si>
  <si>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</si>
  <si>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</si>
  <si>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</si>
  <si>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</si>
  <si>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</si>
  <si>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</si>
  <si>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</si>
  <si>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</si>
  <si>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</si>
  <si>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</si>
  <si>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</si>
  <si>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</si>
  <si>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</si>
  <si>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</si>
  <si>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</si>
  <si>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</si>
  <si>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</si>
  <si>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</si>
  <si>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</si>
  <si>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</si>
  <si>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</si>
  <si>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</si>
  <si>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</si>
  <si>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</si>
  <si>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</si>
  <si>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</si>
  <si>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</si>
  <si>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</si>
  <si>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</si>
  <si>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</si>
  <si>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</si>
  <si>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</si>
  <si>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</si>
  <si>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</si>
  <si>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</si>
  <si>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</si>
  <si>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</si>
  <si>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</si>
  <si>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</si>
  <si>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</si>
  <si>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</si>
  <si>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</si>
  <si>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</si>
  <si>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</si>
  <si>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</si>
  <si>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</si>
  <si>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</si>
  <si>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</si>
  <si>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</si>
  <si>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</si>
  <si>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</si>
  <si>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</si>
  <si>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</si>
  <si>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</si>
  <si>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</si>
  <si>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</si>
  <si>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</si>
  <si>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</si>
  <si>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</si>
  <si>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</si>
  <si>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</si>
  <si>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</si>
  <si>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</si>
  <si>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</si>
  <si>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</si>
  <si>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</si>
  <si>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</si>
  <si>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</si>
  <si>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</si>
  <si>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</si>
  <si>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</si>
  <si>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</si>
  <si>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</si>
  <si>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</si>
  <si>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</si>
  <si>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</si>
  <si>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</si>
  <si>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</si>
  <si>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</si>
  <si>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</si>
  <si>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</si>
  <si>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</si>
  <si>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</si>
  <si>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</si>
  <si>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</si>
  <si>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</si>
  <si>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</si>
  <si>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</si>
  <si>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</si>
  <si>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</si>
  <si>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</si>
  <si>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</si>
  <si>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</si>
  <si>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</si>
  <si>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</si>
  <si>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</si>
  <si>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</si>
  <si>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</si>
  <si>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</si>
  <si>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</si>
  <si>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</si>
  <si>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</si>
  <si>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</si>
  <si>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</si>
  <si>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</si>
  <si>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</si>
  <si>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</si>
  <si>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</si>
  <si>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</si>
  <si>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</si>
  <si>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</si>
  <si>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</si>
  <si>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</si>
  <si>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</si>
  <si>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</si>
  <si>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</si>
  <si>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</si>
  <si>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</si>
  <si>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</si>
  <si>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</si>
  <si>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</si>
  <si>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</si>
  <si>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</si>
  <si>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</si>
  <si>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</si>
  <si>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</si>
  <si>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</si>
  <si>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</si>
  <si>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</si>
  <si>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</si>
  <si>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</si>
  <si>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</si>
  <si>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</si>
  <si>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</si>
  <si>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</si>
  <si>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</si>
  <si>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</si>
  <si>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</si>
  <si>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</si>
  <si>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</si>
  <si>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</si>
  <si>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</si>
  <si>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</si>
  <si>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</si>
  <si>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</si>
  <si>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</si>
  <si>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</si>
  <si>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</si>
  <si>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</si>
  <si>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</si>
  <si>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</si>
  <si>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</si>
  <si>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</si>
  <si>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</si>
  <si>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</si>
  <si>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</si>
  <si>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</si>
  <si>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</si>
  <si>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</si>
  <si>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</si>
  <si>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</si>
  <si>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</si>
  <si>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</si>
  <si>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</si>
  <si>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</si>
  <si>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</si>
  <si>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</si>
  <si>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</si>
  <si>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</si>
  <si>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</si>
  <si>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</si>
  <si>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</si>
  <si>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</si>
  <si>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</si>
  <si>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</si>
  <si>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</si>
  <si>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</si>
  <si>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</si>
  <si>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</si>
  <si>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</si>
  <si>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</si>
  <si>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</si>
  <si>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</si>
  <si>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</si>
  <si>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</si>
  <si>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</si>
  <si>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</si>
  <si>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</si>
  <si>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</si>
  <si>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</si>
  <si>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</si>
  <si>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</si>
  <si>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</si>
  <si>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</si>
  <si>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</si>
  <si>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</si>
  <si>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</si>
  <si>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</si>
  <si>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</si>
  <si>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</si>
  <si>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</si>
  <si>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</si>
  <si>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</si>
  <si>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</si>
  <si>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</si>
  <si>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</si>
  <si>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</si>
  <si>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</si>
  <si>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</si>
  <si>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</si>
  <si>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</si>
  <si>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</si>
  <si>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</si>
  <si>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</si>
  <si>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</si>
  <si>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</si>
  <si>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</si>
  <si>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</si>
  <si>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</si>
  <si>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</si>
  <si>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</si>
  <si>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</si>
  <si>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</si>
  <si>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</si>
  <si>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</si>
  <si>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</si>
  <si>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</si>
  <si>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</si>
  <si>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</si>
  <si>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</si>
  <si>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</si>
  <si>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</si>
  <si>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</si>
  <si>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</si>
  <si>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</si>
  <si>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</si>
  <si>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</si>
  <si>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</si>
  <si>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</si>
  <si>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</si>
  <si>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</si>
  <si>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</si>
  <si>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</si>
  <si>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</si>
  <si>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</si>
  <si>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</si>
  <si>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</si>
  <si>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</si>
  <si>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</si>
  <si>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</si>
  <si>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</si>
  <si>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</si>
  <si>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</si>
  <si>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</si>
  <si>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</si>
  <si>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</si>
  <si>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</si>
  <si>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</si>
  <si>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</si>
  <si>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</si>
  <si>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</si>
  <si>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</si>
  <si>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</si>
  <si>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</si>
  <si>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</si>
  <si>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</si>
  <si>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</si>
  <si>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</si>
  <si>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</si>
  <si>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</si>
  <si>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</si>
  <si>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</si>
  <si>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</si>
  <si>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</si>
  <si>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</si>
  <si>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</si>
  <si>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</si>
  <si>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</si>
  <si>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</si>
  <si>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</si>
  <si>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</si>
  <si>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</si>
  <si>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</si>
  <si>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</si>
  <si>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</si>
  <si>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</si>
  <si>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</si>
  <si>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</si>
  <si>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</si>
  <si>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</si>
  <si>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</si>
  <si>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</si>
  <si>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</si>
  <si>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</si>
  <si>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</si>
  <si>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</si>
  <si>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</si>
  <si>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</si>
  <si>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</si>
  <si>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</si>
  <si>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</si>
  <si>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</si>
  <si>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</si>
  <si>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</si>
  <si>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</si>
  <si>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</si>
  <si>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</si>
  <si>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</si>
  <si>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</si>
  <si>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</si>
  <si>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</si>
  <si>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</si>
  <si>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</si>
  <si>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</si>
  <si>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</si>
  <si>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</si>
  <si>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</si>
  <si>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</si>
  <si>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</si>
  <si>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</si>
  <si>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</si>
  <si>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</si>
  <si>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</si>
  <si>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</si>
  <si>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</si>
  <si>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</si>
  <si>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</si>
  <si>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</si>
  <si>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</si>
  <si>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</si>
  <si>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</si>
  <si>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</si>
  <si>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</si>
  <si>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</si>
  <si>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</si>
  <si>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</si>
  <si>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</si>
  <si>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</si>
  <si>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</si>
  <si>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</si>
  <si>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</si>
  <si>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</si>
  <si>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</si>
  <si>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</si>
  <si>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</si>
  <si>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</si>
  <si>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</si>
  <si>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</si>
  <si>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</si>
  <si>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</si>
  <si>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</si>
  <si>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</si>
  <si>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</si>
  <si>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</si>
  <si>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</si>
  <si>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</si>
  <si>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</si>
  <si>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</si>
  <si>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</si>
  <si>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</si>
  <si>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</si>
  <si>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</si>
  <si>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</si>
  <si>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</si>
  <si>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</si>
  <si>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</si>
  <si>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</si>
  <si>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</si>
  <si>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</si>
  <si>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</si>
  <si>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</si>
  <si>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</si>
  <si>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</si>
  <si>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</si>
  <si>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</si>
  <si>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</si>
  <si>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</si>
  <si>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</si>
  <si>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</si>
  <si>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</si>
  <si>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</si>
  <si>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</si>
  <si>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</si>
  <si>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</si>
  <si>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</si>
  <si>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</si>
  <si>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</si>
  <si>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</si>
  <si>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</si>
  <si>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</si>
  <si>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</si>
  <si>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</si>
  <si>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</si>
  <si>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</si>
  <si>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</si>
  <si>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</si>
  <si>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</si>
  <si>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</si>
  <si>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</si>
  <si>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</si>
  <si>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</si>
  <si>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</si>
  <si>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</si>
  <si>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</si>
  <si>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</si>
  <si>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</si>
  <si>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</si>
  <si>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</si>
  <si>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</si>
  <si>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</si>
  <si>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</si>
  <si>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</si>
  <si>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</si>
  <si>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</si>
  <si>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</si>
  <si>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</si>
  <si>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</si>
  <si>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</si>
  <si>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</si>
  <si>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</si>
  <si>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</si>
  <si>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</si>
  <si>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</si>
  <si>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</si>
  <si>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</si>
  <si>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</si>
  <si>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</si>
  <si>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</si>
  <si>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</si>
  <si>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</si>
  <si>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</si>
  <si>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</si>
  <si>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</si>
  <si>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</si>
  <si>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</si>
  <si>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</si>
  <si>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</si>
  <si>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</si>
  <si>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</si>
  <si>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</si>
  <si>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</si>
  <si>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</si>
  <si>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</si>
  <si>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</si>
  <si>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</si>
  <si>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</si>
  <si>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</si>
  <si>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</si>
  <si>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</si>
  <si>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</si>
  <si>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</si>
  <si>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</si>
  <si>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</si>
  <si>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</si>
  <si>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</si>
  <si>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</si>
  <si>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</si>
  <si>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</si>
  <si>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</si>
  <si>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</si>
  <si>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</si>
  <si>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</si>
  <si>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</si>
  <si>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</si>
  <si>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</si>
  <si>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</si>
  <si>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</si>
  <si>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</si>
  <si>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</si>
  <si>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</si>
  <si>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</si>
  <si>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</si>
  <si>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</si>
  <si>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</si>
  <si>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</si>
  <si>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</si>
  <si>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</si>
  <si>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</si>
  <si>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</si>
  <si>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</si>
  <si>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</si>
  <si>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</si>
  <si>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</si>
  <si>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</si>
  <si>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</si>
  <si>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</si>
  <si>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</si>
  <si>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</si>
  <si>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</si>
  <si>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</si>
  <si>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</si>
  <si>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</si>
  <si>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</si>
  <si>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</si>
  <si>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</si>
  <si>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</si>
  <si>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</si>
  <si>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</si>
  <si>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</si>
  <si>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</si>
  <si>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</si>
  <si>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</si>
  <si>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</si>
  <si>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</si>
  <si>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</si>
  <si>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</si>
  <si>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</si>
  <si>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</si>
  <si>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</si>
  <si>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</si>
  <si>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</si>
  <si>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</si>
  <si>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</si>
  <si>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</si>
  <si>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</si>
  <si>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</si>
  <si>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</si>
  <si>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</si>
  <si>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</si>
  <si>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</si>
  <si>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</si>
  <si>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</si>
  <si>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</si>
  <si>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</si>
  <si>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</si>
  <si>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</si>
  <si>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</si>
  <si>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</si>
  <si>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</si>
  <si>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</si>
  <si>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</si>
  <si>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</si>
  <si>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</si>
  <si>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</si>
  <si>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</si>
  <si>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</si>
  <si>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</si>
  <si>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</si>
  <si>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</si>
  <si>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</si>
  <si>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</si>
  <si>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</si>
  <si>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</si>
  <si>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</si>
  <si>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</si>
  <si>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</si>
  <si>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</si>
  <si>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</si>
  <si>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</si>
  <si>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</si>
  <si>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</si>
  <si>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</si>
  <si>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</si>
  <si>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</si>
  <si>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</si>
  <si>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</si>
  <si>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</si>
  <si>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</si>
  <si>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</si>
  <si>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</si>
  <si>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</si>
  <si>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</si>
  <si>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</si>
  <si>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</si>
  <si>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</si>
  <si>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</si>
  <si>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</si>
  <si>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</si>
  <si>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</si>
  <si>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</si>
  <si>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</si>
  <si>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</si>
  <si>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</si>
  <si>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</si>
  <si>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</si>
  <si>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</si>
  <si>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</si>
  <si>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</si>
  <si>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</si>
  <si>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</si>
  <si>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</si>
  <si>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</si>
  <si>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</si>
  <si>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</si>
  <si>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</si>
  <si>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</si>
  <si>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</si>
  <si>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</si>
  <si>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</si>
  <si>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</si>
  <si>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</si>
  <si>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</si>
  <si>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</si>
  <si>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</si>
  <si>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</si>
  <si>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</si>
  <si>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</si>
  <si>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</si>
  <si>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</si>
  <si>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</si>
  <si>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</si>
  <si>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</si>
  <si>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</si>
  <si>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</si>
  <si>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</si>
  <si>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</si>
  <si>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</si>
  <si>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</si>
  <si>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</si>
  <si>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</si>
  <si>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</si>
  <si>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</si>
  <si>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</si>
  <si>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</si>
  <si>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</si>
  <si>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</si>
  <si>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</si>
  <si>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</si>
  <si>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</si>
  <si>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</si>
  <si>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</si>
  <si>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</si>
  <si>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</si>
  <si>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</si>
  <si>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</si>
  <si>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</si>
  <si>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</si>
  <si>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</si>
  <si>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</si>
  <si>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</si>
  <si>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</si>
  <si>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</si>
  <si>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</si>
  <si>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</si>
  <si>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</si>
  <si>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</si>
  <si>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</si>
  <si>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</si>
  <si>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</si>
  <si>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</si>
  <si>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</si>
  <si>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</si>
  <si>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</si>
  <si>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</si>
  <si>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</si>
  <si>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</si>
  <si>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</si>
  <si>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</si>
  <si>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</si>
  <si>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</si>
  <si>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</si>
  <si>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</si>
  <si>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</si>
  <si>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</si>
  <si>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</si>
  <si>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</si>
  <si>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</si>
  <si>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</si>
  <si>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</si>
  <si>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</si>
  <si>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</si>
  <si>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</si>
  <si>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</si>
  <si>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</si>
  <si>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</si>
  <si>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</si>
  <si>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</si>
  <si>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</si>
  <si>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</si>
  <si>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</si>
  <si>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</si>
  <si>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</si>
  <si>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</si>
  <si>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</si>
  <si>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</si>
  <si>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</si>
  <si>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</si>
  <si>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</si>
  <si>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</si>
  <si>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</si>
  <si>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</si>
  <si>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</si>
  <si>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</si>
  <si>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</si>
  <si>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</si>
  <si>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</si>
  <si>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</si>
  <si>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</si>
  <si>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</si>
  <si>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</si>
  <si>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</si>
  <si>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</si>
  <si>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</si>
  <si>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</si>
  <si>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</si>
  <si>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</si>
  <si>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</si>
  <si>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</si>
  <si>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</si>
  <si>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</si>
  <si>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</si>
  <si>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</si>
  <si>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</si>
  <si>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</si>
  <si>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</si>
  <si>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</si>
  <si>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</si>
  <si>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</si>
  <si>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</si>
  <si>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</si>
  <si>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</si>
  <si>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</si>
  <si>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</si>
  <si>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</si>
  <si>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</si>
  <si>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</si>
  <si>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</si>
  <si>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</si>
  <si>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</si>
  <si>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</si>
  <si>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</si>
  <si>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</si>
  <si>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</si>
  <si>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</si>
  <si>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</si>
  <si>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</si>
  <si>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</si>
  <si>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</si>
  <si>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</si>
  <si>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</si>
  <si>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</si>
  <si>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</si>
  <si>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</si>
  <si>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</si>
  <si>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</si>
  <si>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</si>
  <si>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</si>
  <si>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</si>
  <si>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</si>
  <si>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</si>
  <si>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</si>
  <si>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</si>
  <si>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</si>
  <si>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</si>
  <si>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</si>
  <si>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</si>
  <si>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</si>
  <si>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</si>
  <si>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</si>
  <si>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</si>
  <si>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</si>
  <si>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</si>
  <si>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</si>
  <si>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</si>
  <si>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</si>
  <si>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</si>
  <si>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</si>
  <si>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</si>
  <si>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</si>
  <si>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</si>
  <si>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</si>
  <si>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</si>
  <si>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</si>
  <si>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</si>
  <si>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</si>
  <si>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</si>
  <si>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</si>
  <si>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</si>
  <si>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</si>
  <si>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</si>
  <si>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</si>
  <si>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</si>
  <si>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</si>
  <si>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</si>
  <si>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</si>
  <si>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</si>
  <si>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</si>
  <si>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</si>
  <si>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</si>
  <si>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</si>
  <si>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</si>
  <si>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</si>
  <si>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</si>
  <si>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</si>
  <si>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</si>
  <si>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</si>
  <si>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</si>
  <si>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</si>
  <si>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</si>
  <si>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</si>
  <si>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</si>
  <si>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</si>
  <si>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</si>
  <si>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</si>
  <si>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</si>
  <si>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</si>
  <si>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</si>
  <si>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</si>
  <si>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</si>
  <si>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</si>
  <si>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</si>
  <si>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</si>
  <si>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</si>
  <si>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</si>
  <si>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</si>
  <si>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</si>
  <si>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</si>
  <si>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</si>
  <si>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</si>
  <si>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</si>
  <si>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</si>
  <si>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</si>
  <si>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</si>
  <si>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</si>
  <si>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</si>
  <si>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</si>
  <si>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</si>
  <si>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</si>
  <si>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</si>
  <si>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</si>
  <si>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</si>
  <si>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</si>
  <si>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</si>
  <si>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</si>
  <si>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</si>
  <si>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</si>
  <si>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</si>
  <si>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</si>
  <si>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</si>
  <si>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</si>
  <si>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</si>
  <si>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</si>
  <si>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</si>
  <si>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</si>
  <si>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</si>
  <si>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</si>
  <si>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</si>
  <si>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</si>
  <si>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</si>
  <si>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</si>
  <si>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</si>
  <si>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</si>
  <si>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</si>
  <si>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</si>
  <si>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</si>
  <si>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</si>
  <si>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</si>
  <si>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</si>
  <si>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</si>
  <si>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</si>
  <si>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</si>
  <si>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</si>
  <si>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</si>
  <si>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</si>
  <si>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</si>
  <si>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</si>
  <si>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</si>
  <si>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</si>
  <si>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</si>
  <si>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</si>
  <si>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</si>
  <si>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</si>
  <si>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</si>
  <si>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</si>
  <si>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</si>
  <si>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</si>
  <si>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</si>
  <si>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</si>
  <si>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</si>
  <si>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</si>
  <si>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</si>
  <si>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</si>
  <si>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</si>
  <si>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</si>
  <si>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</si>
  <si>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</si>
  <si>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</si>
  <si>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</si>
  <si>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</si>
  <si>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</si>
  <si>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</si>
  <si>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</si>
  <si>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</si>
  <si>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</si>
  <si>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</si>
  <si>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</si>
  <si>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</si>
  <si>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</si>
  <si>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</si>
  <si>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</si>
  <si>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</si>
  <si>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</si>
  <si>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</si>
  <si>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</si>
  <si>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</si>
  <si>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</si>
  <si>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</si>
  <si>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</si>
  <si>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</si>
  <si>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</si>
  <si>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</si>
  <si>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</si>
  <si>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</si>
  <si>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</si>
  <si>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</si>
  <si>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</si>
  <si>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</si>
  <si>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</si>
  <si>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</si>
  <si>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</si>
  <si>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</si>
  <si>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</si>
  <si>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</si>
  <si>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</si>
  <si>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</si>
  <si>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</si>
  <si>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</si>
  <si>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</si>
  <si>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</si>
  <si>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</si>
  <si>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</si>
  <si>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</si>
  <si>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</si>
  <si>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</si>
  <si>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</si>
  <si>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</si>
  <si>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</si>
  <si>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</si>
  <si>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</si>
  <si>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</si>
  <si>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</si>
  <si>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</si>
  <si>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</si>
  <si>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</si>
  <si>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</si>
  <si>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</si>
  <si>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</si>
  <si>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</si>
  <si>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</si>
  <si>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</si>
  <si>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</si>
  <si>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</si>
  <si>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</si>
  <si>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</si>
  <si>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</si>
  <si>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</si>
  <si>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</si>
  <si>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</si>
  <si>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</si>
  <si>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</si>
  <si>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</si>
  <si>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</si>
  <si>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</si>
  <si>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</si>
  <si>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</si>
  <si>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</si>
  <si>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</si>
  <si>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</si>
  <si>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</si>
  <si>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</si>
  <si>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</si>
  <si>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</si>
  <si>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</si>
  <si>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</si>
  <si>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</si>
  <si>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</si>
  <si>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</si>
  <si>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</si>
  <si>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</si>
  <si>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</si>
  <si>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</si>
  <si>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</si>
  <si>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</si>
  <si>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</si>
  <si>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</si>
  <si>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</si>
  <si>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</si>
  <si>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</si>
  <si>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</si>
  <si>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</si>
  <si>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</si>
  <si>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</si>
  <si>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</si>
  <si>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</si>
  <si>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</si>
  <si>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</si>
  <si>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</si>
  <si>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</si>
  <si>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</si>
  <si>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</si>
  <si>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</si>
  <si>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</si>
  <si>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</si>
  <si>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</si>
  <si>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</si>
  <si>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</si>
  <si>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</si>
  <si>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</si>
  <si>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</si>
  <si>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</si>
  <si>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</si>
  <si>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</si>
  <si>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</si>
  <si>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</si>
  <si>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</si>
  <si>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</si>
  <si>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</si>
  <si>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</si>
  <si>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</si>
  <si>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</si>
  <si>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</si>
  <si>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</si>
  <si>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</si>
  <si>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</si>
  <si>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</si>
  <si>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</si>
  <si>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</si>
  <si>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</si>
  <si>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</si>
  <si>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</si>
  <si>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</si>
  <si>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</si>
  <si>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</si>
  <si>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</si>
  <si>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</si>
  <si>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</si>
  <si>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</si>
  <si>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</si>
  <si>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</si>
  <si>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</si>
  <si>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</si>
  <si>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</si>
  <si>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</si>
  <si>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</si>
  <si>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</si>
  <si>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</si>
  <si>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</si>
  <si>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</si>
  <si>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</si>
  <si>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</si>
  <si>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</si>
  <si>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</si>
  <si>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</si>
  <si>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</si>
  <si>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</si>
  <si>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</si>
  <si>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</si>
  <si>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</si>
  <si>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</si>
  <si>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</si>
  <si>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</si>
  <si>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</si>
  <si>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</si>
  <si>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</si>
  <si>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</si>
  <si>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</si>
  <si>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</si>
  <si>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</si>
  <si>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</si>
  <si>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</si>
  <si>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</si>
  <si>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</si>
  <si>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</si>
  <si>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</si>
  <si>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</si>
  <si>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</si>
  <si>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</si>
  <si>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</si>
  <si>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</si>
  <si>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</si>
  <si>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</si>
  <si>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</si>
  <si>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</si>
  <si>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</si>
  <si>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</si>
  <si>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</si>
  <si>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</si>
  <si>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</si>
  <si>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</si>
  <si>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</si>
  <si>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</si>
  <si>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</si>
  <si>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</si>
  <si>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</si>
  <si>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</si>
  <si>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</si>
  <si>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</si>
  <si>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</si>
  <si>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</si>
  <si>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</si>
  <si>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</si>
  <si>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</si>
  <si>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</si>
  <si>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</si>
  <si>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</si>
  <si>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</si>
  <si>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</si>
  <si>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</si>
  <si>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</si>
  <si>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</si>
  <si>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</si>
  <si>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</si>
  <si>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</si>
  <si>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</si>
  <si>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</si>
  <si>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</si>
  <si>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</si>
  <si>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</si>
  <si>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</si>
  <si>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</si>
  <si>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</si>
  <si>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</si>
  <si>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</si>
  <si>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</si>
  <si>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</si>
  <si>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</si>
  <si>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</si>
  <si>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</si>
  <si>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</si>
  <si>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</si>
  <si>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</si>
  <si>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</si>
  <si>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</si>
  <si>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</si>
  <si>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</si>
  <si>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</si>
  <si>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</si>
  <si>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</si>
  <si>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</si>
  <si>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</si>
  <si>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</si>
  <si>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</si>
  <si>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</si>
  <si>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</si>
  <si>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</si>
  <si>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</si>
  <si>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</si>
  <si>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</si>
  <si>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</si>
  <si>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</si>
  <si>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</si>
  <si>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</si>
  <si>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</si>
  <si>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</si>
  <si>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</si>
  <si>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</si>
  <si>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</si>
  <si>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</si>
  <si>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</si>
  <si>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</si>
  <si>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</si>
  <si>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</si>
  <si>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</si>
  <si>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</si>
  <si>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</si>
  <si>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</si>
  <si>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</si>
  <si>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</si>
  <si>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</si>
  <si>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</si>
  <si>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</si>
  <si>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</si>
  <si>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</si>
  <si>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</si>
  <si>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</si>
  <si>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</si>
  <si>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</si>
  <si>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</si>
  <si>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</si>
  <si>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</si>
  <si>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</si>
  <si>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</si>
  <si>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</si>
  <si>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</si>
  <si>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</si>
  <si>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</si>
  <si>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</si>
  <si>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</si>
  <si>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</si>
  <si>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</si>
  <si>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</si>
  <si>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</si>
  <si>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</si>
  <si>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</si>
  <si>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</si>
  <si>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</si>
  <si>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</si>
  <si>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</si>
  <si>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</si>
  <si>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</si>
  <si>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</si>
  <si>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</si>
  <si>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</si>
  <si>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</si>
  <si>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</si>
  <si>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</si>
  <si>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</si>
  <si>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</si>
  <si>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</si>
  <si>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</si>
  <si>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</si>
  <si>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</si>
  <si>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</si>
  <si>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</si>
  <si>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</si>
  <si>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</si>
  <si>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</si>
  <si>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</si>
  <si>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</si>
  <si>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</si>
  <si>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</si>
  <si>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</si>
  <si>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</si>
  <si>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</si>
  <si>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</si>
  <si>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</si>
  <si>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</si>
  <si>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</si>
  <si>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</si>
  <si>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</si>
  <si>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</si>
  <si>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</si>
  <si>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</si>
  <si>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</si>
  <si>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</si>
  <si>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</si>
  <si>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</si>
  <si>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</si>
  <si>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</si>
  <si>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</si>
  <si>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</si>
  <si>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</si>
  <si>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</si>
  <si>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</si>
  <si>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</si>
  <si>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</si>
  <si>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</si>
  <si>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</si>
  <si>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</si>
  <si>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</si>
  <si>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</si>
  <si>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</si>
  <si>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</si>
  <si>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</si>
  <si>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</si>
  <si>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</si>
  <si>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</si>
  <si>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</si>
  <si>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</si>
  <si>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</si>
  <si>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</si>
  <si>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</si>
  <si>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</si>
  <si>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</si>
  <si>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</si>
  <si>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</si>
  <si>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</si>
  <si>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</si>
  <si>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</si>
  <si>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</si>
  <si>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</si>
  <si>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</si>
  <si>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</si>
  <si>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</si>
  <si>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</si>
  <si>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</si>
  <si>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</si>
  <si>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</si>
  <si>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</si>
  <si>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</si>
  <si>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</si>
  <si>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</si>
  <si>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</si>
  <si>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</si>
  <si>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</si>
  <si>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</si>
  <si>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</si>
  <si>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</si>
  <si>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</si>
  <si>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</si>
  <si>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</si>
  <si>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</si>
  <si>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</si>
  <si>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</si>
  <si>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</si>
  <si>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</si>
  <si>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</si>
  <si>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</si>
  <si>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</si>
  <si>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</si>
  <si>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</si>
  <si>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</si>
  <si>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</si>
  <si>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</si>
  <si>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</si>
  <si>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</si>
  <si>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</si>
  <si>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</si>
  <si>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</si>
  <si>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</si>
  <si>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</si>
  <si>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</si>
  <si>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</si>
  <si>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</si>
  <si>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</si>
  <si>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</si>
  <si>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</si>
  <si>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</si>
  <si>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</si>
  <si>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</si>
  <si>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</si>
  <si>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</si>
  <si>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</si>
  <si>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</si>
  <si>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</si>
  <si>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</si>
  <si>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</si>
  <si>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</si>
  <si>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</si>
  <si>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</si>
  <si>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</si>
  <si>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</si>
  <si>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</si>
  <si>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</si>
  <si>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</si>
  <si>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</si>
  <si>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</si>
  <si>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</si>
  <si>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</si>
  <si>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</si>
  <si>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</si>
  <si>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</si>
  <si>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</si>
  <si>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</si>
  <si>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</si>
  <si>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</si>
  <si>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</si>
  <si>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</si>
  <si>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</si>
  <si>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</si>
  <si>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</si>
  <si>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</si>
  <si>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</si>
  <si>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</si>
  <si>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</si>
  <si>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</si>
  <si>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</si>
  <si>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</si>
  <si>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</si>
  <si>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</si>
  <si>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</si>
  <si>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</si>
  <si>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</si>
  <si>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</si>
  <si>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</si>
  <si>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</si>
  <si>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</si>
  <si>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</si>
  <si>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</si>
  <si>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</si>
  <si>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</si>
  <si>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</si>
  <si>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</si>
  <si>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</si>
  <si>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</si>
  <si>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</si>
  <si>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</si>
  <si>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</si>
  <si>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</si>
  <si>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</si>
  <si>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</si>
  <si>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</si>
  <si>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</si>
  <si>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</si>
  <si>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</si>
  <si>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</si>
  <si>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</si>
  <si>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</si>
  <si>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</si>
  <si>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</si>
  <si>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</si>
  <si>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</si>
  <si>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</si>
  <si>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</si>
  <si>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</si>
  <si>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</si>
  <si>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</si>
  <si>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</si>
  <si>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</si>
  <si>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</si>
  <si>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</si>
  <si>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</si>
  <si>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</si>
  <si>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</si>
  <si>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</si>
  <si>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</si>
  <si>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</si>
  <si>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</si>
  <si>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</si>
  <si>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</si>
  <si>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</si>
  <si>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</si>
  <si>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</si>
  <si>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</si>
  <si>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</si>
  <si>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</si>
  <si>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</si>
  <si>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</si>
  <si>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</si>
  <si>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</si>
  <si>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</si>
  <si>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</si>
  <si>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</si>
  <si>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</si>
  <si>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</si>
  <si>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</si>
  <si>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</si>
  <si>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</si>
  <si>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</si>
  <si>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</si>
  <si>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</si>
  <si>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</si>
  <si>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</si>
  <si>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</si>
  <si>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</si>
  <si>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</si>
  <si>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</si>
  <si>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</si>
  <si>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</si>
  <si>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</si>
  <si>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</si>
  <si>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</si>
  <si>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</si>
  <si>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</si>
  <si>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</si>
  <si>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</si>
  <si>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</si>
  <si>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</si>
  <si>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</si>
  <si>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</si>
  <si>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</si>
  <si>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</si>
  <si>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</si>
  <si>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</si>
  <si>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</si>
  <si>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</si>
  <si>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</si>
  <si>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</si>
  <si>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</si>
  <si>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</si>
  <si>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</si>
  <si>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</si>
  <si>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</si>
  <si>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</si>
  <si>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</si>
  <si>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</si>
  <si>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</si>
  <si>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</si>
  <si>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</si>
  <si>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</si>
  <si>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</si>
  <si>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</si>
  <si>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</si>
  <si>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</si>
  <si>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</si>
  <si>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</si>
  <si>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</si>
  <si>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</si>
  <si>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</si>
  <si>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</si>
  <si>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</si>
  <si>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</si>
  <si>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</si>
  <si>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</si>
  <si>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</si>
  <si>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</si>
  <si>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</si>
  <si>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</si>
  <si>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</si>
  <si>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</si>
  <si>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</si>
  <si>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</si>
  <si>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</si>
  <si>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</si>
  <si>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</si>
  <si>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</si>
  <si>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</si>
  <si>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</si>
  <si>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</si>
  <si>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</si>
  <si>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</si>
  <si>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</si>
  <si>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</si>
  <si>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</si>
  <si>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</si>
  <si>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</si>
  <si>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</si>
  <si>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</si>
  <si>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</si>
  <si>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</si>
  <si>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</si>
  <si>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</si>
  <si>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</si>
  <si>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</si>
  <si>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</si>
  <si>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</si>
  <si>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</si>
  <si>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</si>
  <si>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</si>
  <si>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</si>
  <si>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</si>
  <si>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</si>
  <si>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</si>
  <si>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</si>
  <si>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</si>
  <si>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</si>
  <si>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</si>
  <si>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</si>
  <si>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</si>
  <si>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</si>
  <si>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</si>
  <si>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</si>
  <si>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</si>
  <si>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</si>
  <si>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</si>
  <si>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</si>
  <si>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</si>
  <si>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</si>
  <si>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</si>
  <si>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</si>
  <si>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</si>
  <si>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</si>
  <si>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</si>
  <si>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</si>
  <si>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</si>
  <si>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</si>
  <si>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</si>
  <si>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</si>
  <si>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</si>
  <si>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</si>
  <si>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</si>
  <si>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</si>
  <si>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</si>
  <si>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</si>
  <si>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</si>
  <si>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</si>
  <si>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</si>
  <si>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</si>
  <si>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</si>
  <si>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</si>
  <si>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</si>
  <si>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</si>
  <si>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</si>
  <si>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</si>
  <si>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</si>
  <si>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</si>
  <si>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</si>
  <si>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</si>
  <si>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</si>
  <si>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</si>
  <si>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</si>
  <si>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</si>
  <si>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</si>
  <si>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</si>
  <si>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</si>
  <si>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</si>
  <si>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</si>
  <si>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</si>
  <si>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</si>
  <si>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</si>
  <si>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</si>
  <si>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</si>
  <si>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</si>
  <si>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</si>
  <si>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</si>
  <si>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</si>
  <si>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</si>
  <si>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</si>
  <si>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</si>
  <si>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</si>
  <si>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</si>
  <si>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</si>
  <si>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</si>
  <si>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</si>
  <si>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</si>
  <si>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</si>
  <si>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</si>
  <si>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</si>
  <si>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</si>
  <si>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</si>
  <si>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</si>
  <si>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</si>
  <si>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</si>
  <si>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</si>
  <si>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</si>
  <si>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</si>
  <si>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</si>
  <si>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</si>
  <si>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</si>
  <si>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</si>
  <si>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</si>
  <si>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</si>
  <si>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</si>
  <si>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</si>
  <si>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</si>
  <si>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</si>
  <si>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</si>
  <si>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</si>
  <si>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</si>
  <si>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</si>
  <si>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</si>
  <si>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</si>
  <si>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</si>
  <si>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</si>
  <si>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</si>
  <si>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</si>
  <si>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</si>
  <si>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</si>
  <si>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</si>
  <si>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</si>
  <si>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</si>
  <si>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</si>
  <si>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Heart Chamber</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</si>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</sst>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3"/>
  <sheetViews>
    <sheetView zoomScaleNormal="100" workbookViewId="0">
      <pane ySplit="1" topLeftCell="A41" activePane="bottomLeft" state="frozen"/>
      <selection pane="bottomLeft" activeCell="B54" sqref="B5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2975</v>
      </c>
      <c r="B12" t="s">
        <v>17</v>
      </c>
      <c r="C12" t="s">
        <v>2989</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2964</v>
      </c>
      <c r="B53" t="s">
        <v>17</v>
      </c>
      <c r="C53" t="s">
        <v>2965</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3036</v>
      </c>
      <c r="B54" t="s">
        <v>17</v>
      </c>
      <c r="C54" t="s">
        <v>3037</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3027</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2848</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19</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2805</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2806</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2970</v>
      </c>
      <c r="B68" t="s">
        <v>17</v>
      </c>
      <c r="C68" t="s">
        <v>2974</v>
      </c>
      <c r="D68">
        <v>500</v>
      </c>
      <c r="E68" s="1" t="s">
        <v>19</v>
      </c>
      <c r="F68" s="1" t="s">
        <v>21</v>
      </c>
      <c r="G68" t="s">
        <v>42</v>
      </c>
      <c r="H68">
        <v>0</v>
      </c>
      <c r="I68" s="7" t="b">
        <v>0</v>
      </c>
      <c r="J68" s="7" t="b">
        <v>0</v>
      </c>
      <c r="K68" s="1" t="s">
        <v>19</v>
      </c>
      <c r="L68" s="1" t="s">
        <v>19</v>
      </c>
      <c r="M68" s="1" t="s">
        <v>19</v>
      </c>
      <c r="N68" s="1" t="s">
        <v>19</v>
      </c>
      <c r="O68" s="1" t="s">
        <v>21</v>
      </c>
      <c r="P68" s="1" t="s">
        <v>21</v>
      </c>
    </row>
    <row r="69" spans="1:16" x14ac:dyDescent="0.15">
      <c r="A69" t="s">
        <v>23</v>
      </c>
      <c r="B69" t="s">
        <v>17</v>
      </c>
      <c r="C69" t="s">
        <v>162</v>
      </c>
      <c r="D69">
        <v>500</v>
      </c>
      <c r="E69" s="1" t="s">
        <v>19</v>
      </c>
      <c r="F69" s="1" t="s">
        <v>19</v>
      </c>
      <c r="G69" t="s">
        <v>25</v>
      </c>
      <c r="H69">
        <v>2</v>
      </c>
      <c r="I69" s="7" t="b">
        <v>0</v>
      </c>
      <c r="J69" s="7" t="b">
        <v>1</v>
      </c>
      <c r="K69" s="1" t="s">
        <v>21</v>
      </c>
      <c r="L69" s="1" t="s">
        <v>19</v>
      </c>
      <c r="M69" s="1" t="s">
        <v>19</v>
      </c>
      <c r="N69" s="1" t="s">
        <v>21</v>
      </c>
      <c r="O69" s="1" t="s">
        <v>21</v>
      </c>
      <c r="P69" s="1" t="s">
        <v>21</v>
      </c>
    </row>
    <row r="70" spans="1:16" x14ac:dyDescent="0.15">
      <c r="A70" s="6" t="s">
        <v>116</v>
      </c>
      <c r="B70" t="s">
        <v>23</v>
      </c>
      <c r="C70" t="s">
        <v>163</v>
      </c>
      <c r="D70">
        <v>500</v>
      </c>
      <c r="E70" s="1" t="s">
        <v>19</v>
      </c>
      <c r="F70" s="1" t="s">
        <v>19</v>
      </c>
      <c r="G70" t="s">
        <v>25</v>
      </c>
      <c r="H70">
        <v>2</v>
      </c>
      <c r="I70" s="7" t="b">
        <v>0</v>
      </c>
      <c r="J70" s="7" t="b">
        <v>0</v>
      </c>
      <c r="K70" s="1" t="s">
        <v>21</v>
      </c>
      <c r="L70" s="1" t="s">
        <v>19</v>
      </c>
      <c r="M70" s="1" t="s">
        <v>19</v>
      </c>
      <c r="N70" s="1" t="s">
        <v>19</v>
      </c>
      <c r="O70" s="1" t="s">
        <v>21</v>
      </c>
      <c r="P70" s="1" t="s">
        <v>21</v>
      </c>
    </row>
    <row r="71" spans="1:16" x14ac:dyDescent="0.15">
      <c r="A71" t="s">
        <v>38</v>
      </c>
      <c r="B71" t="s">
        <v>164</v>
      </c>
      <c r="C71" t="s">
        <v>165</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t="s">
        <v>164</v>
      </c>
      <c r="B72" t="s">
        <v>23</v>
      </c>
      <c r="C72" t="s">
        <v>166</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s="6" t="s">
        <v>167</v>
      </c>
      <c r="B73" t="s">
        <v>168</v>
      </c>
      <c r="C73" t="s">
        <v>169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s="6" t="s">
        <v>170</v>
      </c>
      <c r="B74" t="s">
        <v>168</v>
      </c>
      <c r="C74" t="s">
        <v>171</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168</v>
      </c>
      <c r="B75" s="6" t="s">
        <v>22</v>
      </c>
      <c r="C75" s="6" t="s">
        <v>172</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173</v>
      </c>
      <c r="B76" t="s">
        <v>174</v>
      </c>
      <c r="C76" t="s">
        <v>175</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176</v>
      </c>
      <c r="B77" t="s">
        <v>174</v>
      </c>
      <c r="C77" t="s">
        <v>177</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174</v>
      </c>
      <c r="B78" s="6" t="s">
        <v>22</v>
      </c>
      <c r="C78" s="6" t="s">
        <v>178</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179</v>
      </c>
      <c r="B79" t="s">
        <v>180</v>
      </c>
      <c r="C79" t="s">
        <v>2804</v>
      </c>
      <c r="D79">
        <v>500</v>
      </c>
      <c r="E79" s="1" t="s">
        <v>19</v>
      </c>
      <c r="F79" s="1" t="s">
        <v>19</v>
      </c>
      <c r="G79" t="s">
        <v>42</v>
      </c>
      <c r="H79">
        <v>0</v>
      </c>
      <c r="I79" s="7" t="b">
        <v>0</v>
      </c>
      <c r="J79" s="7" t="b">
        <v>0</v>
      </c>
      <c r="K79" s="1" t="s">
        <v>21</v>
      </c>
      <c r="L79" s="1" t="s">
        <v>19</v>
      </c>
      <c r="M79" s="1" t="s">
        <v>19</v>
      </c>
      <c r="N79" s="1" t="s">
        <v>19</v>
      </c>
      <c r="O79" s="1" t="s">
        <v>21</v>
      </c>
      <c r="P79" s="1" t="s">
        <v>19</v>
      </c>
    </row>
    <row r="80" spans="1:16" x14ac:dyDescent="0.15">
      <c r="A80" s="6" t="s">
        <v>182</v>
      </c>
      <c r="B80" s="6" t="s">
        <v>183</v>
      </c>
      <c r="C80" s="6" t="s">
        <v>184</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s="6" t="s">
        <v>186</v>
      </c>
      <c r="B81" s="6" t="s">
        <v>187</v>
      </c>
      <c r="C81" s="6" t="s">
        <v>188</v>
      </c>
      <c r="D81">
        <v>400</v>
      </c>
      <c r="E81" s="1" t="s">
        <v>19</v>
      </c>
      <c r="F81" s="1" t="s">
        <v>21</v>
      </c>
      <c r="G81" t="s">
        <v>185</v>
      </c>
      <c r="H81">
        <v>1</v>
      </c>
      <c r="I81" s="7" t="b">
        <v>0</v>
      </c>
      <c r="J81" s="7" t="b">
        <v>0</v>
      </c>
      <c r="K81" s="1" t="s">
        <v>19</v>
      </c>
      <c r="L81" s="1" t="s">
        <v>19</v>
      </c>
      <c r="M81" s="1" t="s">
        <v>19</v>
      </c>
      <c r="N81" s="1" t="s">
        <v>19</v>
      </c>
      <c r="O81" s="1" t="s">
        <v>19</v>
      </c>
      <c r="P81" s="1" t="s">
        <v>21</v>
      </c>
    </row>
    <row r="82" spans="1:16" x14ac:dyDescent="0.15">
      <c r="A82" s="6" t="s">
        <v>183</v>
      </c>
      <c r="B82" t="s">
        <v>17</v>
      </c>
      <c r="C82" t="s">
        <v>189</v>
      </c>
      <c r="D82">
        <v>400</v>
      </c>
      <c r="E82" s="1" t="s">
        <v>19</v>
      </c>
      <c r="F82" s="1" t="s">
        <v>19</v>
      </c>
      <c r="G82" t="s">
        <v>185</v>
      </c>
      <c r="H82">
        <v>1</v>
      </c>
      <c r="I82" s="7" t="b">
        <v>0</v>
      </c>
      <c r="J82" s="7" t="b">
        <v>0</v>
      </c>
      <c r="K82" s="1" t="s">
        <v>21</v>
      </c>
      <c r="L82" s="1" t="s">
        <v>19</v>
      </c>
      <c r="M82" s="1" t="s">
        <v>19</v>
      </c>
      <c r="N82" s="1" t="s">
        <v>19</v>
      </c>
      <c r="O82" s="1" t="s">
        <v>21</v>
      </c>
      <c r="P82" s="1" t="s">
        <v>19</v>
      </c>
    </row>
    <row r="83" spans="1:16" x14ac:dyDescent="0.15">
      <c r="A83" s="6" t="s">
        <v>190</v>
      </c>
      <c r="B83" s="6" t="s">
        <v>183</v>
      </c>
      <c r="C83" s="6" t="s">
        <v>191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s="6" t="s">
        <v>192</v>
      </c>
      <c r="B84" s="6" t="s">
        <v>183</v>
      </c>
      <c r="C84" s="6" t="s">
        <v>2861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t="s">
        <v>193</v>
      </c>
      <c r="B85" t="s">
        <v>17</v>
      </c>
      <c r="C85" t="s">
        <v>194</v>
      </c>
      <c r="D85">
        <v>500</v>
      </c>
      <c r="E85" s="1" t="s">
        <v>19</v>
      </c>
      <c r="F85" s="1" t="s">
        <v>19</v>
      </c>
      <c r="G85" t="s">
        <v>114</v>
      </c>
      <c r="H85">
        <v>0</v>
      </c>
      <c r="I85" s="7" t="b">
        <v>1</v>
      </c>
      <c r="J85" s="7" t="b">
        <v>1</v>
      </c>
      <c r="K85" s="1" t="s">
        <v>21</v>
      </c>
      <c r="L85" s="1" t="s">
        <v>19</v>
      </c>
      <c r="M85" s="1" t="s">
        <v>19</v>
      </c>
      <c r="N85" s="1" t="s">
        <v>19</v>
      </c>
      <c r="O85" s="1" t="s">
        <v>21</v>
      </c>
      <c r="P85" s="1" t="s">
        <v>19</v>
      </c>
    </row>
    <row r="86" spans="1:16" x14ac:dyDescent="0.15">
      <c r="A86" t="s">
        <v>180</v>
      </c>
      <c r="B86" t="s">
        <v>17</v>
      </c>
      <c r="C86" t="s">
        <v>195</v>
      </c>
      <c r="D86">
        <v>500</v>
      </c>
      <c r="E86" s="1" t="s">
        <v>19</v>
      </c>
      <c r="F86" s="1" t="s">
        <v>19</v>
      </c>
      <c r="G86" t="s">
        <v>42</v>
      </c>
      <c r="H86">
        <v>0</v>
      </c>
      <c r="I86" s="7" t="b">
        <v>0</v>
      </c>
      <c r="J86" s="7" t="b">
        <v>0</v>
      </c>
      <c r="K86" s="1" t="s">
        <v>21</v>
      </c>
      <c r="L86" s="1" t="s">
        <v>19</v>
      </c>
      <c r="M86" s="1" t="s">
        <v>19</v>
      </c>
      <c r="N86" s="1" t="s">
        <v>19</v>
      </c>
      <c r="O86" s="1" t="s">
        <v>21</v>
      </c>
      <c r="P86" s="1" t="s">
        <v>19</v>
      </c>
    </row>
    <row r="87" spans="1:16" x14ac:dyDescent="0.15">
      <c r="A87" s="6" t="s">
        <v>196</v>
      </c>
      <c r="B87" t="s">
        <v>17</v>
      </c>
      <c r="C87" t="s">
        <v>197</v>
      </c>
      <c r="D87">
        <v>500</v>
      </c>
      <c r="E87" s="1" t="s">
        <v>19</v>
      </c>
      <c r="F87" s="1" t="s">
        <v>19</v>
      </c>
      <c r="G87" t="s">
        <v>42</v>
      </c>
      <c r="H87">
        <v>0</v>
      </c>
      <c r="I87" s="7" t="b">
        <v>1</v>
      </c>
      <c r="J87" s="7" t="b">
        <v>0</v>
      </c>
      <c r="K87" s="1" t="s">
        <v>21</v>
      </c>
      <c r="L87" s="1" t="s">
        <v>19</v>
      </c>
      <c r="M87" s="1" t="s">
        <v>19</v>
      </c>
      <c r="N87" s="1" t="s">
        <v>19</v>
      </c>
      <c r="O87" s="1" t="s">
        <v>21</v>
      </c>
      <c r="P87" s="1" t="s">
        <v>19</v>
      </c>
    </row>
    <row r="88" spans="1:16" x14ac:dyDescent="0.15">
      <c r="A88" t="s">
        <v>198</v>
      </c>
      <c r="B88" t="s">
        <v>17</v>
      </c>
      <c r="C88" t="s">
        <v>199</v>
      </c>
      <c r="D88">
        <v>500</v>
      </c>
      <c r="E88" s="1" t="s">
        <v>19</v>
      </c>
      <c r="F88" s="1" t="s">
        <v>19</v>
      </c>
      <c r="G88" t="s">
        <v>42</v>
      </c>
      <c r="H88">
        <v>0</v>
      </c>
      <c r="I88" s="7" t="b">
        <v>0</v>
      </c>
      <c r="J88" s="7" t="b">
        <v>0</v>
      </c>
      <c r="K88" s="1" t="s">
        <v>21</v>
      </c>
      <c r="L88" s="1" t="s">
        <v>19</v>
      </c>
      <c r="M88" s="1" t="s">
        <v>19</v>
      </c>
      <c r="N88" s="1" t="s">
        <v>19</v>
      </c>
      <c r="O88" s="1" t="s">
        <v>21</v>
      </c>
      <c r="P88" s="1" t="s">
        <v>19</v>
      </c>
    </row>
    <row r="89" spans="1:16" x14ac:dyDescent="0.15">
      <c r="A89" t="s">
        <v>200</v>
      </c>
      <c r="B89" t="s">
        <v>17</v>
      </c>
      <c r="C89" t="s">
        <v>201</v>
      </c>
      <c r="D89">
        <v>500</v>
      </c>
      <c r="E89" s="1" t="s">
        <v>21</v>
      </c>
      <c r="F89" s="1" t="s">
        <v>19</v>
      </c>
      <c r="G89" t="s">
        <v>202</v>
      </c>
      <c r="H89">
        <v>0</v>
      </c>
      <c r="I89" s="7" t="b">
        <v>1</v>
      </c>
      <c r="J89" s="7" t="b">
        <v>1</v>
      </c>
      <c r="K89" s="1" t="s">
        <v>21</v>
      </c>
      <c r="L89" s="1" t="s">
        <v>19</v>
      </c>
      <c r="M89" s="1" t="s">
        <v>19</v>
      </c>
      <c r="N89" s="1" t="s">
        <v>19</v>
      </c>
      <c r="O89" s="1" t="s">
        <v>21</v>
      </c>
      <c r="P89" s="1" t="s">
        <v>19</v>
      </c>
    </row>
    <row r="90" spans="1:16" x14ac:dyDescent="0.15">
      <c r="A90" s="6" t="s">
        <v>203</v>
      </c>
      <c r="B90" s="6" t="s">
        <v>27</v>
      </c>
      <c r="C90" s="6" t="s">
        <v>204</v>
      </c>
      <c r="D90">
        <v>500</v>
      </c>
      <c r="E90" s="1" t="s">
        <v>19</v>
      </c>
      <c r="F90" s="1" t="s">
        <v>19</v>
      </c>
      <c r="G90" t="s">
        <v>29</v>
      </c>
      <c r="H90">
        <v>1</v>
      </c>
      <c r="I90" s="7" t="b">
        <v>0</v>
      </c>
      <c r="J90" s="7" t="b">
        <v>1</v>
      </c>
      <c r="K90" s="1" t="s">
        <v>21</v>
      </c>
      <c r="L90" s="1" t="s">
        <v>19</v>
      </c>
      <c r="M90" s="1" t="s">
        <v>19</v>
      </c>
      <c r="N90" s="1" t="s">
        <v>19</v>
      </c>
      <c r="O90" s="1" t="s">
        <v>21</v>
      </c>
      <c r="P90" s="1" t="s">
        <v>19</v>
      </c>
    </row>
    <row r="91" spans="1:16" x14ac:dyDescent="0.15">
      <c r="A91" t="s">
        <v>134</v>
      </c>
      <c r="B91" t="s">
        <v>17</v>
      </c>
      <c r="C91" s="6" t="s">
        <v>205</v>
      </c>
      <c r="D91">
        <v>500</v>
      </c>
      <c r="E91" s="1" t="s">
        <v>21</v>
      </c>
      <c r="F91" s="1" t="s">
        <v>19</v>
      </c>
      <c r="G91" t="s">
        <v>132</v>
      </c>
      <c r="H91">
        <v>0</v>
      </c>
      <c r="I91" s="7" t="b">
        <v>0</v>
      </c>
      <c r="J91" s="7" t="b">
        <v>0</v>
      </c>
      <c r="K91" s="1" t="s">
        <v>21</v>
      </c>
      <c r="L91" s="1" t="s">
        <v>19</v>
      </c>
      <c r="M91" s="1" t="s">
        <v>21</v>
      </c>
      <c r="N91" s="1" t="s">
        <v>19</v>
      </c>
      <c r="O91" s="1" t="s">
        <v>19</v>
      </c>
      <c r="P91" s="1" t="s">
        <v>19</v>
      </c>
    </row>
    <row r="92" spans="1:16" x14ac:dyDescent="0.15">
      <c r="A92" t="s">
        <v>2987</v>
      </c>
      <c r="B92" s="6" t="s">
        <v>27</v>
      </c>
      <c r="C92" s="6" t="s">
        <v>2988</v>
      </c>
      <c r="D92">
        <v>600</v>
      </c>
      <c r="E92" s="1" t="s">
        <v>19</v>
      </c>
      <c r="F92" s="1" t="s">
        <v>21</v>
      </c>
      <c r="G92" t="s">
        <v>29</v>
      </c>
      <c r="H92">
        <v>0</v>
      </c>
      <c r="I92" s="7" t="b">
        <v>0</v>
      </c>
      <c r="J92" s="7" t="b">
        <v>1</v>
      </c>
      <c r="K92" s="1" t="s">
        <v>19</v>
      </c>
      <c r="L92" s="1" t="s">
        <v>19</v>
      </c>
      <c r="M92" s="1" t="s">
        <v>19</v>
      </c>
      <c r="N92" s="1" t="s">
        <v>19</v>
      </c>
      <c r="O92" s="1" t="s">
        <v>21</v>
      </c>
      <c r="P92" s="1" t="s">
        <v>21</v>
      </c>
    </row>
    <row r="93" spans="1:16" x14ac:dyDescent="0.15">
      <c r="A93" t="s">
        <v>206</v>
      </c>
      <c r="B93" t="s">
        <v>129</v>
      </c>
      <c r="C93" t="s">
        <v>207</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208</v>
      </c>
      <c r="B94" t="s">
        <v>206</v>
      </c>
      <c r="C94" t="s">
        <v>209</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2976</v>
      </c>
      <c r="B95" t="s">
        <v>17</v>
      </c>
      <c r="C95" t="s">
        <v>2977</v>
      </c>
      <c r="D95">
        <v>500</v>
      </c>
      <c r="E95" s="1" t="s">
        <v>19</v>
      </c>
      <c r="F95" s="1" t="s">
        <v>19</v>
      </c>
      <c r="G95" t="s">
        <v>47</v>
      </c>
      <c r="H95">
        <v>1</v>
      </c>
      <c r="I95" s="7" t="b">
        <v>0</v>
      </c>
      <c r="J95" s="7" t="b">
        <v>0</v>
      </c>
      <c r="K95" s="1" t="s">
        <v>21</v>
      </c>
      <c r="L95" s="1" t="s">
        <v>19</v>
      </c>
      <c r="M95" s="1" t="s">
        <v>19</v>
      </c>
      <c r="N95" s="1" t="s">
        <v>19</v>
      </c>
      <c r="O95" s="1" t="s">
        <v>21</v>
      </c>
      <c r="P95" s="1" t="s">
        <v>21</v>
      </c>
    </row>
    <row r="96" spans="1:16" x14ac:dyDescent="0.15">
      <c r="A96" s="6" t="s">
        <v>210</v>
      </c>
      <c r="B96" t="s">
        <v>211</v>
      </c>
      <c r="C96" t="s">
        <v>212</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211</v>
      </c>
      <c r="B97" t="s">
        <v>17</v>
      </c>
      <c r="C97" t="s">
        <v>213</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214</v>
      </c>
      <c r="B98" s="6" t="s">
        <v>27</v>
      </c>
      <c r="C98" s="6" t="s">
        <v>215</v>
      </c>
      <c r="D98">
        <v>550</v>
      </c>
      <c r="E98" s="1" t="s">
        <v>19</v>
      </c>
      <c r="F98" s="1" t="s">
        <v>19</v>
      </c>
      <c r="G98" t="s">
        <v>29</v>
      </c>
      <c r="H98">
        <v>1</v>
      </c>
      <c r="I98" s="7" t="b">
        <v>0</v>
      </c>
      <c r="J98" s="7" t="b">
        <v>0</v>
      </c>
      <c r="K98" s="1" t="s">
        <v>21</v>
      </c>
      <c r="L98" s="1" t="s">
        <v>19</v>
      </c>
      <c r="M98" s="1" t="s">
        <v>19</v>
      </c>
      <c r="N98" s="1" t="s">
        <v>19</v>
      </c>
      <c r="O98" s="1" t="s">
        <v>21</v>
      </c>
      <c r="P98" s="1" t="s">
        <v>19</v>
      </c>
    </row>
    <row r="99" spans="1:16" x14ac:dyDescent="0.15">
      <c r="A99" t="s">
        <v>216</v>
      </c>
      <c r="B99" t="s">
        <v>23</v>
      </c>
      <c r="C99" t="s">
        <v>217</v>
      </c>
      <c r="D99">
        <v>500</v>
      </c>
      <c r="E99" s="1" t="s">
        <v>19</v>
      </c>
      <c r="F99" s="1" t="s">
        <v>21</v>
      </c>
      <c r="G99" t="s">
        <v>25</v>
      </c>
      <c r="H99">
        <v>2</v>
      </c>
      <c r="I99" s="7" t="b">
        <v>0</v>
      </c>
      <c r="J99" s="7" t="b">
        <v>0</v>
      </c>
      <c r="K99" s="1" t="s">
        <v>21</v>
      </c>
      <c r="L99" s="1" t="s">
        <v>19</v>
      </c>
      <c r="M99" s="1" t="s">
        <v>19</v>
      </c>
      <c r="N99" s="1" t="s">
        <v>21</v>
      </c>
      <c r="O99" s="1" t="s">
        <v>21</v>
      </c>
      <c r="P99" s="1" t="s">
        <v>21</v>
      </c>
    </row>
    <row r="100" spans="1:16" x14ac:dyDescent="0.15">
      <c r="A100" t="s">
        <v>31</v>
      </c>
      <c r="B100" t="s">
        <v>17</v>
      </c>
      <c r="C100" t="s">
        <v>218</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219</v>
      </c>
      <c r="B101" t="s">
        <v>17</v>
      </c>
      <c r="C101" t="s">
        <v>220</v>
      </c>
      <c r="D101">
        <v>500</v>
      </c>
      <c r="E101" s="1" t="s">
        <v>19</v>
      </c>
      <c r="F101" s="1" t="s">
        <v>19</v>
      </c>
      <c r="G101" t="s">
        <v>185</v>
      </c>
      <c r="H101">
        <v>1</v>
      </c>
      <c r="I101" s="7" t="b">
        <v>0</v>
      </c>
      <c r="J101" s="7" t="b">
        <v>0</v>
      </c>
      <c r="K101" s="1" t="s">
        <v>21</v>
      </c>
      <c r="L101" s="1" t="s">
        <v>19</v>
      </c>
      <c r="M101" s="1" t="s">
        <v>19</v>
      </c>
      <c r="N101" s="1" t="s">
        <v>19</v>
      </c>
      <c r="O101" s="1" t="s">
        <v>21</v>
      </c>
      <c r="P101" s="1" t="s">
        <v>19</v>
      </c>
    </row>
    <row r="102" spans="1:16" x14ac:dyDescent="0.15">
      <c r="A102" t="s">
        <v>221</v>
      </c>
      <c r="B102" t="s">
        <v>38</v>
      </c>
      <c r="C102" t="s">
        <v>222</v>
      </c>
      <c r="D102">
        <v>500</v>
      </c>
      <c r="E102" s="1" t="s">
        <v>19</v>
      </c>
      <c r="F102" s="1" t="s">
        <v>21</v>
      </c>
      <c r="G102" t="s">
        <v>25</v>
      </c>
      <c r="H102">
        <v>2</v>
      </c>
      <c r="I102" s="7" t="b">
        <v>0</v>
      </c>
      <c r="J102" s="7" t="b">
        <v>0</v>
      </c>
      <c r="K102" s="1" t="s">
        <v>21</v>
      </c>
      <c r="L102" s="1" t="s">
        <v>19</v>
      </c>
      <c r="M102" s="1" t="s">
        <v>19</v>
      </c>
      <c r="N102" s="1" t="s">
        <v>21</v>
      </c>
      <c r="O102" s="1" t="s">
        <v>21</v>
      </c>
      <c r="P102" s="1" t="s">
        <v>21</v>
      </c>
    </row>
    <row r="103" spans="1:16" x14ac:dyDescent="0.15">
      <c r="A103" t="s">
        <v>223</v>
      </c>
      <c r="B103" t="s">
        <v>17</v>
      </c>
      <c r="C103" t="s">
        <v>224</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226</v>
      </c>
      <c r="B104" t="s">
        <v>17</v>
      </c>
      <c r="C104" t="s">
        <v>227</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228</v>
      </c>
      <c r="B105" t="s">
        <v>17</v>
      </c>
      <c r="C105" t="s">
        <v>229</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230</v>
      </c>
      <c r="B106" t="s">
        <v>17</v>
      </c>
      <c r="C106" t="s">
        <v>231</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232</v>
      </c>
      <c r="B107" t="s">
        <v>17</v>
      </c>
      <c r="C107" t="s">
        <v>233</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234</v>
      </c>
      <c r="B108" t="s">
        <v>17</v>
      </c>
      <c r="C108" t="s">
        <v>235</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236</v>
      </c>
      <c r="B109" t="s">
        <v>17</v>
      </c>
      <c r="C109" t="s">
        <v>237</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ht="13.5" customHeight="1" x14ac:dyDescent="0.15">
      <c r="A110" s="6" t="s">
        <v>238</v>
      </c>
      <c r="B110" t="s">
        <v>17</v>
      </c>
      <c r="C110" t="s">
        <v>239</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240</v>
      </c>
      <c r="B111" t="s">
        <v>17</v>
      </c>
      <c r="C111" t="s">
        <v>2807</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242</v>
      </c>
      <c r="B112" s="6" t="s">
        <v>22</v>
      </c>
      <c r="C112" s="6" t="s">
        <v>243</v>
      </c>
      <c r="D112">
        <v>500</v>
      </c>
      <c r="E112" s="1" t="s">
        <v>19</v>
      </c>
      <c r="F112" s="1" t="s">
        <v>21</v>
      </c>
      <c r="G112" t="s">
        <v>25</v>
      </c>
      <c r="H112">
        <v>2</v>
      </c>
      <c r="I112" s="7" t="b">
        <v>0</v>
      </c>
      <c r="J112" s="7" t="b">
        <v>0</v>
      </c>
      <c r="K112" s="1" t="s">
        <v>21</v>
      </c>
      <c r="L112" s="1" t="s">
        <v>19</v>
      </c>
      <c r="M112" s="1" t="s">
        <v>19</v>
      </c>
      <c r="N112" s="1" t="s">
        <v>19</v>
      </c>
      <c r="O112" s="1" t="s">
        <v>21</v>
      </c>
      <c r="P112" s="1" t="s">
        <v>21</v>
      </c>
    </row>
    <row r="113" spans="1:16" x14ac:dyDescent="0.15">
      <c r="A113" t="s">
        <v>244</v>
      </c>
      <c r="B113" t="s">
        <v>17</v>
      </c>
      <c r="C113" t="s">
        <v>2859</v>
      </c>
      <c r="D113">
        <v>800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246</v>
      </c>
      <c r="B114" t="s">
        <v>17</v>
      </c>
      <c r="C114" t="s">
        <v>247</v>
      </c>
      <c r="D114">
        <v>700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248</v>
      </c>
      <c r="B115" t="s">
        <v>17</v>
      </c>
      <c r="C115" t="s">
        <v>249</v>
      </c>
      <c r="D115">
        <v>550</v>
      </c>
      <c r="E115" s="1" t="s">
        <v>19</v>
      </c>
      <c r="F115" s="1" t="s">
        <v>19</v>
      </c>
      <c r="G115" t="s">
        <v>245</v>
      </c>
      <c r="H115">
        <v>0</v>
      </c>
      <c r="I115" s="7" t="b">
        <v>0</v>
      </c>
      <c r="J115" s="7" t="b">
        <v>0</v>
      </c>
      <c r="K115" s="1" t="s">
        <v>21</v>
      </c>
      <c r="L115" s="1" t="s">
        <v>21</v>
      </c>
      <c r="M115" s="1" t="s">
        <v>19</v>
      </c>
      <c r="N115" s="1" t="s">
        <v>19</v>
      </c>
      <c r="O115" s="1" t="s">
        <v>19</v>
      </c>
      <c r="P115" s="1" t="s">
        <v>19</v>
      </c>
    </row>
    <row r="116" spans="1:16" x14ac:dyDescent="0.15">
      <c r="A116" t="s">
        <v>250</v>
      </c>
      <c r="B116" t="s">
        <v>17</v>
      </c>
      <c r="C116" t="s">
        <v>251</v>
      </c>
      <c r="D116">
        <v>600</v>
      </c>
      <c r="E116" s="1" t="s">
        <v>19</v>
      </c>
      <c r="F116" s="1" t="s">
        <v>19</v>
      </c>
      <c r="G116" t="s">
        <v>245</v>
      </c>
      <c r="H116">
        <v>0</v>
      </c>
      <c r="I116" s="7" t="b">
        <v>0</v>
      </c>
      <c r="J116" s="7" t="b">
        <v>0</v>
      </c>
      <c r="K116" s="1" t="s">
        <v>19</v>
      </c>
      <c r="L116" s="1" t="s">
        <v>21</v>
      </c>
      <c r="M116" s="1" t="s">
        <v>19</v>
      </c>
      <c r="N116" s="1" t="s">
        <v>19</v>
      </c>
      <c r="O116" s="1" t="s">
        <v>19</v>
      </c>
      <c r="P116" s="1" t="s">
        <v>19</v>
      </c>
    </row>
    <row r="117" spans="1:16" x14ac:dyDescent="0.15">
      <c r="A117" t="s">
        <v>252</v>
      </c>
      <c r="B117" t="s">
        <v>17</v>
      </c>
      <c r="C117" t="s">
        <v>253</v>
      </c>
      <c r="D117">
        <v>500</v>
      </c>
      <c r="E117" s="1" t="s">
        <v>19</v>
      </c>
      <c r="F117" s="1" t="s">
        <v>19</v>
      </c>
      <c r="G117" t="s">
        <v>245</v>
      </c>
      <c r="H117">
        <v>0</v>
      </c>
      <c r="I117" s="7" t="b">
        <v>0</v>
      </c>
      <c r="J117" s="7" t="b">
        <v>0</v>
      </c>
      <c r="K117" s="1" t="s">
        <v>21</v>
      </c>
      <c r="L117" s="1" t="s">
        <v>21</v>
      </c>
      <c r="M117" s="1" t="s">
        <v>19</v>
      </c>
      <c r="N117" s="1" t="s">
        <v>19</v>
      </c>
      <c r="O117" s="1" t="s">
        <v>19</v>
      </c>
      <c r="P117" s="1" t="s">
        <v>19</v>
      </c>
    </row>
    <row r="118" spans="1:16" x14ac:dyDescent="0.15">
      <c r="A118" t="s">
        <v>254</v>
      </c>
      <c r="B118" t="s">
        <v>17</v>
      </c>
      <c r="C118" t="s">
        <v>255</v>
      </c>
      <c r="D118">
        <v>300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2819</v>
      </c>
      <c r="B119" t="s">
        <v>17</v>
      </c>
      <c r="C119" t="s">
        <v>2820</v>
      </c>
      <c r="D119">
        <v>500</v>
      </c>
      <c r="E119" s="1" t="s">
        <v>19</v>
      </c>
      <c r="F119" s="1" t="s">
        <v>19</v>
      </c>
      <c r="G119" t="s">
        <v>20</v>
      </c>
      <c r="H119">
        <v>0</v>
      </c>
      <c r="I119" s="2" t="b">
        <v>0</v>
      </c>
      <c r="J119" s="7" t="b">
        <v>0</v>
      </c>
      <c r="K119" s="1" t="s">
        <v>21</v>
      </c>
      <c r="L119" s="1" t="s">
        <v>19</v>
      </c>
      <c r="M119" s="1" t="s">
        <v>19</v>
      </c>
      <c r="N119" s="1" t="s">
        <v>19</v>
      </c>
      <c r="O119" s="1" t="s">
        <v>21</v>
      </c>
      <c r="P119" s="1" t="s">
        <v>19</v>
      </c>
    </row>
    <row r="120" spans="1:16" x14ac:dyDescent="0.15">
      <c r="A120" t="s">
        <v>2849</v>
      </c>
      <c r="B120" t="s">
        <v>17</v>
      </c>
      <c r="C120" t="s">
        <v>2922</v>
      </c>
      <c r="D120">
        <v>500</v>
      </c>
      <c r="E120" s="1" t="s">
        <v>21</v>
      </c>
      <c r="F120" s="1" t="s">
        <v>19</v>
      </c>
      <c r="G120" t="s">
        <v>2850</v>
      </c>
      <c r="H120">
        <v>0</v>
      </c>
      <c r="I120" s="2" t="b">
        <v>0</v>
      </c>
      <c r="J120" s="7" t="b">
        <v>0</v>
      </c>
      <c r="K120" s="1" t="s">
        <v>21</v>
      </c>
      <c r="L120" s="1" t="s">
        <v>19</v>
      </c>
      <c r="M120" s="1" t="s">
        <v>19</v>
      </c>
      <c r="N120" s="1" t="s">
        <v>19</v>
      </c>
      <c r="O120" s="1" t="s">
        <v>21</v>
      </c>
      <c r="P120" s="1" t="s">
        <v>19</v>
      </c>
    </row>
    <row r="121" spans="1:16" x14ac:dyDescent="0.15">
      <c r="A121" t="s">
        <v>2920</v>
      </c>
      <c r="B121" t="s">
        <v>17</v>
      </c>
      <c r="C121" t="s">
        <v>2923</v>
      </c>
      <c r="D121">
        <v>500</v>
      </c>
      <c r="E121" s="1" t="s">
        <v>21</v>
      </c>
      <c r="F121" s="1" t="s">
        <v>19</v>
      </c>
      <c r="G121" t="s">
        <v>2921</v>
      </c>
      <c r="H121">
        <v>0</v>
      </c>
      <c r="I121" s="2" t="b">
        <v>0</v>
      </c>
      <c r="J121" s="2" t="b">
        <v>0</v>
      </c>
      <c r="K121" s="1" t="s">
        <v>19</v>
      </c>
      <c r="L121" s="1" t="s">
        <v>19</v>
      </c>
      <c r="M121" s="1" t="s">
        <v>19</v>
      </c>
      <c r="N121" s="1" t="s">
        <v>19</v>
      </c>
      <c r="O121" s="1" t="s">
        <v>21</v>
      </c>
      <c r="P121" s="1" t="s">
        <v>19</v>
      </c>
    </row>
    <row r="122" spans="1:16" x14ac:dyDescent="0.15">
      <c r="A122" t="s">
        <v>2928</v>
      </c>
      <c r="B122" t="s">
        <v>17</v>
      </c>
      <c r="C122" t="s">
        <v>2929</v>
      </c>
      <c r="D122">
        <v>650</v>
      </c>
      <c r="E122" s="1" t="s">
        <v>19</v>
      </c>
      <c r="F122" s="1" t="s">
        <v>19</v>
      </c>
      <c r="G122" t="s">
        <v>47</v>
      </c>
      <c r="H122">
        <v>0</v>
      </c>
      <c r="I122" s="2" t="b">
        <v>0</v>
      </c>
      <c r="J122" s="2" t="b">
        <v>0</v>
      </c>
      <c r="K122" s="1" t="s">
        <v>21</v>
      </c>
      <c r="L122" s="1" t="s">
        <v>19</v>
      </c>
      <c r="M122" s="1" t="s">
        <v>19</v>
      </c>
      <c r="N122" s="1" t="s">
        <v>19</v>
      </c>
      <c r="O122" s="1" t="s">
        <v>21</v>
      </c>
      <c r="P122" s="1" t="s">
        <v>21</v>
      </c>
    </row>
    <row r="123" spans="1:16" x14ac:dyDescent="0.15">
      <c r="A123" t="s">
        <v>3018</v>
      </c>
      <c r="B123" t="s">
        <v>17</v>
      </c>
      <c r="C123" t="s">
        <v>3019</v>
      </c>
      <c r="D123">
        <v>500</v>
      </c>
      <c r="E123" s="1" t="s">
        <v>19</v>
      </c>
      <c r="F123" s="1" t="s">
        <v>19</v>
      </c>
      <c r="G123" t="s">
        <v>42</v>
      </c>
      <c r="H123">
        <v>0</v>
      </c>
      <c r="I123" s="2" t="b">
        <v>0</v>
      </c>
      <c r="J123" s="2" t="b">
        <v>0</v>
      </c>
      <c r="K123" s="1" t="s">
        <v>21</v>
      </c>
      <c r="L123" s="1" t="s">
        <v>19</v>
      </c>
      <c r="M123" s="1" t="s">
        <v>19</v>
      </c>
      <c r="N123" s="1" t="s">
        <v>19</v>
      </c>
      <c r="O123" s="1" t="s">
        <v>21</v>
      </c>
      <c r="P123" s="1" t="s">
        <v>21</v>
      </c>
    </row>
  </sheetData>
  <conditionalFormatting sqref="J119:P120">
    <cfRule type="containsText" dxfId="7" priority="2" operator="containsText" text="TRUE">
      <formula>NOT(ISERROR(SEARCH("TRUE",J119)))</formula>
    </cfRule>
  </conditionalFormatting>
  <conditionalFormatting sqref="K1:P52 E1:F118 I2:J52 I53:P118">
    <cfRule type="containsText" dxfId="6" priority="5" operator="containsText" text="TRUE">
      <formula>NOT(ISERROR(SEARCH("TRUE",E1)))</formula>
    </cfRule>
  </conditionalFormatting>
  <conditionalFormatting sqref="M121:P121">
    <cfRule type="containsText" dxfId="5" priority="1" operator="containsText" text="TRUE">
      <formula>NOT(ISERROR(SEARCH("TRUE",M121)))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60"/>
  <sheetViews>
    <sheetView tabSelected="1" topLeftCell="A910" zoomScaleNormal="100" workbookViewId="0">
      <selection activeCell="C924" sqref="C92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7"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2971</v>
      </c>
      <c r="B403" s="8" t="s">
        <v>129</v>
      </c>
      <c r="C403" s="8" t="str">
        <f t="shared" si="7"/>
        <v>att_gene_editing_method:homologrecombination</v>
      </c>
      <c r="D403" s="8" t="s">
        <v>17</v>
      </c>
      <c r="E403" s="8" t="s">
        <v>2972</v>
      </c>
      <c r="F403" s="8" t="s">
        <v>2973</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B416&amp;":"&amp;A416</f>
        <v>att_gene_zygosity:(-/-)</v>
      </c>
      <c r="D416" s="9" t="s">
        <v>17</v>
      </c>
      <c r="E416" s="8" t="s">
        <v>1292</v>
      </c>
      <c r="F416" s="8" t="s">
        <v>1293</v>
      </c>
    </row>
    <row r="417" spans="1:6" x14ac:dyDescent="0.15">
      <c r="A417" s="8" t="s">
        <v>2810</v>
      </c>
      <c r="B417" s="8" t="s">
        <v>130</v>
      </c>
      <c r="C417" s="8" t="str">
        <f>B417&amp;":"&amp;A417</f>
        <v>att_gene_zygosity:(+/+)</v>
      </c>
      <c r="D417" s="9" t="s">
        <v>17</v>
      </c>
      <c r="E417" s="8" t="s">
        <v>2802</v>
      </c>
      <c r="F417" s="8" t="s">
        <v>2803</v>
      </c>
    </row>
    <row r="418" spans="1:6" x14ac:dyDescent="0.15">
      <c r="A418" s="8" t="s">
        <v>3038</v>
      </c>
      <c r="B418" s="8" t="s">
        <v>130</v>
      </c>
      <c r="C418" s="8" t="str">
        <f>B418&amp;":"&amp;A418</f>
        <v>att_gene_zygosity:hemi</v>
      </c>
      <c r="D418" s="9" t="s">
        <v>17</v>
      </c>
      <c r="E418" s="8" t="s">
        <v>3039</v>
      </c>
      <c r="F418" s="8" t="s">
        <v>3040</v>
      </c>
    </row>
    <row r="419" spans="1:6" x14ac:dyDescent="0.15">
      <c r="A419" s="8" t="s">
        <v>2813</v>
      </c>
      <c r="B419" s="8" t="s">
        <v>130</v>
      </c>
      <c r="C419" s="8" t="str">
        <f>B419&amp;":"&amp;A419</f>
        <v>att_gene_zygosity:unknown</v>
      </c>
      <c r="D419" s="9" t="s">
        <v>17</v>
      </c>
      <c r="E419" s="8" t="s">
        <v>2860</v>
      </c>
      <c r="F419" s="8" t="s">
        <v>2814</v>
      </c>
    </row>
    <row r="420" spans="1:6" x14ac:dyDescent="0.15">
      <c r="A420" s="8" t="s">
        <v>2966</v>
      </c>
      <c r="B420" s="8" t="s">
        <v>2964</v>
      </c>
      <c r="C420" s="8" t="str">
        <f>B420&amp;":"&amp;A420</f>
        <v>att_gender:male</v>
      </c>
      <c r="D420" s="9" t="s">
        <v>17</v>
      </c>
      <c r="E420" s="8" t="s">
        <v>2967</v>
      </c>
      <c r="F420" s="8" t="s">
        <v>2967</v>
      </c>
    </row>
    <row r="421" spans="1:6" x14ac:dyDescent="0.15">
      <c r="A421" s="8" t="s">
        <v>2968</v>
      </c>
      <c r="B421" s="8" t="s">
        <v>2964</v>
      </c>
      <c r="C421" s="8" t="str">
        <f>B421&amp;":"&amp;A421</f>
        <v>att_gender:female</v>
      </c>
      <c r="D421" s="9" t="s">
        <v>17</v>
      </c>
      <c r="E421" s="8" t="s">
        <v>2969</v>
      </c>
      <c r="F421" s="8" t="s">
        <v>2969</v>
      </c>
    </row>
    <row r="422" spans="1:6" x14ac:dyDescent="0.15">
      <c r="A422" s="8" t="s">
        <v>1294</v>
      </c>
      <c r="B422" s="8" t="s">
        <v>137</v>
      </c>
      <c r="C422" s="8" t="str">
        <f t="shared" si="7"/>
        <v>att_isolation_width:14dia</v>
      </c>
      <c r="D422" s="9" t="s">
        <v>17</v>
      </c>
      <c r="E422" s="8">
        <v>14</v>
      </c>
      <c r="F422" s="8" t="s">
        <v>1295</v>
      </c>
    </row>
    <row r="423" spans="1:6" x14ac:dyDescent="0.15">
      <c r="A423" s="8" t="s">
        <v>1296</v>
      </c>
      <c r="B423" s="8" t="s">
        <v>137</v>
      </c>
      <c r="C423" s="8" t="str">
        <f t="shared" si="7"/>
        <v>att_isolation_width:onepointfour</v>
      </c>
      <c r="D423" s="9" t="s">
        <v>17</v>
      </c>
      <c r="E423" s="8">
        <v>1.4</v>
      </c>
      <c r="F423" s="8" t="s">
        <v>1297</v>
      </c>
    </row>
    <row r="424" spans="1:6" x14ac:dyDescent="0.15">
      <c r="A424" s="8" t="s">
        <v>1298</v>
      </c>
      <c r="B424" s="8" t="s">
        <v>140</v>
      </c>
      <c r="C424" s="8" t="str">
        <f t="shared" si="7"/>
        <v>att_knockdown_technique:esirna</v>
      </c>
      <c r="D424" s="8" t="s">
        <v>1298</v>
      </c>
      <c r="E424" s="8" t="s">
        <v>1299</v>
      </c>
      <c r="F424" s="8" t="s">
        <v>1300</v>
      </c>
    </row>
    <row r="425" spans="1:6" x14ac:dyDescent="0.15">
      <c r="A425" s="8" t="s">
        <v>1301</v>
      </c>
      <c r="B425" s="8" t="s">
        <v>140</v>
      </c>
      <c r="C425" s="8" t="str">
        <f t="shared" si="7"/>
        <v>att_knockdown_technique:grna</v>
      </c>
      <c r="D425" s="8" t="s">
        <v>1301</v>
      </c>
      <c r="E425" s="8" t="s">
        <v>1302</v>
      </c>
      <c r="F425" s="8" t="s">
        <v>1303</v>
      </c>
    </row>
    <row r="426" spans="1:6" x14ac:dyDescent="0.15">
      <c r="A426" s="8" t="s">
        <v>1304</v>
      </c>
      <c r="B426" s="8" t="s">
        <v>140</v>
      </c>
      <c r="C426" s="8" t="str">
        <f t="shared" si="7"/>
        <v>att_knockdown_technique:mirna</v>
      </c>
      <c r="D426" s="8" t="s">
        <v>1304</v>
      </c>
      <c r="E426" s="8" t="s">
        <v>1305</v>
      </c>
      <c r="F426" s="8" t="s">
        <v>1306</v>
      </c>
    </row>
    <row r="427" spans="1:6" x14ac:dyDescent="0.15">
      <c r="A427" s="8" t="s">
        <v>1307</v>
      </c>
      <c r="B427" s="8" t="s">
        <v>140</v>
      </c>
      <c r="C427" s="8" t="str">
        <f t="shared" si="7"/>
        <v>att_knockdown_technique:shrna</v>
      </c>
      <c r="D427" s="8" t="s">
        <v>1307</v>
      </c>
      <c r="E427" s="8" t="s">
        <v>1308</v>
      </c>
      <c r="F427" s="8" t="s">
        <v>1309</v>
      </c>
    </row>
    <row r="428" spans="1:6" x14ac:dyDescent="0.15">
      <c r="A428" s="8" t="s">
        <v>1310</v>
      </c>
      <c r="B428" s="8" t="s">
        <v>140</v>
      </c>
      <c r="C428" s="8" t="str">
        <f t="shared" ref="C428:C498" si="8">B428&amp;":"&amp;A428</f>
        <v>att_knockdown_technique:sirna</v>
      </c>
      <c r="D428" s="8" t="s">
        <v>1310</v>
      </c>
      <c r="E428" s="8" t="s">
        <v>1311</v>
      </c>
      <c r="F428" s="8" t="s">
        <v>1312</v>
      </c>
    </row>
    <row r="429" spans="1:6" x14ac:dyDescent="0.15">
      <c r="A429" s="8" t="s">
        <v>1313</v>
      </c>
      <c r="B429" s="8" t="s">
        <v>143</v>
      </c>
      <c r="C429" s="8" t="str">
        <f t="shared" si="8"/>
        <v>att_lc_flow_rate:200nlmin</v>
      </c>
      <c r="D429" s="9" t="s">
        <v>17</v>
      </c>
      <c r="E429" s="8">
        <v>200</v>
      </c>
      <c r="F429" s="8" t="s">
        <v>1314</v>
      </c>
    </row>
    <row r="430" spans="1:6" x14ac:dyDescent="0.15">
      <c r="A430" s="8" t="s">
        <v>1315</v>
      </c>
      <c r="B430" s="8" t="s">
        <v>143</v>
      </c>
      <c r="C430" s="8" t="str">
        <f t="shared" si="8"/>
        <v>att_lc_flow_rate:250nlmin</v>
      </c>
      <c r="D430" s="9" t="s">
        <v>17</v>
      </c>
      <c r="E430" s="8">
        <v>250</v>
      </c>
      <c r="F430" s="8" t="s">
        <v>1316</v>
      </c>
    </row>
    <row r="431" spans="1:6" x14ac:dyDescent="0.15">
      <c r="A431" s="8" t="s">
        <v>1317</v>
      </c>
      <c r="B431" s="8" t="s">
        <v>143</v>
      </c>
      <c r="C431" s="8" t="str">
        <f t="shared" si="8"/>
        <v>att_lc_flow_rate:500nlmin</v>
      </c>
      <c r="D431" s="9" t="s">
        <v>17</v>
      </c>
      <c r="E431" s="8">
        <v>500</v>
      </c>
      <c r="F431" s="8" t="s">
        <v>1318</v>
      </c>
    </row>
    <row r="432" spans="1:6" x14ac:dyDescent="0.15">
      <c r="A432" s="8" t="s">
        <v>1319</v>
      </c>
      <c r="B432" s="8" t="s">
        <v>148</v>
      </c>
      <c r="C432" s="8" t="str">
        <f t="shared" si="8"/>
        <v>att_lc_system:e1000</v>
      </c>
      <c r="D432" s="8" t="s">
        <v>1319</v>
      </c>
      <c r="E432" s="8" t="s">
        <v>1320</v>
      </c>
      <c r="F432" s="8" t="s">
        <v>1321</v>
      </c>
    </row>
    <row r="433" spans="1:6" x14ac:dyDescent="0.15">
      <c r="A433" s="8" t="s">
        <v>1322</v>
      </c>
      <c r="B433" s="8" t="s">
        <v>148</v>
      </c>
      <c r="C433" s="8" t="str">
        <f t="shared" si="8"/>
        <v>att_lc_system:e1200</v>
      </c>
      <c r="D433" s="8" t="s">
        <v>1322</v>
      </c>
      <c r="E433" s="8" t="s">
        <v>1323</v>
      </c>
      <c r="F433" s="8" t="s">
        <v>1324</v>
      </c>
    </row>
    <row r="434" spans="1:6" x14ac:dyDescent="0.15">
      <c r="A434" s="8" t="s">
        <v>1325</v>
      </c>
      <c r="B434" s="8" t="s">
        <v>148</v>
      </c>
      <c r="C434" s="8" t="str">
        <f t="shared" si="8"/>
        <v>att_lc_system:evosep</v>
      </c>
      <c r="D434" s="8" t="s">
        <v>1325</v>
      </c>
      <c r="E434" s="8" t="s">
        <v>1326</v>
      </c>
      <c r="F434" s="8" t="s">
        <v>1326</v>
      </c>
    </row>
    <row r="435" spans="1:6" x14ac:dyDescent="0.15">
      <c r="A435" s="8" t="s">
        <v>1327</v>
      </c>
      <c r="B435" s="8" t="s">
        <v>148</v>
      </c>
      <c r="C435" s="8" t="str">
        <f t="shared" si="8"/>
        <v>att_lc_system:nanoelute</v>
      </c>
      <c r="D435" s="8" t="s">
        <v>1327</v>
      </c>
      <c r="E435" s="8" t="s">
        <v>1328</v>
      </c>
      <c r="F435" s="8" t="s">
        <v>1329</v>
      </c>
    </row>
    <row r="436" spans="1:6" x14ac:dyDescent="0.15">
      <c r="A436" s="8" t="s">
        <v>1330</v>
      </c>
      <c r="B436" s="8" t="s">
        <v>148</v>
      </c>
      <c r="C436" s="8" t="str">
        <f t="shared" si="8"/>
        <v>att_lc_system:ultimate</v>
      </c>
      <c r="D436" s="8" t="s">
        <v>1330</v>
      </c>
      <c r="E436" s="8" t="s">
        <v>1331</v>
      </c>
      <c r="F436" s="8" t="s">
        <v>1332</v>
      </c>
    </row>
    <row r="437" spans="1:6" x14ac:dyDescent="0.15">
      <c r="A437" s="8" t="s">
        <v>1333</v>
      </c>
      <c r="B437" s="8" t="s">
        <v>148</v>
      </c>
      <c r="C437" s="8" t="str">
        <f t="shared" si="8"/>
        <v>att_lc_system:vanquish</v>
      </c>
      <c r="D437" s="8" t="s">
        <v>1333</v>
      </c>
      <c r="E437" s="8" t="s">
        <v>1334</v>
      </c>
      <c r="F437" s="8" t="s">
        <v>1335</v>
      </c>
    </row>
    <row r="438" spans="1:6" x14ac:dyDescent="0.15">
      <c r="A438" s="8" t="s">
        <v>3032</v>
      </c>
      <c r="B438" s="8" t="s">
        <v>144</v>
      </c>
      <c r="C438" s="8" t="str">
        <f t="shared" si="8"/>
        <v>att_lc_system_name:easy1200mpi</v>
      </c>
      <c r="D438" s="8" t="s">
        <v>17</v>
      </c>
      <c r="E438" s="8" t="s">
        <v>3033</v>
      </c>
      <c r="F438" s="8" t="s">
        <v>3034</v>
      </c>
    </row>
    <row r="439" spans="1:6" x14ac:dyDescent="0.15">
      <c r="A439" s="8" t="s">
        <v>1336</v>
      </c>
      <c r="B439" s="8" t="s">
        <v>144</v>
      </c>
      <c r="C439" s="8" t="str">
        <f t="shared" si="8"/>
        <v>att_lc_system_name:easylc1</v>
      </c>
      <c r="D439" s="9" t="s">
        <v>17</v>
      </c>
      <c r="E439" s="8" t="s">
        <v>1337</v>
      </c>
      <c r="F439" s="8" t="s">
        <v>1337</v>
      </c>
    </row>
    <row r="440" spans="1:6" x14ac:dyDescent="0.15">
      <c r="A440" s="8" t="s">
        <v>1338</v>
      </c>
      <c r="B440" s="8" t="s">
        <v>144</v>
      </c>
      <c r="C440" s="8" t="str">
        <f t="shared" si="8"/>
        <v>att_lc_system_name:easylc2</v>
      </c>
      <c r="D440" s="9" t="s">
        <v>17</v>
      </c>
      <c r="E440" s="8" t="s">
        <v>1339</v>
      </c>
      <c r="F440" s="8" t="s">
        <v>1339</v>
      </c>
    </row>
    <row r="441" spans="1:6" x14ac:dyDescent="0.15">
      <c r="A441" s="8" t="s">
        <v>1340</v>
      </c>
      <c r="B441" s="8" t="s">
        <v>144</v>
      </c>
      <c r="C441" s="8" t="str">
        <f t="shared" si="8"/>
        <v>att_lc_system_name:evosep1</v>
      </c>
      <c r="D441" s="9" t="s">
        <v>17</v>
      </c>
      <c r="E441" s="8" t="s">
        <v>1341</v>
      </c>
      <c r="F441" s="8" t="s">
        <v>1342</v>
      </c>
    </row>
    <row r="442" spans="1:6" x14ac:dyDescent="0.15">
      <c r="A442" s="8" t="s">
        <v>1343</v>
      </c>
      <c r="B442" s="8" t="s">
        <v>144</v>
      </c>
      <c r="C442" s="8" t="str">
        <f t="shared" si="8"/>
        <v>att_lc_system_name:vanquishneo1</v>
      </c>
      <c r="D442" s="9" t="s">
        <v>17</v>
      </c>
      <c r="E442" s="8" t="s">
        <v>1344</v>
      </c>
      <c r="F442" s="8" t="s">
        <v>1344</v>
      </c>
    </row>
    <row r="443" spans="1:6" x14ac:dyDescent="0.15">
      <c r="A443" s="8" t="s">
        <v>1345</v>
      </c>
      <c r="B443" s="8" t="s">
        <v>150</v>
      </c>
      <c r="C443" s="8" t="str">
        <f t="shared" si="8"/>
        <v>att_liquid_handler:bravo</v>
      </c>
      <c r="D443" s="8" t="s">
        <v>1345</v>
      </c>
      <c r="E443" s="8" t="s">
        <v>1346</v>
      </c>
      <c r="F443" s="8" t="s">
        <v>1347</v>
      </c>
    </row>
    <row r="444" spans="1:6" x14ac:dyDescent="0.15">
      <c r="A444" s="8" t="s">
        <v>1348</v>
      </c>
      <c r="B444" s="8" t="s">
        <v>150</v>
      </c>
      <c r="C444" s="8" t="str">
        <f t="shared" si="8"/>
        <v>att_liquid_handler:felix</v>
      </c>
      <c r="D444" s="8" t="s">
        <v>1348</v>
      </c>
      <c r="E444" s="8" t="s">
        <v>1349</v>
      </c>
      <c r="F444" s="8" t="s">
        <v>1350</v>
      </c>
    </row>
    <row r="445" spans="1:6" x14ac:dyDescent="0.15">
      <c r="A445" s="8" t="s">
        <v>1351</v>
      </c>
      <c r="B445" s="8" t="s">
        <v>150</v>
      </c>
      <c r="C445" s="8" t="str">
        <f t="shared" si="8"/>
        <v>att_liquid_handler:kingfisher</v>
      </c>
      <c r="D445" s="8" t="s">
        <v>1351</v>
      </c>
      <c r="E445" s="8" t="s">
        <v>1352</v>
      </c>
      <c r="F445" s="8" t="s">
        <v>1353</v>
      </c>
    </row>
    <row r="446" spans="1:6" x14ac:dyDescent="0.15">
      <c r="A446" s="8" t="s">
        <v>1354</v>
      </c>
      <c r="B446" s="8" t="s">
        <v>150</v>
      </c>
      <c r="C446" s="8" t="str">
        <f t="shared" si="8"/>
        <v>att_liquid_handler:microlabhamilton</v>
      </c>
      <c r="D446" s="8" t="s">
        <v>1354</v>
      </c>
      <c r="E446" s="8" t="s">
        <v>1355</v>
      </c>
      <c r="F446" s="8" t="s">
        <v>1356</v>
      </c>
    </row>
    <row r="447" spans="1:6" x14ac:dyDescent="0.15">
      <c r="A447" s="8" t="s">
        <v>1357</v>
      </c>
      <c r="B447" s="8" t="s">
        <v>150</v>
      </c>
      <c r="C447" s="8" t="str">
        <f t="shared" si="8"/>
        <v>att_liquid_handler:mosquitoHV</v>
      </c>
      <c r="D447" s="8" t="s">
        <v>1357</v>
      </c>
      <c r="E447" s="8" t="s">
        <v>1358</v>
      </c>
      <c r="F447" s="8" t="s">
        <v>1359</v>
      </c>
    </row>
    <row r="448" spans="1:6" x14ac:dyDescent="0.15">
      <c r="A448" s="8" t="s">
        <v>1360</v>
      </c>
      <c r="B448" s="8" t="s">
        <v>150</v>
      </c>
      <c r="C448" s="8" t="str">
        <f t="shared" si="8"/>
        <v>att_liquid_handler:mosquitoLV</v>
      </c>
      <c r="D448" s="8" t="s">
        <v>1360</v>
      </c>
      <c r="E448" s="8" t="s">
        <v>1361</v>
      </c>
      <c r="F448" s="8" t="s">
        <v>1362</v>
      </c>
    </row>
    <row r="449" spans="1:6" x14ac:dyDescent="0.15">
      <c r="A449" s="8" t="s">
        <v>1363</v>
      </c>
      <c r="B449" s="8" t="s">
        <v>150</v>
      </c>
      <c r="C449" s="8" t="str">
        <f t="shared" si="8"/>
        <v>att_liquid_handler:opentrons</v>
      </c>
      <c r="D449" s="8" t="s">
        <v>1363</v>
      </c>
      <c r="E449" s="8" t="s">
        <v>2855</v>
      </c>
      <c r="F449" s="8" t="s">
        <v>2855</v>
      </c>
    </row>
    <row r="450" spans="1:6" x14ac:dyDescent="0.15">
      <c r="A450" s="8" t="s">
        <v>3035</v>
      </c>
      <c r="B450" s="8" t="s">
        <v>150</v>
      </c>
      <c r="C450" s="8" t="str">
        <f t="shared" ref="C450" si="9">B450&amp;":"&amp;A450</f>
        <v>att_liquid_handler:opentronsot2</v>
      </c>
      <c r="D450" s="8" t="s">
        <v>1363</v>
      </c>
      <c r="E450" s="8" t="s">
        <v>2856</v>
      </c>
      <c r="F450" s="8" t="s">
        <v>2856</v>
      </c>
    </row>
    <row r="451" spans="1:6" x14ac:dyDescent="0.15">
      <c r="A451" s="8" t="s">
        <v>1365</v>
      </c>
      <c r="B451" s="8" t="s">
        <v>150</v>
      </c>
      <c r="C451" s="8" t="str">
        <f t="shared" si="8"/>
        <v>att_liquid_handler:tecan</v>
      </c>
      <c r="D451" s="8" t="s">
        <v>1365</v>
      </c>
      <c r="E451" s="8" t="s">
        <v>1366</v>
      </c>
      <c r="F451" s="8" t="s">
        <v>1367</v>
      </c>
    </row>
    <row r="452" spans="1:6" x14ac:dyDescent="0.15">
      <c r="A452" s="8" t="s">
        <v>1368</v>
      </c>
      <c r="B452" s="8" t="s">
        <v>152</v>
      </c>
      <c r="C452" s="8" t="str">
        <f t="shared" si="8"/>
        <v>att_lysis_buffer:one_sdc</v>
      </c>
      <c r="D452" s="9" t="s">
        <v>17</v>
      </c>
      <c r="E452" s="8" t="s">
        <v>1369</v>
      </c>
      <c r="F452" s="8" t="s">
        <v>1370</v>
      </c>
    </row>
    <row r="453" spans="1:6" x14ac:dyDescent="0.15">
      <c r="A453" s="8" t="s">
        <v>1017</v>
      </c>
      <c r="B453" s="8" t="s">
        <v>152</v>
      </c>
      <c r="C453" s="8" t="str">
        <f t="shared" si="8"/>
        <v>att_lysis_buffer:sds</v>
      </c>
      <c r="D453" s="9" t="s">
        <v>17</v>
      </c>
      <c r="E453" s="8" t="s">
        <v>1371</v>
      </c>
      <c r="F453" s="8" t="s">
        <v>1372</v>
      </c>
    </row>
    <row r="454" spans="1:6" x14ac:dyDescent="0.15">
      <c r="A454" s="8" t="s">
        <v>1373</v>
      </c>
      <c r="B454" s="8" t="s">
        <v>152</v>
      </c>
      <c r="C454" s="8" t="str">
        <f t="shared" si="8"/>
        <v>att_lysis_buffer:two_sdc</v>
      </c>
      <c r="D454" s="9" t="s">
        <v>17</v>
      </c>
      <c r="E454" s="8" t="s">
        <v>1374</v>
      </c>
      <c r="F454" s="8" t="s">
        <v>1375</v>
      </c>
    </row>
    <row r="455" spans="1:6" x14ac:dyDescent="0.15">
      <c r="A455" s="8" t="s">
        <v>1376</v>
      </c>
      <c r="B455" s="8" t="s">
        <v>152</v>
      </c>
      <c r="C455" s="8" t="str">
        <f t="shared" si="8"/>
        <v>att_lysis_buffer:urea</v>
      </c>
      <c r="D455" s="9" t="s">
        <v>17</v>
      </c>
      <c r="E455" s="8" t="s">
        <v>1377</v>
      </c>
      <c r="F455" s="8" t="s">
        <v>1378</v>
      </c>
    </row>
    <row r="456" spans="1:6" x14ac:dyDescent="0.15">
      <c r="A456" s="8" t="s">
        <v>2851</v>
      </c>
      <c r="B456" s="8" t="s">
        <v>91</v>
      </c>
      <c r="C456" s="8" t="str">
        <f t="shared" ref="C456" si="10">B456&amp;":"&amp;A456</f>
        <v>att_lysis_method:chemical</v>
      </c>
      <c r="D456" s="9" t="s">
        <v>17</v>
      </c>
      <c r="E456" s="8" t="s">
        <v>2852</v>
      </c>
      <c r="F456" s="8" t="s">
        <v>2853</v>
      </c>
    </row>
    <row r="457" spans="1:6" x14ac:dyDescent="0.15">
      <c r="A457" s="8" t="s">
        <v>2863</v>
      </c>
      <c r="B457" s="8" t="s">
        <v>91</v>
      </c>
      <c r="C457" s="8" t="str">
        <f t="shared" ref="C457" si="11">B457&amp;":"&amp;A457</f>
        <v>att_lysis_method:sonicaton</v>
      </c>
      <c r="D457" s="9" t="s">
        <v>17</v>
      </c>
      <c r="E457" s="8" t="s">
        <v>2864</v>
      </c>
      <c r="F457" s="8" t="s">
        <v>2862</v>
      </c>
    </row>
    <row r="458" spans="1:6" x14ac:dyDescent="0.15">
      <c r="A458" s="8" t="s">
        <v>1379</v>
      </c>
      <c r="B458" s="8" t="s">
        <v>91</v>
      </c>
      <c r="C458" s="8" t="str">
        <f t="shared" si="8"/>
        <v>att_lysis_method:dounce</v>
      </c>
      <c r="D458" s="9" t="s">
        <v>17</v>
      </c>
      <c r="E458" s="8" t="s">
        <v>1380</v>
      </c>
      <c r="F458" s="8" t="s">
        <v>1381</v>
      </c>
    </row>
    <row r="459" spans="1:6" x14ac:dyDescent="0.15">
      <c r="A459" s="8" t="s">
        <v>1382</v>
      </c>
      <c r="B459" s="8" t="s">
        <v>91</v>
      </c>
      <c r="C459" s="8" t="str">
        <f t="shared" si="8"/>
        <v>att_lysis_method:motar_pestle</v>
      </c>
      <c r="D459" s="9" t="s">
        <v>17</v>
      </c>
      <c r="E459" s="8" t="s">
        <v>1383</v>
      </c>
      <c r="F459" s="8" t="s">
        <v>1384</v>
      </c>
    </row>
    <row r="460" spans="1:6" x14ac:dyDescent="0.15">
      <c r="A460" s="8" t="s">
        <v>1385</v>
      </c>
      <c r="B460" s="8" t="s">
        <v>91</v>
      </c>
      <c r="C460" s="8" t="str">
        <f t="shared" si="8"/>
        <v>att_lysis_method:paracyllus</v>
      </c>
      <c r="D460" s="9" t="s">
        <v>17</v>
      </c>
      <c r="E460" s="8" t="s">
        <v>1386</v>
      </c>
      <c r="F460" s="8" t="s">
        <v>1387</v>
      </c>
    </row>
    <row r="461" spans="1:6" x14ac:dyDescent="0.15">
      <c r="A461" s="8" t="s">
        <v>1388</v>
      </c>
      <c r="B461" s="8" t="s">
        <v>155</v>
      </c>
      <c r="C461" s="8" t="str">
        <f t="shared" si="8"/>
        <v>att_metabolic_label:arg0</v>
      </c>
      <c r="D461" s="9" t="s">
        <v>17</v>
      </c>
      <c r="E461" s="8" t="s">
        <v>1389</v>
      </c>
      <c r="F461" s="8" t="s">
        <v>1390</v>
      </c>
    </row>
    <row r="462" spans="1:6" x14ac:dyDescent="0.15">
      <c r="A462" s="8" t="s">
        <v>1391</v>
      </c>
      <c r="B462" s="8" t="s">
        <v>155</v>
      </c>
      <c r="C462" s="8" t="str">
        <f t="shared" si="8"/>
        <v>att_metabolic_label:arg10</v>
      </c>
      <c r="D462" s="9" t="s">
        <v>17</v>
      </c>
      <c r="E462" s="8" t="s">
        <v>1392</v>
      </c>
      <c r="F462" s="8" t="s">
        <v>1393</v>
      </c>
    </row>
    <row r="463" spans="1:6" x14ac:dyDescent="0.15">
      <c r="A463" s="8" t="s">
        <v>1394</v>
      </c>
      <c r="B463" s="8" t="s">
        <v>155</v>
      </c>
      <c r="C463" s="8" t="str">
        <f t="shared" si="8"/>
        <v>att_metabolic_label:arg6</v>
      </c>
      <c r="D463" s="9" t="s">
        <v>17</v>
      </c>
      <c r="E463" s="8" t="s">
        <v>1395</v>
      </c>
      <c r="F463" s="8" t="s">
        <v>1396</v>
      </c>
    </row>
    <row r="464" spans="1:6" x14ac:dyDescent="0.15">
      <c r="A464" s="8" t="s">
        <v>1397</v>
      </c>
      <c r="B464" s="8" t="s">
        <v>155</v>
      </c>
      <c r="C464" s="8" t="str">
        <f t="shared" si="8"/>
        <v>att_metabolic_label:lys0</v>
      </c>
      <c r="D464" s="9" t="s">
        <v>17</v>
      </c>
      <c r="E464" s="8" t="s">
        <v>1398</v>
      </c>
      <c r="F464" s="9" t="s">
        <v>2951</v>
      </c>
    </row>
    <row r="465" spans="1:6" x14ac:dyDescent="0.15">
      <c r="A465" s="8" t="s">
        <v>1399</v>
      </c>
      <c r="B465" s="8" t="s">
        <v>155</v>
      </c>
      <c r="C465" s="8" t="str">
        <f t="shared" si="8"/>
        <v>att_metabolic_label:lys4</v>
      </c>
      <c r="D465" s="9" t="s">
        <v>17</v>
      </c>
      <c r="E465" s="8" t="s">
        <v>1400</v>
      </c>
      <c r="F465" s="8" t="s">
        <v>1401</v>
      </c>
    </row>
    <row r="466" spans="1:6" x14ac:dyDescent="0.15">
      <c r="A466" s="8" t="s">
        <v>1402</v>
      </c>
      <c r="B466" s="8" t="s">
        <v>155</v>
      </c>
      <c r="C466" s="8" t="str">
        <f t="shared" si="8"/>
        <v>att_metabolic_label:lys6</v>
      </c>
      <c r="D466" s="9" t="s">
        <v>17</v>
      </c>
      <c r="E466" s="8" t="s">
        <v>1403</v>
      </c>
      <c r="F466" s="8" t="s">
        <v>1404</v>
      </c>
    </row>
    <row r="467" spans="1:6" x14ac:dyDescent="0.15">
      <c r="A467" s="8" t="s">
        <v>1405</v>
      </c>
      <c r="B467" s="8" t="s">
        <v>155</v>
      </c>
      <c r="C467" s="8" t="str">
        <f t="shared" si="8"/>
        <v>att_metabolic_label:lys8</v>
      </c>
      <c r="D467" s="9" t="s">
        <v>17</v>
      </c>
      <c r="E467" s="8" t="s">
        <v>1406</v>
      </c>
      <c r="F467" s="8" t="s">
        <v>1407</v>
      </c>
    </row>
    <row r="468" spans="1:6" x14ac:dyDescent="0.15">
      <c r="A468" s="8" t="s">
        <v>2953</v>
      </c>
      <c r="B468" s="8" t="s">
        <v>155</v>
      </c>
      <c r="C468" s="8" t="str">
        <f t="shared" ref="C468" si="12">B468&amp;":"&amp;A468</f>
        <v>att_metabolic_label:lys0arg0</v>
      </c>
      <c r="D468" s="9" t="s">
        <v>17</v>
      </c>
      <c r="E468" s="8" t="s">
        <v>2952</v>
      </c>
      <c r="F468" s="8" t="s">
        <v>2960</v>
      </c>
    </row>
    <row r="469" spans="1:6" x14ac:dyDescent="0.15">
      <c r="A469" s="8" t="s">
        <v>2954</v>
      </c>
      <c r="B469" s="8" t="s">
        <v>155</v>
      </c>
      <c r="C469" s="8" t="str">
        <f t="shared" ref="C469:C470" si="13">B469&amp;":"&amp;A469</f>
        <v>att_metabolic_label:lys4arg6</v>
      </c>
      <c r="D469" s="9"/>
      <c r="E469" s="8" t="s">
        <v>2955</v>
      </c>
      <c r="F469" s="8" t="s">
        <v>2959</v>
      </c>
    </row>
    <row r="470" spans="1:6" x14ac:dyDescent="0.15">
      <c r="A470" s="8" t="s">
        <v>2956</v>
      </c>
      <c r="B470" s="8" t="s">
        <v>155</v>
      </c>
      <c r="C470" s="8" t="str">
        <f t="shared" si="13"/>
        <v>att_metabolic_label:lys8arg10</v>
      </c>
      <c r="D470" s="9"/>
      <c r="E470" s="8" t="s">
        <v>2957</v>
      </c>
      <c r="F470" s="8" t="s">
        <v>2958</v>
      </c>
    </row>
    <row r="471" spans="1:6" x14ac:dyDescent="0.15">
      <c r="A471" s="8" t="s">
        <v>1408</v>
      </c>
      <c r="B471" s="8" t="s">
        <v>157</v>
      </c>
      <c r="C471" s="8" t="str">
        <f t="shared" si="8"/>
        <v>att_mitocarta_pathway:abc_transporters</v>
      </c>
      <c r="D471" s="9" t="s">
        <v>17</v>
      </c>
      <c r="E471" s="8" t="s">
        <v>1409</v>
      </c>
      <c r="F471" s="8" t="s">
        <v>1410</v>
      </c>
    </row>
    <row r="472" spans="1:6" x14ac:dyDescent="0.15">
      <c r="A472" s="8" t="s">
        <v>1411</v>
      </c>
      <c r="B472" s="8" t="s">
        <v>157</v>
      </c>
      <c r="C472" s="8" t="str">
        <f t="shared" si="8"/>
        <v>att_mitocarta_pathway:amidoxime_reducing_complex</v>
      </c>
      <c r="D472" s="9" t="s">
        <v>17</v>
      </c>
      <c r="E472" s="8" t="s">
        <v>1412</v>
      </c>
      <c r="F472" s="8" t="s">
        <v>1413</v>
      </c>
    </row>
    <row r="473" spans="1:6" x14ac:dyDescent="0.15">
      <c r="A473" s="8" t="s">
        <v>1414</v>
      </c>
      <c r="B473" s="8" t="s">
        <v>157</v>
      </c>
      <c r="C473" s="8" t="str">
        <f t="shared" si="8"/>
        <v>att_mitocarta_pathway:amino_acid_metabolism</v>
      </c>
      <c r="D473" s="9" t="s">
        <v>17</v>
      </c>
      <c r="E473" s="8" t="s">
        <v>1415</v>
      </c>
      <c r="F473" s="8" t="s">
        <v>1416</v>
      </c>
    </row>
    <row r="474" spans="1:6" x14ac:dyDescent="0.15">
      <c r="A474" s="8" t="s">
        <v>1417</v>
      </c>
      <c r="B474" s="8" t="s">
        <v>157</v>
      </c>
      <c r="C474" s="8" t="str">
        <f t="shared" si="8"/>
        <v>att_mitocarta_pathway:apoptosis</v>
      </c>
      <c r="D474" s="9" t="s">
        <v>17</v>
      </c>
      <c r="E474" s="8" t="s">
        <v>1418</v>
      </c>
      <c r="F474" s="8" t="s">
        <v>1419</v>
      </c>
    </row>
    <row r="475" spans="1:6" x14ac:dyDescent="0.15">
      <c r="A475" s="8" t="s">
        <v>1420</v>
      </c>
      <c r="B475" s="8" t="s">
        <v>157</v>
      </c>
      <c r="C475" s="8" t="str">
        <f t="shared" si="8"/>
        <v>att_mitocarta_pathway:autophagy</v>
      </c>
      <c r="D475" s="9" t="s">
        <v>17</v>
      </c>
      <c r="E475" s="8" t="s">
        <v>1421</v>
      </c>
      <c r="F475" s="8" t="s">
        <v>1422</v>
      </c>
    </row>
    <row r="476" spans="1:6" x14ac:dyDescent="0.15">
      <c r="A476" s="8" t="s">
        <v>1423</v>
      </c>
      <c r="B476" s="8" t="s">
        <v>157</v>
      </c>
      <c r="C476" s="8" t="str">
        <f t="shared" si="8"/>
        <v>att_mitocarta_pathway:biotin_utilizing_proteins</v>
      </c>
      <c r="D476" s="9" t="s">
        <v>17</v>
      </c>
      <c r="E476" s="8" t="s">
        <v>1424</v>
      </c>
      <c r="F476" s="8" t="s">
        <v>1425</v>
      </c>
    </row>
    <row r="477" spans="1:6" x14ac:dyDescent="0.15">
      <c r="A477" s="8" t="s">
        <v>1426</v>
      </c>
      <c r="B477" s="8" t="s">
        <v>157</v>
      </c>
      <c r="C477" s="8" t="str">
        <f t="shared" si="8"/>
        <v>att_mitocarta_pathway:branched_chain_amino_acid_dehydrogenase_complex</v>
      </c>
      <c r="D477" s="9" t="s">
        <v>17</v>
      </c>
      <c r="E477" s="8" t="s">
        <v>1427</v>
      </c>
      <c r="F477" s="8" t="s">
        <v>1428</v>
      </c>
    </row>
    <row r="478" spans="1:6" x14ac:dyDescent="0.15">
      <c r="A478" s="8" t="s">
        <v>1429</v>
      </c>
      <c r="B478" s="8" t="s">
        <v>157</v>
      </c>
      <c r="C478" s="8" t="str">
        <f t="shared" si="8"/>
        <v>att_mitocarta_pathway:branched_chain_amino_acid_metabolism</v>
      </c>
      <c r="D478" s="9" t="s">
        <v>17</v>
      </c>
      <c r="E478" s="8" t="s">
        <v>1430</v>
      </c>
      <c r="F478" s="8" t="s">
        <v>1431</v>
      </c>
    </row>
    <row r="479" spans="1:6" x14ac:dyDescent="0.15">
      <c r="A479" s="8" t="s">
        <v>1432</v>
      </c>
      <c r="B479" s="8" t="s">
        <v>157</v>
      </c>
      <c r="C479" s="8" t="str">
        <f t="shared" si="8"/>
        <v>att_mitocarta_pathway:calcium_cycle</v>
      </c>
      <c r="D479" s="9" t="s">
        <v>17</v>
      </c>
      <c r="E479" s="8" t="s">
        <v>1433</v>
      </c>
      <c r="F479" s="8" t="s">
        <v>1434</v>
      </c>
    </row>
    <row r="480" spans="1:6" x14ac:dyDescent="0.15">
      <c r="A480" s="8" t="s">
        <v>1435</v>
      </c>
      <c r="B480" s="8" t="s">
        <v>157</v>
      </c>
      <c r="C480" s="8" t="str">
        <f t="shared" si="8"/>
        <v>att_mitocarta_pathway:calcium_homeostasis</v>
      </c>
      <c r="D480" s="9" t="s">
        <v>17</v>
      </c>
      <c r="E480" s="8" t="s">
        <v>1436</v>
      </c>
      <c r="F480" s="8" t="s">
        <v>1437</v>
      </c>
    </row>
    <row r="481" spans="1:6" x14ac:dyDescent="0.15">
      <c r="A481" s="8" t="s">
        <v>1438</v>
      </c>
      <c r="B481" s="8" t="s">
        <v>157</v>
      </c>
      <c r="C481" s="8" t="str">
        <f t="shared" si="8"/>
        <v>att_mitocarta_pathway:calcium_uniporter</v>
      </c>
      <c r="D481" s="9" t="s">
        <v>17</v>
      </c>
      <c r="E481" s="8" t="s">
        <v>1439</v>
      </c>
      <c r="F481" s="8" t="s">
        <v>1440</v>
      </c>
    </row>
    <row r="482" spans="1:6" x14ac:dyDescent="0.15">
      <c r="A482" s="8" t="s">
        <v>1441</v>
      </c>
      <c r="B482" s="8" t="s">
        <v>157</v>
      </c>
      <c r="C482" s="8" t="str">
        <f t="shared" si="8"/>
        <v>att_mitocarta_pathway:camp_pka_signaling</v>
      </c>
      <c r="D482" s="9" t="s">
        <v>17</v>
      </c>
      <c r="E482" s="8" t="s">
        <v>1442</v>
      </c>
      <c r="F482" s="8" t="s">
        <v>1443</v>
      </c>
    </row>
    <row r="483" spans="1:6" x14ac:dyDescent="0.15">
      <c r="A483" s="8" t="s">
        <v>1444</v>
      </c>
      <c r="B483" s="8" t="s">
        <v>157</v>
      </c>
      <c r="C483" s="8" t="str">
        <f t="shared" si="8"/>
        <v>att_mitocarta_pathway:carbohydrate_metabolism</v>
      </c>
      <c r="D483" s="9" t="s">
        <v>17</v>
      </c>
      <c r="E483" s="8" t="s">
        <v>1445</v>
      </c>
      <c r="F483" s="8" t="s">
        <v>1446</v>
      </c>
    </row>
    <row r="484" spans="1:6" x14ac:dyDescent="0.15">
      <c r="A484" s="8" t="s">
        <v>1447</v>
      </c>
      <c r="B484" s="8" t="s">
        <v>157</v>
      </c>
      <c r="C484" s="8" t="str">
        <f t="shared" si="8"/>
        <v>att_mitocarta_pathway:cardiolipin_synthesis</v>
      </c>
      <c r="D484" s="9" t="s">
        <v>17</v>
      </c>
      <c r="E484" s="8" t="s">
        <v>1448</v>
      </c>
      <c r="F484" s="8" t="s">
        <v>1449</v>
      </c>
    </row>
    <row r="485" spans="1:6" x14ac:dyDescent="0.15">
      <c r="A485" s="8" t="s">
        <v>1450</v>
      </c>
      <c r="B485" s="8" t="s">
        <v>157</v>
      </c>
      <c r="C485" s="8" t="str">
        <f t="shared" si="8"/>
        <v>att_mitocarta_pathway:carnitine_shuttle</v>
      </c>
      <c r="D485" s="9" t="s">
        <v>17</v>
      </c>
      <c r="E485" s="8" t="s">
        <v>1451</v>
      </c>
      <c r="F485" s="8" t="s">
        <v>1452</v>
      </c>
    </row>
    <row r="486" spans="1:6" x14ac:dyDescent="0.15">
      <c r="A486" s="8" t="s">
        <v>1453</v>
      </c>
      <c r="B486" s="8" t="s">
        <v>157</v>
      </c>
      <c r="C486" s="8" t="str">
        <f t="shared" si="8"/>
        <v>att_mitocarta_pathway:carnitine_synthesis_and_transport</v>
      </c>
      <c r="D486" s="9" t="s">
        <v>17</v>
      </c>
      <c r="E486" s="8" t="s">
        <v>1454</v>
      </c>
      <c r="F486" s="8" t="s">
        <v>1455</v>
      </c>
    </row>
    <row r="487" spans="1:6" x14ac:dyDescent="0.15">
      <c r="A487" s="8" t="s">
        <v>1456</v>
      </c>
      <c r="B487" s="8" t="s">
        <v>157</v>
      </c>
      <c r="C487" s="8" t="str">
        <f t="shared" si="8"/>
        <v>att_mitocarta_pathway:catechol_metabolism</v>
      </c>
      <c r="D487" s="9" t="s">
        <v>17</v>
      </c>
      <c r="E487" s="8" t="s">
        <v>1457</v>
      </c>
      <c r="F487" s="8" t="s">
        <v>1458</v>
      </c>
    </row>
    <row r="488" spans="1:6" x14ac:dyDescent="0.15">
      <c r="A488" s="8" t="s">
        <v>1459</v>
      </c>
      <c r="B488" s="8" t="s">
        <v>157</v>
      </c>
      <c r="C488" s="8" t="str">
        <f t="shared" si="8"/>
        <v>att_mitocarta_pathway:chaperones</v>
      </c>
      <c r="D488" s="9" t="s">
        <v>17</v>
      </c>
      <c r="E488" s="8" t="s">
        <v>1460</v>
      </c>
      <c r="F488" s="8" t="s">
        <v>1461</v>
      </c>
    </row>
    <row r="489" spans="1:6" x14ac:dyDescent="0.15">
      <c r="A489" s="8" t="s">
        <v>1462</v>
      </c>
      <c r="B489" s="8" t="s">
        <v>157</v>
      </c>
      <c r="C489" s="8" t="str">
        <f t="shared" si="8"/>
        <v>att_mitocarta_pathway:cholesterol_associated</v>
      </c>
      <c r="D489" s="9" t="s">
        <v>17</v>
      </c>
      <c r="E489" s="8" t="s">
        <v>1463</v>
      </c>
      <c r="F489" s="8" t="s">
        <v>1464</v>
      </c>
    </row>
    <row r="490" spans="1:6" x14ac:dyDescent="0.15">
      <c r="A490" s="8" t="s">
        <v>1465</v>
      </c>
      <c r="B490" s="8" t="s">
        <v>157</v>
      </c>
      <c r="C490" s="8" t="str">
        <f t="shared" si="8"/>
        <v>att_mitocarta_pathway:choline_and_betaine_metabolism</v>
      </c>
      <c r="D490" s="9" t="s">
        <v>17</v>
      </c>
      <c r="E490" s="8" t="s">
        <v>1466</v>
      </c>
      <c r="F490" s="8" t="s">
        <v>1467</v>
      </c>
    </row>
    <row r="491" spans="1:6" x14ac:dyDescent="0.15">
      <c r="A491" s="8" t="s">
        <v>1468</v>
      </c>
      <c r="B491" s="8" t="s">
        <v>157</v>
      </c>
      <c r="C491" s="8" t="str">
        <f t="shared" si="8"/>
        <v>att_mitocarta_pathway:ci_assembly_factors</v>
      </c>
      <c r="D491" s="9" t="s">
        <v>17</v>
      </c>
      <c r="E491" s="8" t="s">
        <v>1469</v>
      </c>
      <c r="F491" s="8" t="s">
        <v>1470</v>
      </c>
    </row>
    <row r="492" spans="1:6" x14ac:dyDescent="0.15">
      <c r="A492" s="8" t="s">
        <v>1471</v>
      </c>
      <c r="B492" s="8" t="s">
        <v>157</v>
      </c>
      <c r="C492" s="8" t="str">
        <f t="shared" si="8"/>
        <v>att_mitocarta_pathway:ci_subunits</v>
      </c>
      <c r="D492" s="9" t="s">
        <v>17</v>
      </c>
      <c r="E492" s="8" t="s">
        <v>1472</v>
      </c>
      <c r="F492" s="8" t="s">
        <v>1473</v>
      </c>
    </row>
    <row r="493" spans="1:6" x14ac:dyDescent="0.15">
      <c r="A493" s="8" t="s">
        <v>1474</v>
      </c>
      <c r="B493" s="8" t="s">
        <v>157</v>
      </c>
      <c r="C493" s="8" t="str">
        <f t="shared" si="8"/>
        <v>att_mitocarta_pathway:cii_assembly_factors</v>
      </c>
      <c r="D493" s="9" t="s">
        <v>17</v>
      </c>
      <c r="E493" s="8" t="s">
        <v>1475</v>
      </c>
      <c r="F493" s="8" t="s">
        <v>1476</v>
      </c>
    </row>
    <row r="494" spans="1:6" x14ac:dyDescent="0.15">
      <c r="A494" s="8" t="s">
        <v>1477</v>
      </c>
      <c r="B494" s="8" t="s">
        <v>157</v>
      </c>
      <c r="C494" s="8" t="str">
        <f t="shared" si="8"/>
        <v>att_mitocarta_pathway:cii_subunits</v>
      </c>
      <c r="D494" s="9" t="s">
        <v>17</v>
      </c>
      <c r="E494" s="8" t="s">
        <v>1478</v>
      </c>
      <c r="F494" s="8" t="s">
        <v>1479</v>
      </c>
    </row>
    <row r="495" spans="1:6" x14ac:dyDescent="0.15">
      <c r="A495" s="8" t="s">
        <v>1480</v>
      </c>
      <c r="B495" s="8" t="s">
        <v>157</v>
      </c>
      <c r="C495" s="8" t="str">
        <f t="shared" si="8"/>
        <v>att_mitocarta_pathway:ciii_assembly_factors</v>
      </c>
      <c r="D495" s="9" t="s">
        <v>17</v>
      </c>
      <c r="E495" s="8" t="s">
        <v>1481</v>
      </c>
      <c r="F495" s="8" t="s">
        <v>1482</v>
      </c>
    </row>
    <row r="496" spans="1:6" x14ac:dyDescent="0.15">
      <c r="A496" s="8" t="s">
        <v>1483</v>
      </c>
      <c r="B496" s="8" t="s">
        <v>157</v>
      </c>
      <c r="C496" s="8" t="str">
        <f t="shared" si="8"/>
        <v>att_mitocarta_pathway:ciii_subunits</v>
      </c>
      <c r="D496" s="9" t="s">
        <v>17</v>
      </c>
      <c r="E496" s="8" t="s">
        <v>1484</v>
      </c>
      <c r="F496" s="8" t="s">
        <v>1485</v>
      </c>
    </row>
    <row r="497" spans="1:6" x14ac:dyDescent="0.15">
      <c r="A497" s="8" t="s">
        <v>1486</v>
      </c>
      <c r="B497" s="8" t="s">
        <v>157</v>
      </c>
      <c r="C497" s="8" t="str">
        <f t="shared" si="8"/>
        <v>att_mitocarta_pathway:civ_assembly_factors</v>
      </c>
      <c r="D497" s="9" t="s">
        <v>17</v>
      </c>
      <c r="E497" s="8" t="s">
        <v>1487</v>
      </c>
      <c r="F497" s="8" t="s">
        <v>1488</v>
      </c>
    </row>
    <row r="498" spans="1:6" x14ac:dyDescent="0.15">
      <c r="A498" s="8" t="s">
        <v>1489</v>
      </c>
      <c r="B498" s="8" t="s">
        <v>157</v>
      </c>
      <c r="C498" s="8" t="str">
        <f t="shared" si="8"/>
        <v>att_mitocarta_pathway:civ_subunits</v>
      </c>
      <c r="D498" s="9" t="s">
        <v>17</v>
      </c>
      <c r="E498" s="8" t="s">
        <v>1490</v>
      </c>
      <c r="F498" s="8" t="s">
        <v>1491</v>
      </c>
    </row>
    <row r="499" spans="1:6" x14ac:dyDescent="0.15">
      <c r="A499" s="8" t="s">
        <v>1492</v>
      </c>
      <c r="B499" s="8" t="s">
        <v>157</v>
      </c>
      <c r="C499" s="8" t="str">
        <f t="shared" ref="C499:C562" si="14">B499&amp;":"&amp;A499</f>
        <v>att_mitocarta_pathway:coenzyme_a_metabolism</v>
      </c>
      <c r="D499" s="9" t="s">
        <v>17</v>
      </c>
      <c r="E499" s="8" t="s">
        <v>1493</v>
      </c>
      <c r="F499" s="8" t="s">
        <v>1494</v>
      </c>
    </row>
    <row r="500" spans="1:6" x14ac:dyDescent="0.15">
      <c r="A500" s="8" t="s">
        <v>1495</v>
      </c>
      <c r="B500" s="8" t="s">
        <v>157</v>
      </c>
      <c r="C500" s="8" t="str">
        <f t="shared" si="14"/>
        <v>att_mitocarta_pathway:coenzyme_q_metabolism</v>
      </c>
      <c r="D500" s="9" t="s">
        <v>17</v>
      </c>
      <c r="E500" s="8" t="s">
        <v>1496</v>
      </c>
      <c r="F500" s="8" t="s">
        <v>1497</v>
      </c>
    </row>
    <row r="501" spans="1:6" x14ac:dyDescent="0.15">
      <c r="A501" s="8" t="s">
        <v>1498</v>
      </c>
      <c r="B501" s="8" t="s">
        <v>157</v>
      </c>
      <c r="C501" s="8" t="str">
        <f t="shared" si="14"/>
        <v>att_mitocarta_pathway:complex_i</v>
      </c>
      <c r="D501" s="9" t="s">
        <v>17</v>
      </c>
      <c r="E501" s="8" t="s">
        <v>1499</v>
      </c>
      <c r="F501" s="8" t="s">
        <v>1500</v>
      </c>
    </row>
    <row r="502" spans="1:6" x14ac:dyDescent="0.15">
      <c r="A502" s="8" t="s">
        <v>1501</v>
      </c>
      <c r="B502" s="8" t="s">
        <v>157</v>
      </c>
      <c r="C502" s="8" t="str">
        <f t="shared" si="14"/>
        <v>att_mitocarta_pathway:complex_ii</v>
      </c>
      <c r="D502" s="9" t="s">
        <v>17</v>
      </c>
      <c r="E502" s="8" t="s">
        <v>1502</v>
      </c>
      <c r="F502" s="8" t="s">
        <v>1503</v>
      </c>
    </row>
    <row r="503" spans="1:6" x14ac:dyDescent="0.15">
      <c r="A503" s="8" t="s">
        <v>1504</v>
      </c>
      <c r="B503" s="8" t="s">
        <v>157</v>
      </c>
      <c r="C503" s="8" t="str">
        <f t="shared" si="14"/>
        <v>att_mitocarta_pathway:complex_iii</v>
      </c>
      <c r="D503" s="9" t="s">
        <v>17</v>
      </c>
      <c r="E503" s="8" t="s">
        <v>1505</v>
      </c>
      <c r="F503" s="8" t="s">
        <v>1506</v>
      </c>
    </row>
    <row r="504" spans="1:6" x14ac:dyDescent="0.15">
      <c r="A504" s="8" t="s">
        <v>1507</v>
      </c>
      <c r="B504" s="8" t="s">
        <v>157</v>
      </c>
      <c r="C504" s="8" t="str">
        <f t="shared" si="14"/>
        <v>att_mitocarta_pathway:complex_iv</v>
      </c>
      <c r="D504" s="9" t="s">
        <v>17</v>
      </c>
      <c r="E504" s="8" t="s">
        <v>1508</v>
      </c>
      <c r="F504" s="8" t="s">
        <v>1509</v>
      </c>
    </row>
    <row r="505" spans="1:6" x14ac:dyDescent="0.15">
      <c r="A505" s="8" t="s">
        <v>1510</v>
      </c>
      <c r="B505" s="8" t="s">
        <v>157</v>
      </c>
      <c r="C505" s="8" t="str">
        <f t="shared" si="14"/>
        <v>att_mitocarta_pathway:complex_v</v>
      </c>
      <c r="D505" s="9" t="s">
        <v>17</v>
      </c>
      <c r="E505" s="8" t="s">
        <v>1511</v>
      </c>
      <c r="F505" s="8" t="s">
        <v>1512</v>
      </c>
    </row>
    <row r="506" spans="1:6" x14ac:dyDescent="0.15">
      <c r="A506" s="8" t="s">
        <v>1513</v>
      </c>
      <c r="B506" s="8" t="s">
        <v>157</v>
      </c>
      <c r="C506" s="8" t="str">
        <f t="shared" si="14"/>
        <v>att_mitocarta_pathway:copper_metabolism</v>
      </c>
      <c r="D506" s="9" t="s">
        <v>17</v>
      </c>
      <c r="E506" s="8" t="s">
        <v>1514</v>
      </c>
      <c r="F506" s="8" t="s">
        <v>1515</v>
      </c>
    </row>
    <row r="507" spans="1:6" x14ac:dyDescent="0.15">
      <c r="A507" s="8" t="s">
        <v>1516</v>
      </c>
      <c r="B507" s="8" t="s">
        <v>157</v>
      </c>
      <c r="C507" s="8" t="str">
        <f t="shared" si="14"/>
        <v>att_mitocarta_pathway:creatine_metabolism</v>
      </c>
      <c r="D507" s="9" t="s">
        <v>17</v>
      </c>
      <c r="E507" s="8" t="s">
        <v>1517</v>
      </c>
      <c r="F507" s="8" t="s">
        <v>1518</v>
      </c>
    </row>
    <row r="508" spans="1:6" x14ac:dyDescent="0.15">
      <c r="A508" s="8" t="s">
        <v>1519</v>
      </c>
      <c r="B508" s="8" t="s">
        <v>157</v>
      </c>
      <c r="C508" s="8" t="str">
        <f t="shared" si="14"/>
        <v>att_mitocarta_pathway:cristae_formation</v>
      </c>
      <c r="D508" s="9" t="s">
        <v>17</v>
      </c>
      <c r="E508" s="8" t="s">
        <v>1520</v>
      </c>
      <c r="F508" s="8" t="s">
        <v>1521</v>
      </c>
    </row>
    <row r="509" spans="1:6" x14ac:dyDescent="0.15">
      <c r="A509" s="8" t="s">
        <v>1522</v>
      </c>
      <c r="B509" s="8" t="s">
        <v>157</v>
      </c>
      <c r="C509" s="8" t="str">
        <f t="shared" si="14"/>
        <v>att_mitocarta_pathway:cv_assembly_factors</v>
      </c>
      <c r="D509" s="9" t="s">
        <v>17</v>
      </c>
      <c r="E509" s="8" t="s">
        <v>1523</v>
      </c>
      <c r="F509" s="8" t="s">
        <v>1524</v>
      </c>
    </row>
    <row r="510" spans="1:6" x14ac:dyDescent="0.15">
      <c r="A510" s="8" t="s">
        <v>1525</v>
      </c>
      <c r="B510" s="8" t="s">
        <v>157</v>
      </c>
      <c r="C510" s="8" t="str">
        <f t="shared" si="14"/>
        <v>att_mitocarta_pathway:cv_subunits</v>
      </c>
      <c r="D510" s="9" t="s">
        <v>17</v>
      </c>
      <c r="E510" s="8" t="s">
        <v>1526</v>
      </c>
      <c r="F510" s="8" t="s">
        <v>1527</v>
      </c>
    </row>
    <row r="511" spans="1:6" x14ac:dyDescent="0.15">
      <c r="A511" s="8" t="s">
        <v>1528</v>
      </c>
      <c r="B511" s="8" t="s">
        <v>157</v>
      </c>
      <c r="C511" s="8" t="str">
        <f t="shared" si="14"/>
        <v>att_mitocarta_pathway:cytochrome_c</v>
      </c>
      <c r="D511" s="9" t="s">
        <v>17</v>
      </c>
      <c r="E511" s="8" t="s">
        <v>1529</v>
      </c>
      <c r="F511" s="8" t="s">
        <v>1530</v>
      </c>
    </row>
    <row r="512" spans="1:6" x14ac:dyDescent="0.15">
      <c r="A512" s="8" t="s">
        <v>1531</v>
      </c>
      <c r="B512" s="8" t="s">
        <v>157</v>
      </c>
      <c r="C512" s="8" t="str">
        <f t="shared" si="14"/>
        <v>att_mitocarta_pathway:cytochromes</v>
      </c>
      <c r="D512" s="9" t="s">
        <v>17</v>
      </c>
      <c r="E512" s="8" t="s">
        <v>1532</v>
      </c>
      <c r="F512" s="8" t="s">
        <v>1533</v>
      </c>
    </row>
    <row r="513" spans="1:6" x14ac:dyDescent="0.15">
      <c r="A513" s="8" t="s">
        <v>1534</v>
      </c>
      <c r="B513" s="8" t="s">
        <v>157</v>
      </c>
      <c r="C513" s="8" t="str">
        <f t="shared" si="14"/>
        <v>att_mitocarta_pathway:detoxification</v>
      </c>
      <c r="D513" s="9" t="s">
        <v>17</v>
      </c>
      <c r="E513" s="8" t="s">
        <v>1535</v>
      </c>
      <c r="F513" s="8" t="s">
        <v>1536</v>
      </c>
    </row>
    <row r="514" spans="1:6" x14ac:dyDescent="0.15">
      <c r="A514" s="8" t="s">
        <v>1537</v>
      </c>
      <c r="B514" s="8" t="s">
        <v>157</v>
      </c>
      <c r="C514" s="8" t="str">
        <f t="shared" si="14"/>
        <v>att_mitocarta_pathway:ef_hand_proteins</v>
      </c>
      <c r="D514" s="9" t="s">
        <v>17</v>
      </c>
      <c r="E514" s="8" t="s">
        <v>1538</v>
      </c>
      <c r="F514" s="8" t="s">
        <v>1539</v>
      </c>
    </row>
    <row r="515" spans="1:6" x14ac:dyDescent="0.15">
      <c r="A515" s="8" t="s">
        <v>1540</v>
      </c>
      <c r="B515" s="8" t="s">
        <v>157</v>
      </c>
      <c r="C515" s="8" t="str">
        <f t="shared" si="14"/>
        <v>att_mitocarta_pathway:eicosanoid_metabolism</v>
      </c>
      <c r="D515" s="9" t="s">
        <v>17</v>
      </c>
      <c r="E515" s="8" t="s">
        <v>1541</v>
      </c>
      <c r="F515" s="8" t="s">
        <v>1542</v>
      </c>
    </row>
    <row r="516" spans="1:6" x14ac:dyDescent="0.15">
      <c r="A516" s="8" t="s">
        <v>1543</v>
      </c>
      <c r="B516" s="8" t="s">
        <v>157</v>
      </c>
      <c r="C516" s="8" t="str">
        <f t="shared" si="14"/>
        <v>att_mitocarta_pathway:electron_carriers</v>
      </c>
      <c r="D516" s="9" t="s">
        <v>17</v>
      </c>
      <c r="E516" s="8" t="s">
        <v>1544</v>
      </c>
      <c r="F516" s="8" t="s">
        <v>1545</v>
      </c>
    </row>
    <row r="517" spans="1:6" x14ac:dyDescent="0.15">
      <c r="A517" s="8" t="s">
        <v>1546</v>
      </c>
      <c r="B517" s="8" t="s">
        <v>157</v>
      </c>
      <c r="C517" s="8" t="str">
        <f t="shared" si="14"/>
        <v>att_mitocarta_pathway:fatty_acid_oxidation</v>
      </c>
      <c r="D517" s="9" t="s">
        <v>17</v>
      </c>
      <c r="E517" s="8" t="s">
        <v>1547</v>
      </c>
      <c r="F517" s="8" t="s">
        <v>1548</v>
      </c>
    </row>
    <row r="518" spans="1:6" x14ac:dyDescent="0.15">
      <c r="A518" s="8" t="s">
        <v>1549</v>
      </c>
      <c r="B518" s="8" t="s">
        <v>157</v>
      </c>
      <c r="C518" s="8" t="str">
        <f t="shared" si="14"/>
        <v>att_mitocarta_pathway:fe_s_cluster_biosynthesis</v>
      </c>
      <c r="D518" s="9" t="s">
        <v>17</v>
      </c>
      <c r="E518" s="8" t="s">
        <v>1550</v>
      </c>
      <c r="F518" s="8" t="s">
        <v>1551</v>
      </c>
    </row>
    <row r="519" spans="1:6" x14ac:dyDescent="0.15">
      <c r="A519" s="8" t="s">
        <v>1552</v>
      </c>
      <c r="B519" s="8" t="s">
        <v>157</v>
      </c>
      <c r="C519" s="8" t="str">
        <f t="shared" si="14"/>
        <v>att_mitocarta_pathway:fe_s_containing_proteins</v>
      </c>
      <c r="D519" s="9" t="s">
        <v>17</v>
      </c>
      <c r="E519" s="8" t="s">
        <v>1553</v>
      </c>
      <c r="F519" s="8" t="s">
        <v>1554</v>
      </c>
    </row>
    <row r="520" spans="1:6" x14ac:dyDescent="0.15">
      <c r="A520" s="8" t="s">
        <v>1555</v>
      </c>
      <c r="B520" s="8" t="s">
        <v>157</v>
      </c>
      <c r="C520" s="8" t="str">
        <f t="shared" si="14"/>
        <v>att_mitocarta_pathway:fission</v>
      </c>
      <c r="D520" s="9" t="s">
        <v>17</v>
      </c>
      <c r="E520" s="8" t="s">
        <v>1556</v>
      </c>
      <c r="F520" s="8" t="s">
        <v>1557</v>
      </c>
    </row>
    <row r="521" spans="1:6" x14ac:dyDescent="0.15">
      <c r="A521" s="8" t="s">
        <v>1558</v>
      </c>
      <c r="B521" s="8" t="s">
        <v>157</v>
      </c>
      <c r="C521" s="8" t="str">
        <f t="shared" si="14"/>
        <v>att_mitocarta_pathway:fmet_processing</v>
      </c>
      <c r="D521" s="9" t="s">
        <v>17</v>
      </c>
      <c r="E521" s="8" t="s">
        <v>1559</v>
      </c>
      <c r="F521" s="8" t="s">
        <v>1560</v>
      </c>
    </row>
    <row r="522" spans="1:6" x14ac:dyDescent="0.15">
      <c r="A522" s="8" t="s">
        <v>1561</v>
      </c>
      <c r="B522" s="8" t="s">
        <v>157</v>
      </c>
      <c r="C522" s="8" t="str">
        <f t="shared" si="14"/>
        <v>att_mitocarta_pathway:folate_and_1_c_metabolism</v>
      </c>
      <c r="D522" s="9" t="s">
        <v>17</v>
      </c>
      <c r="E522" s="8" t="s">
        <v>1562</v>
      </c>
      <c r="F522" s="8" t="s">
        <v>1563</v>
      </c>
    </row>
    <row r="523" spans="1:6" x14ac:dyDescent="0.15">
      <c r="A523" s="8" t="s">
        <v>1564</v>
      </c>
      <c r="B523" s="8" t="s">
        <v>157</v>
      </c>
      <c r="C523" s="8" t="str">
        <f t="shared" si="14"/>
        <v>att_mitocarta_pathway:fusion</v>
      </c>
      <c r="D523" s="9" t="s">
        <v>17</v>
      </c>
      <c r="E523" s="8" t="s">
        <v>1565</v>
      </c>
      <c r="F523" s="8" t="s">
        <v>1566</v>
      </c>
    </row>
    <row r="524" spans="1:6" x14ac:dyDescent="0.15">
      <c r="A524" s="8" t="s">
        <v>1567</v>
      </c>
      <c r="B524" s="8" t="s">
        <v>157</v>
      </c>
      <c r="C524" s="8" t="str">
        <f t="shared" si="14"/>
        <v>att_mitocarta_pathway:gaba_metabolism</v>
      </c>
      <c r="D524" s="9" t="s">
        <v>17</v>
      </c>
      <c r="E524" s="8" t="s">
        <v>1568</v>
      </c>
      <c r="F524" s="8" t="s">
        <v>1569</v>
      </c>
    </row>
    <row r="525" spans="1:6" x14ac:dyDescent="0.15">
      <c r="A525" s="8" t="s">
        <v>1570</v>
      </c>
      <c r="B525" s="8" t="s">
        <v>157</v>
      </c>
      <c r="C525" s="8" t="str">
        <f t="shared" si="14"/>
        <v>att_mitocarta_pathway:gluconeogenesis</v>
      </c>
      <c r="D525" s="9" t="s">
        <v>17</v>
      </c>
      <c r="E525" s="8" t="s">
        <v>1571</v>
      </c>
      <c r="F525" s="8" t="s">
        <v>1572</v>
      </c>
    </row>
    <row r="526" spans="1:6" x14ac:dyDescent="0.15">
      <c r="A526" s="8" t="s">
        <v>1573</v>
      </c>
      <c r="B526" s="8" t="s">
        <v>157</v>
      </c>
      <c r="C526" s="8" t="str">
        <f t="shared" si="14"/>
        <v>att_mitocarta_pathway:glutamate_metabolism</v>
      </c>
      <c r="D526" s="9" t="s">
        <v>17</v>
      </c>
      <c r="E526" s="8" t="s">
        <v>1574</v>
      </c>
      <c r="F526" s="8" t="s">
        <v>1575</v>
      </c>
    </row>
    <row r="527" spans="1:6" x14ac:dyDescent="0.15">
      <c r="A527" s="8" t="s">
        <v>1576</v>
      </c>
      <c r="B527" s="8" t="s">
        <v>157</v>
      </c>
      <c r="C527" s="8" t="str">
        <f t="shared" si="14"/>
        <v>att_mitocarta_pathway:glycerol_phosphate_shuttle</v>
      </c>
      <c r="D527" s="9" t="s">
        <v>17</v>
      </c>
      <c r="E527" s="8" t="s">
        <v>1577</v>
      </c>
      <c r="F527" s="8" t="s">
        <v>1578</v>
      </c>
    </row>
    <row r="528" spans="1:6" x14ac:dyDescent="0.15">
      <c r="A528" s="8" t="s">
        <v>1579</v>
      </c>
      <c r="B528" s="8" t="s">
        <v>157</v>
      </c>
      <c r="C528" s="8" t="str">
        <f t="shared" si="14"/>
        <v>att_mitocarta_pathway:glycine_cleavage_system</v>
      </c>
      <c r="D528" s="9" t="s">
        <v>17</v>
      </c>
      <c r="E528" s="8" t="s">
        <v>1580</v>
      </c>
      <c r="F528" s="8" t="s">
        <v>1581</v>
      </c>
    </row>
    <row r="529" spans="1:6" x14ac:dyDescent="0.15">
      <c r="A529" s="8" t="s">
        <v>1582</v>
      </c>
      <c r="B529" s="8" t="s">
        <v>157</v>
      </c>
      <c r="C529" s="8" t="str">
        <f t="shared" si="14"/>
        <v>att_mitocarta_pathway:glycine_metabolism</v>
      </c>
      <c r="D529" s="9" t="s">
        <v>17</v>
      </c>
      <c r="E529" s="8" t="s">
        <v>1583</v>
      </c>
      <c r="F529" s="8" t="s">
        <v>1584</v>
      </c>
    </row>
    <row r="530" spans="1:6" x14ac:dyDescent="0.15">
      <c r="A530" s="8" t="s">
        <v>1585</v>
      </c>
      <c r="B530" s="8" t="s">
        <v>157</v>
      </c>
      <c r="C530" s="8" t="str">
        <f t="shared" si="14"/>
        <v>att_mitocarta_pathway:glyoxylate_metabolism</v>
      </c>
      <c r="D530" s="9" t="s">
        <v>17</v>
      </c>
      <c r="E530" s="8" t="s">
        <v>1586</v>
      </c>
      <c r="F530" s="8" t="s">
        <v>1587</v>
      </c>
    </row>
    <row r="531" spans="1:6" x14ac:dyDescent="0.15">
      <c r="A531" s="8" t="s">
        <v>1588</v>
      </c>
      <c r="B531" s="8" t="s">
        <v>157</v>
      </c>
      <c r="C531" s="8" t="str">
        <f t="shared" si="14"/>
        <v>att_mitocarta_pathway:heme_containing_proteins</v>
      </c>
      <c r="D531" s="9" t="s">
        <v>17</v>
      </c>
      <c r="E531" s="8" t="s">
        <v>1589</v>
      </c>
      <c r="F531" s="8" t="s">
        <v>1590</v>
      </c>
    </row>
    <row r="532" spans="1:6" x14ac:dyDescent="0.15">
      <c r="A532" s="8" t="s">
        <v>1591</v>
      </c>
      <c r="B532" s="8" t="s">
        <v>157</v>
      </c>
      <c r="C532" s="8" t="str">
        <f t="shared" si="14"/>
        <v>att_mitocarta_pathway:heme_synthesis_and_processing</v>
      </c>
      <c r="D532" s="9" t="s">
        <v>17</v>
      </c>
      <c r="E532" s="8" t="s">
        <v>1592</v>
      </c>
      <c r="F532" s="8" t="s">
        <v>1593</v>
      </c>
    </row>
    <row r="533" spans="1:6" x14ac:dyDescent="0.15">
      <c r="A533" s="8" t="s">
        <v>1594</v>
      </c>
      <c r="B533" s="8" t="s">
        <v>157</v>
      </c>
      <c r="C533" s="8" t="str">
        <f t="shared" si="14"/>
        <v>att_mitocarta_pathway:immune_response</v>
      </c>
      <c r="D533" s="9" t="s">
        <v>17</v>
      </c>
      <c r="E533" s="8" t="s">
        <v>1595</v>
      </c>
      <c r="F533" s="8" t="s">
        <v>1596</v>
      </c>
    </row>
    <row r="534" spans="1:6" x14ac:dyDescent="0.15">
      <c r="A534" s="8" t="s">
        <v>1597</v>
      </c>
      <c r="B534" s="8" t="s">
        <v>157</v>
      </c>
      <c r="C534" s="8" t="str">
        <f t="shared" si="14"/>
        <v>att_mitocarta_pathway:import_motor</v>
      </c>
      <c r="D534" s="9" t="s">
        <v>17</v>
      </c>
      <c r="E534" s="8" t="s">
        <v>1598</v>
      </c>
      <c r="F534" s="8" t="s">
        <v>1599</v>
      </c>
    </row>
    <row r="535" spans="1:6" x14ac:dyDescent="0.15">
      <c r="A535" s="8" t="s">
        <v>1600</v>
      </c>
      <c r="B535" s="8" t="s">
        <v>157</v>
      </c>
      <c r="C535" s="8" t="str">
        <f t="shared" si="14"/>
        <v>att_mitocarta_pathway:intramitochondrial_membrane_interactions</v>
      </c>
      <c r="D535" s="9" t="s">
        <v>17</v>
      </c>
      <c r="E535" s="8" t="s">
        <v>1601</v>
      </c>
      <c r="F535" s="8" t="s">
        <v>1602</v>
      </c>
    </row>
    <row r="536" spans="1:6" x14ac:dyDescent="0.15">
      <c r="A536" s="8" t="s">
        <v>1603</v>
      </c>
      <c r="B536" s="8" t="s">
        <v>157</v>
      </c>
      <c r="C536" s="8" t="str">
        <f t="shared" si="14"/>
        <v>att_mitocarta_pathway:iron_homeostasis</v>
      </c>
      <c r="D536" s="9" t="s">
        <v>17</v>
      </c>
      <c r="E536" s="8" t="s">
        <v>1604</v>
      </c>
      <c r="F536" s="8" t="s">
        <v>1605</v>
      </c>
    </row>
    <row r="537" spans="1:6" x14ac:dyDescent="0.15">
      <c r="A537" s="8" t="s">
        <v>1606</v>
      </c>
      <c r="B537" s="8" t="s">
        <v>157</v>
      </c>
      <c r="C537" s="8" t="str">
        <f t="shared" si="14"/>
        <v>att_mitocarta_pathway:itaconate_metabolism</v>
      </c>
      <c r="D537" s="9" t="s">
        <v>17</v>
      </c>
      <c r="E537" s="8" t="s">
        <v>1607</v>
      </c>
      <c r="F537" s="8" t="s">
        <v>1608</v>
      </c>
    </row>
    <row r="538" spans="1:6" x14ac:dyDescent="0.15">
      <c r="A538" s="8" t="s">
        <v>1609</v>
      </c>
      <c r="B538" s="8" t="s">
        <v>157</v>
      </c>
      <c r="C538" s="8" t="str">
        <f t="shared" si="14"/>
        <v>att_mitocarta_pathway:ketone_metabolism</v>
      </c>
      <c r="D538" s="9" t="s">
        <v>17</v>
      </c>
      <c r="E538" s="8" t="s">
        <v>1610</v>
      </c>
      <c r="F538" s="8" t="s">
        <v>1611</v>
      </c>
    </row>
    <row r="539" spans="1:6" x14ac:dyDescent="0.15">
      <c r="A539" s="8" t="s">
        <v>1612</v>
      </c>
      <c r="B539" s="8" t="s">
        <v>157</v>
      </c>
      <c r="C539" s="8" t="str">
        <f t="shared" si="14"/>
        <v>att_mitocarta_pathway:kynurenine_metabolism</v>
      </c>
      <c r="D539" s="9" t="s">
        <v>17</v>
      </c>
      <c r="E539" s="8" t="s">
        <v>1613</v>
      </c>
      <c r="F539" s="8" t="s">
        <v>1614</v>
      </c>
    </row>
    <row r="540" spans="1:6" x14ac:dyDescent="0.15">
      <c r="A540" s="8" t="s">
        <v>1615</v>
      </c>
      <c r="B540" s="8" t="s">
        <v>157</v>
      </c>
      <c r="C540" s="8" t="str">
        <f t="shared" si="14"/>
        <v>att_mitocarta_pathway:lipid_metabolism</v>
      </c>
      <c r="D540" s="9" t="s">
        <v>17</v>
      </c>
      <c r="E540" s="8" t="s">
        <v>1616</v>
      </c>
      <c r="F540" s="8" t="s">
        <v>1617</v>
      </c>
    </row>
    <row r="541" spans="1:6" x14ac:dyDescent="0.15">
      <c r="A541" s="8" t="s">
        <v>1618</v>
      </c>
      <c r="B541" s="8" t="s">
        <v>157</v>
      </c>
      <c r="C541" s="8" t="str">
        <f t="shared" si="14"/>
        <v>att_mitocarta_pathway:lipoate_insertion</v>
      </c>
      <c r="D541" s="9" t="s">
        <v>17</v>
      </c>
      <c r="E541" s="8" t="s">
        <v>1619</v>
      </c>
      <c r="F541" s="8" t="s">
        <v>1620</v>
      </c>
    </row>
    <row r="542" spans="1:6" x14ac:dyDescent="0.15">
      <c r="A542" s="8" t="s">
        <v>1621</v>
      </c>
      <c r="B542" s="8" t="s">
        <v>157</v>
      </c>
      <c r="C542" s="8" t="str">
        <f t="shared" si="14"/>
        <v>att_mitocarta_pathway:lysine_metabolism</v>
      </c>
      <c r="D542" s="9" t="s">
        <v>17</v>
      </c>
      <c r="E542" s="8" t="s">
        <v>1622</v>
      </c>
      <c r="F542" s="8" t="s">
        <v>1623</v>
      </c>
    </row>
    <row r="543" spans="1:6" x14ac:dyDescent="0.15">
      <c r="A543" s="8" t="s">
        <v>1624</v>
      </c>
      <c r="B543" s="8" t="s">
        <v>157</v>
      </c>
      <c r="C543" s="8" t="str">
        <f t="shared" si="14"/>
        <v>att_mitocarta_pathway:malate_aspartate_shuttle</v>
      </c>
      <c r="D543" s="9" t="s">
        <v>17</v>
      </c>
      <c r="E543" s="8" t="s">
        <v>1625</v>
      </c>
      <c r="F543" s="8" t="s">
        <v>1626</v>
      </c>
    </row>
    <row r="544" spans="1:6" x14ac:dyDescent="0.15">
      <c r="A544" s="8" t="s">
        <v>1627</v>
      </c>
      <c r="B544" s="8" t="s">
        <v>157</v>
      </c>
      <c r="C544" s="8" t="str">
        <f t="shared" si="14"/>
        <v>att_mitocarta_pathway:metabolism</v>
      </c>
      <c r="D544" s="9" t="s">
        <v>17</v>
      </c>
      <c r="E544" s="8" t="s">
        <v>1628</v>
      </c>
      <c r="F544" s="8" t="s">
        <v>1628</v>
      </c>
    </row>
    <row r="545" spans="1:6" x14ac:dyDescent="0.15">
      <c r="A545" s="8" t="s">
        <v>1629</v>
      </c>
      <c r="B545" s="8" t="s">
        <v>157</v>
      </c>
      <c r="C545" s="8" t="str">
        <f t="shared" si="14"/>
        <v>att_mitocarta_pathway:metals_and_cofactors</v>
      </c>
      <c r="D545" s="9" t="s">
        <v>17</v>
      </c>
      <c r="E545" s="8" t="s">
        <v>1630</v>
      </c>
      <c r="F545" s="8" t="s">
        <v>1631</v>
      </c>
    </row>
    <row r="546" spans="1:6" x14ac:dyDescent="0.15">
      <c r="A546" s="8" t="s">
        <v>1632</v>
      </c>
      <c r="B546" s="8" t="s">
        <v>157</v>
      </c>
      <c r="C546" s="8" t="str">
        <f t="shared" si="14"/>
        <v>att_mitocarta_pathway:mia40</v>
      </c>
      <c r="D546" s="9" t="s">
        <v>17</v>
      </c>
      <c r="E546" s="8" t="s">
        <v>1633</v>
      </c>
      <c r="F546" s="8" t="s">
        <v>1634</v>
      </c>
    </row>
    <row r="547" spans="1:6" x14ac:dyDescent="0.15">
      <c r="A547" s="8" t="s">
        <v>1635</v>
      </c>
      <c r="B547" s="8" t="s">
        <v>157</v>
      </c>
      <c r="C547" s="8" t="str">
        <f t="shared" si="14"/>
        <v>att_mitocarta_pathway:micos_complex</v>
      </c>
      <c r="D547" s="9" t="s">
        <v>17</v>
      </c>
      <c r="E547" s="8" t="s">
        <v>1636</v>
      </c>
      <c r="F547" s="8" t="s">
        <v>1637</v>
      </c>
    </row>
    <row r="548" spans="1:6" x14ac:dyDescent="0.15">
      <c r="A548" s="8" t="s">
        <v>1638</v>
      </c>
      <c r="B548" s="8" t="s">
        <v>157</v>
      </c>
      <c r="C548" s="8" t="str">
        <f t="shared" si="14"/>
        <v>att_mitocarta_pathway:mitochondrial_dynamics_and_surveillance</v>
      </c>
      <c r="D548" s="9" t="s">
        <v>17</v>
      </c>
      <c r="E548" s="8" t="s">
        <v>1639</v>
      </c>
      <c r="F548" s="8" t="s">
        <v>1639</v>
      </c>
    </row>
    <row r="549" spans="1:6" x14ac:dyDescent="0.15">
      <c r="A549" s="8" t="s">
        <v>1640</v>
      </c>
      <c r="B549" s="8" t="s">
        <v>157</v>
      </c>
      <c r="C549" s="8" t="str">
        <f t="shared" si="14"/>
        <v>att_mitocarta_pathway:mitochondrial_permeability_transition_pore</v>
      </c>
      <c r="D549" s="9" t="s">
        <v>17</v>
      </c>
      <c r="E549" s="8" t="s">
        <v>1641</v>
      </c>
      <c r="F549" s="8" t="s">
        <v>1642</v>
      </c>
    </row>
    <row r="550" spans="1:6" x14ac:dyDescent="0.15">
      <c r="A550" s="8" t="s">
        <v>1643</v>
      </c>
      <c r="B550" s="8" t="s">
        <v>157</v>
      </c>
      <c r="C550" s="8" t="str">
        <f t="shared" si="14"/>
        <v>att_mitocarta_pathway:mitochondrial_ribosome</v>
      </c>
      <c r="D550" s="9" t="s">
        <v>17</v>
      </c>
      <c r="E550" s="8" t="s">
        <v>1644</v>
      </c>
      <c r="F550" s="8" t="s">
        <v>1645</v>
      </c>
    </row>
    <row r="551" spans="1:6" x14ac:dyDescent="0.15">
      <c r="A551" s="8" t="s">
        <v>1646</v>
      </c>
      <c r="B551" s="8" t="s">
        <v>157</v>
      </c>
      <c r="C551" s="8" t="str">
        <f t="shared" si="14"/>
        <v>att_mitocarta_pathway:mitochondrial_ribosome_assembly</v>
      </c>
      <c r="D551" s="9" t="s">
        <v>17</v>
      </c>
      <c r="E551" s="8" t="s">
        <v>1647</v>
      </c>
      <c r="F551" s="8" t="s">
        <v>1648</v>
      </c>
    </row>
    <row r="552" spans="1:6" x14ac:dyDescent="0.15">
      <c r="A552" s="8" t="s">
        <v>1649</v>
      </c>
      <c r="B552" s="8" t="s">
        <v>157</v>
      </c>
      <c r="C552" s="8" t="str">
        <f t="shared" si="14"/>
        <v>att_mitocarta_pathway:mitophagy</v>
      </c>
      <c r="D552" s="9" t="s">
        <v>17</v>
      </c>
      <c r="E552" s="8" t="s">
        <v>1650</v>
      </c>
      <c r="F552" s="8" t="s">
        <v>1651</v>
      </c>
    </row>
    <row r="553" spans="1:6" x14ac:dyDescent="0.15">
      <c r="A553" s="8" t="s">
        <v>1652</v>
      </c>
      <c r="B553" s="8" t="s">
        <v>157</v>
      </c>
      <c r="C553" s="8" t="str">
        <f t="shared" si="14"/>
        <v>att_mitocarta_pathway:molybdenum_cofactor_synthesis_and_proteins</v>
      </c>
      <c r="D553" s="9" t="s">
        <v>17</v>
      </c>
      <c r="E553" s="8" t="s">
        <v>1653</v>
      </c>
      <c r="F553" s="8" t="s">
        <v>1654</v>
      </c>
    </row>
    <row r="554" spans="1:6" x14ac:dyDescent="0.15">
      <c r="A554" s="8" t="s">
        <v>1655</v>
      </c>
      <c r="B554" s="8" t="s">
        <v>157</v>
      </c>
      <c r="C554" s="8" t="str">
        <f t="shared" si="14"/>
        <v>att_mitocarta_pathway:mt_mrna_modifications</v>
      </c>
      <c r="D554" s="9" t="s">
        <v>17</v>
      </c>
      <c r="E554" s="8" t="s">
        <v>1656</v>
      </c>
      <c r="F554" s="8" t="s">
        <v>1657</v>
      </c>
    </row>
    <row r="555" spans="1:6" x14ac:dyDescent="0.15">
      <c r="A555" s="8" t="s">
        <v>1658</v>
      </c>
      <c r="B555" s="8" t="s">
        <v>157</v>
      </c>
      <c r="C555" s="8" t="str">
        <f t="shared" si="14"/>
        <v>att_mitocarta_pathway:mt_rrna_modifications</v>
      </c>
      <c r="D555" s="9" t="s">
        <v>17</v>
      </c>
      <c r="E555" s="8" t="s">
        <v>1659</v>
      </c>
      <c r="F555" s="8" t="s">
        <v>1660</v>
      </c>
    </row>
    <row r="556" spans="1:6" x14ac:dyDescent="0.15">
      <c r="A556" s="8" t="s">
        <v>1661</v>
      </c>
      <c r="B556" s="8" t="s">
        <v>157</v>
      </c>
      <c r="C556" s="8" t="str">
        <f t="shared" si="14"/>
        <v>att_mitocarta_pathway:mt_trna_modifications</v>
      </c>
      <c r="D556" s="9" t="s">
        <v>17</v>
      </c>
      <c r="E556" s="8" t="s">
        <v>1662</v>
      </c>
      <c r="F556" s="8" t="s">
        <v>1663</v>
      </c>
    </row>
    <row r="557" spans="1:6" x14ac:dyDescent="0.15">
      <c r="A557" s="8" t="s">
        <v>1664</v>
      </c>
      <c r="B557" s="8" t="s">
        <v>157</v>
      </c>
      <c r="C557" s="8" t="str">
        <f t="shared" si="14"/>
        <v>att_mitocarta_pathway:mt_trna_synthetases</v>
      </c>
      <c r="D557" s="9" t="s">
        <v>17</v>
      </c>
      <c r="E557" s="8" t="s">
        <v>1665</v>
      </c>
      <c r="F557" s="8" t="s">
        <v>1666</v>
      </c>
    </row>
    <row r="558" spans="1:6" x14ac:dyDescent="0.15">
      <c r="A558" s="8" t="s">
        <v>1667</v>
      </c>
      <c r="B558" s="8" t="s">
        <v>157</v>
      </c>
      <c r="C558" s="8" t="str">
        <f t="shared" si="14"/>
        <v>att_mitocarta_pathway:mtdna_maintenance</v>
      </c>
      <c r="D558" s="9" t="s">
        <v>17</v>
      </c>
      <c r="E558" s="8" t="s">
        <v>1668</v>
      </c>
      <c r="F558" s="8" t="s">
        <v>1669</v>
      </c>
    </row>
    <row r="559" spans="1:6" x14ac:dyDescent="0.15">
      <c r="A559" s="8" t="s">
        <v>1670</v>
      </c>
      <c r="B559" s="8" t="s">
        <v>157</v>
      </c>
      <c r="C559" s="8" t="str">
        <f t="shared" si="14"/>
        <v>att_mitocarta_pathway:mtdna_modifications</v>
      </c>
      <c r="D559" s="9" t="s">
        <v>17</v>
      </c>
      <c r="E559" s="8" t="s">
        <v>1671</v>
      </c>
      <c r="F559" s="8" t="s">
        <v>1672</v>
      </c>
    </row>
    <row r="560" spans="1:6" x14ac:dyDescent="0.15">
      <c r="A560" s="8" t="s">
        <v>1673</v>
      </c>
      <c r="B560" s="8" t="s">
        <v>157</v>
      </c>
      <c r="C560" s="8" t="str">
        <f t="shared" si="14"/>
        <v>att_mitocarta_pathway:mtdna_nucleoid</v>
      </c>
      <c r="D560" s="9" t="s">
        <v>17</v>
      </c>
      <c r="E560" s="8" t="s">
        <v>1674</v>
      </c>
      <c r="F560" s="8" t="s">
        <v>1675</v>
      </c>
    </row>
    <row r="561" spans="1:6" x14ac:dyDescent="0.15">
      <c r="A561" s="8" t="s">
        <v>1676</v>
      </c>
      <c r="B561" s="8" t="s">
        <v>157</v>
      </c>
      <c r="C561" s="8" t="str">
        <f t="shared" si="14"/>
        <v>att_mitocarta_pathway:mtdna_repair</v>
      </c>
      <c r="D561" s="9" t="s">
        <v>17</v>
      </c>
      <c r="E561" s="8" t="s">
        <v>1677</v>
      </c>
      <c r="F561" s="8" t="s">
        <v>1678</v>
      </c>
    </row>
    <row r="562" spans="1:6" x14ac:dyDescent="0.15">
      <c r="A562" s="8" t="s">
        <v>1679</v>
      </c>
      <c r="B562" s="8" t="s">
        <v>157</v>
      </c>
      <c r="C562" s="8" t="str">
        <f t="shared" si="14"/>
        <v>att_mitocarta_pathway:mtdna_replication</v>
      </c>
      <c r="D562" s="9" t="s">
        <v>17</v>
      </c>
      <c r="E562" s="8" t="s">
        <v>1680</v>
      </c>
      <c r="F562" s="8" t="s">
        <v>1681</v>
      </c>
    </row>
    <row r="563" spans="1:6" x14ac:dyDescent="0.15">
      <c r="A563" s="8" t="s">
        <v>1682</v>
      </c>
      <c r="B563" s="8" t="s">
        <v>157</v>
      </c>
      <c r="C563" s="8" t="str">
        <f t="shared" ref="C563:C626" si="15">B563&amp;":"&amp;A563</f>
        <v>att_mitocarta_pathway:mtdna_stability_and_decay</v>
      </c>
      <c r="D563" s="9" t="s">
        <v>17</v>
      </c>
      <c r="E563" s="8" t="s">
        <v>1683</v>
      </c>
      <c r="F563" s="8" t="s">
        <v>1684</v>
      </c>
    </row>
    <row r="564" spans="1:6" x14ac:dyDescent="0.15">
      <c r="A564" s="8" t="s">
        <v>1685</v>
      </c>
      <c r="B564" s="8" t="s">
        <v>157</v>
      </c>
      <c r="C564" s="8" t="str">
        <f t="shared" si="15"/>
        <v>att_mitocarta_pathway:mtrna_granules</v>
      </c>
      <c r="D564" s="9" t="s">
        <v>17</v>
      </c>
      <c r="E564" s="8" t="s">
        <v>1686</v>
      </c>
      <c r="F564" s="8" t="s">
        <v>1687</v>
      </c>
    </row>
    <row r="565" spans="1:6" x14ac:dyDescent="0.15">
      <c r="A565" s="8" t="s">
        <v>1688</v>
      </c>
      <c r="B565" s="8" t="s">
        <v>157</v>
      </c>
      <c r="C565" s="8" t="str">
        <f t="shared" si="15"/>
        <v>att_mitocarta_pathway:mtrna_metabolism</v>
      </c>
      <c r="D565" s="9" t="s">
        <v>17</v>
      </c>
      <c r="E565" s="8" t="s">
        <v>1689</v>
      </c>
      <c r="F565" s="8" t="s">
        <v>1690</v>
      </c>
    </row>
    <row r="566" spans="1:6" x14ac:dyDescent="0.15">
      <c r="A566" s="8" t="s">
        <v>1691</v>
      </c>
      <c r="B566" s="8" t="s">
        <v>157</v>
      </c>
      <c r="C566" s="8" t="str">
        <f t="shared" si="15"/>
        <v>att_mitocarta_pathway:mtrna_stability_and_decay</v>
      </c>
      <c r="D566" s="9" t="s">
        <v>17</v>
      </c>
      <c r="E566" s="8" t="s">
        <v>1692</v>
      </c>
      <c r="F566" s="8" t="s">
        <v>1693</v>
      </c>
    </row>
    <row r="567" spans="1:6" x14ac:dyDescent="0.15">
      <c r="A567" s="8" t="s">
        <v>1694</v>
      </c>
      <c r="B567" s="8" t="s">
        <v>157</v>
      </c>
      <c r="C567" s="8" t="str">
        <f t="shared" si="15"/>
        <v>att_mitocarta_pathway:nad_biosynthesis_and_metabolism</v>
      </c>
      <c r="D567" s="9" t="s">
        <v>17</v>
      </c>
      <c r="E567" s="8" t="s">
        <v>1695</v>
      </c>
      <c r="F567" s="8" t="s">
        <v>1696</v>
      </c>
    </row>
    <row r="568" spans="1:6" x14ac:dyDescent="0.15">
      <c r="A568" s="8" t="s">
        <v>1697</v>
      </c>
      <c r="B568" s="8" t="s">
        <v>157</v>
      </c>
      <c r="C568" s="8" t="str">
        <f t="shared" si="15"/>
        <v>att_mitocarta_pathway:nucleotide_import</v>
      </c>
      <c r="D568" s="9" t="s">
        <v>17</v>
      </c>
      <c r="E568" s="8" t="s">
        <v>1698</v>
      </c>
      <c r="F568" s="8" t="s">
        <v>1699</v>
      </c>
    </row>
    <row r="569" spans="1:6" x14ac:dyDescent="0.15">
      <c r="A569" s="8" t="s">
        <v>1700</v>
      </c>
      <c r="B569" s="8" t="s">
        <v>157</v>
      </c>
      <c r="C569" s="8" t="str">
        <f t="shared" si="15"/>
        <v>att_mitocarta_pathway:nucleotide_metabolism</v>
      </c>
      <c r="D569" s="9" t="s">
        <v>17</v>
      </c>
      <c r="E569" s="8" t="s">
        <v>1701</v>
      </c>
      <c r="F569" s="8" t="s">
        <v>1702</v>
      </c>
    </row>
    <row r="570" spans="1:6" x14ac:dyDescent="0.15">
      <c r="A570" s="8" t="s">
        <v>1703</v>
      </c>
      <c r="B570" s="8" t="s">
        <v>157</v>
      </c>
      <c r="C570" s="8" t="str">
        <f t="shared" si="15"/>
        <v>att_mitocarta_pathway:nucleotide_synthesis_and_processing</v>
      </c>
      <c r="D570" s="9" t="s">
        <v>17</v>
      </c>
      <c r="E570" s="8" t="s">
        <v>1704</v>
      </c>
      <c r="F570" s="8" t="s">
        <v>1705</v>
      </c>
    </row>
    <row r="571" spans="1:6" x14ac:dyDescent="0.15">
      <c r="A571" s="8" t="s">
        <v>1706</v>
      </c>
      <c r="B571" s="8" t="s">
        <v>157</v>
      </c>
      <c r="C571" s="8" t="str">
        <f t="shared" si="15"/>
        <v>att_mitocarta_pathway:organelle_contact_sites</v>
      </c>
      <c r="D571" s="9" t="s">
        <v>17</v>
      </c>
      <c r="E571" s="8" t="s">
        <v>1707</v>
      </c>
      <c r="F571" s="8" t="s">
        <v>1708</v>
      </c>
    </row>
    <row r="572" spans="1:6" x14ac:dyDescent="0.15">
      <c r="A572" s="8" t="s">
        <v>1709</v>
      </c>
      <c r="B572" s="8" t="s">
        <v>157</v>
      </c>
      <c r="C572" s="8" t="str">
        <f t="shared" si="15"/>
        <v>att_mitocarta_pathway:oxa</v>
      </c>
      <c r="D572" s="9" t="s">
        <v>17</v>
      </c>
      <c r="E572" s="8" t="s">
        <v>1710</v>
      </c>
      <c r="F572" s="8" t="s">
        <v>1711</v>
      </c>
    </row>
    <row r="573" spans="1:6" x14ac:dyDescent="0.15">
      <c r="A573" s="8" t="s">
        <v>1712</v>
      </c>
      <c r="B573" s="8" t="s">
        <v>157</v>
      </c>
      <c r="C573" s="8" t="str">
        <f t="shared" si="15"/>
        <v>att_mitocarta_pathway:oxphos</v>
      </c>
      <c r="D573" s="9" t="s">
        <v>17</v>
      </c>
      <c r="E573" s="8" t="s">
        <v>1713</v>
      </c>
      <c r="F573" s="8" t="s">
        <v>1713</v>
      </c>
    </row>
    <row r="574" spans="1:6" x14ac:dyDescent="0.15">
      <c r="A574" s="8" t="s">
        <v>1714</v>
      </c>
      <c r="B574" s="8" t="s">
        <v>157</v>
      </c>
      <c r="C574" s="8" t="str">
        <f t="shared" si="15"/>
        <v>att_mitocarta_pathway:oxphos_assembly_factors</v>
      </c>
      <c r="D574" s="9" t="s">
        <v>17</v>
      </c>
      <c r="E574" s="8" t="s">
        <v>1715</v>
      </c>
      <c r="F574" s="8" t="s">
        <v>1716</v>
      </c>
    </row>
    <row r="575" spans="1:6" x14ac:dyDescent="0.15">
      <c r="A575" s="8" t="s">
        <v>1717</v>
      </c>
      <c r="B575" s="8" t="s">
        <v>157</v>
      </c>
      <c r="C575" s="8" t="str">
        <f t="shared" si="15"/>
        <v>att_mitocarta_pathway:oxphos_subunits</v>
      </c>
      <c r="D575" s="9" t="s">
        <v>17</v>
      </c>
      <c r="E575" s="8" t="s">
        <v>1718</v>
      </c>
      <c r="F575" s="8" t="s">
        <v>1719</v>
      </c>
    </row>
    <row r="576" spans="1:6" x14ac:dyDescent="0.15">
      <c r="A576" s="8" t="s">
        <v>1720</v>
      </c>
      <c r="B576" s="8" t="s">
        <v>157</v>
      </c>
      <c r="C576" s="8" t="str">
        <f t="shared" si="15"/>
        <v>att_mitocarta_pathway:phospholipid_metabolism</v>
      </c>
      <c r="D576" s="9" t="s">
        <v>17</v>
      </c>
      <c r="E576" s="8" t="s">
        <v>1721</v>
      </c>
      <c r="F576" s="8" t="s">
        <v>1722</v>
      </c>
    </row>
    <row r="577" spans="1:6" x14ac:dyDescent="0.15">
      <c r="A577" s="8" t="s">
        <v>1723</v>
      </c>
      <c r="B577" s="8" t="s">
        <v>157</v>
      </c>
      <c r="C577" s="8" t="str">
        <f t="shared" si="15"/>
        <v>att_mitocarta_pathway:polycistronic_mtrna_processing</v>
      </c>
      <c r="D577" s="9" t="s">
        <v>17</v>
      </c>
      <c r="E577" s="8" t="s">
        <v>1724</v>
      </c>
      <c r="F577" s="8" t="s">
        <v>1725</v>
      </c>
    </row>
    <row r="578" spans="1:6" x14ac:dyDescent="0.15">
      <c r="A578" s="8" t="s">
        <v>1726</v>
      </c>
      <c r="B578" s="8" t="s">
        <v>157</v>
      </c>
      <c r="C578" s="8" t="str">
        <f t="shared" si="15"/>
        <v>att_mitocarta_pathway:preprotein_cleavage</v>
      </c>
      <c r="D578" s="9" t="s">
        <v>17</v>
      </c>
      <c r="E578" s="8" t="s">
        <v>1727</v>
      </c>
      <c r="F578" s="8" t="s">
        <v>1728</v>
      </c>
    </row>
    <row r="579" spans="1:6" x14ac:dyDescent="0.15">
      <c r="A579" s="8" t="s">
        <v>1729</v>
      </c>
      <c r="B579" s="8" t="s">
        <v>157</v>
      </c>
      <c r="C579" s="8" t="str">
        <f t="shared" si="15"/>
        <v>att_mitocarta_pathway:proline_metabolism</v>
      </c>
      <c r="D579" s="9" t="s">
        <v>17</v>
      </c>
      <c r="E579" s="8" t="s">
        <v>1730</v>
      </c>
      <c r="F579" s="8" t="s">
        <v>1731</v>
      </c>
    </row>
    <row r="580" spans="1:6" x14ac:dyDescent="0.15">
      <c r="A580" s="8" t="s">
        <v>1732</v>
      </c>
      <c r="B580" s="8" t="s">
        <v>157</v>
      </c>
      <c r="C580" s="8" t="str">
        <f t="shared" si="15"/>
        <v>att_mitocarta_pathway:propanoate_metabolism</v>
      </c>
      <c r="D580" s="9" t="s">
        <v>17</v>
      </c>
      <c r="E580" s="8" t="s">
        <v>1733</v>
      </c>
      <c r="F580" s="8" t="s">
        <v>1734</v>
      </c>
    </row>
    <row r="581" spans="1:6" x14ac:dyDescent="0.15">
      <c r="A581" s="8" t="s">
        <v>1735</v>
      </c>
      <c r="B581" s="8" t="s">
        <v>157</v>
      </c>
      <c r="C581" s="8" t="str">
        <f t="shared" si="15"/>
        <v>att_mitocarta_pathway:proteases</v>
      </c>
      <c r="D581" s="9" t="s">
        <v>17</v>
      </c>
      <c r="E581" s="8" t="s">
        <v>1736</v>
      </c>
      <c r="F581" s="8" t="s">
        <v>1737</v>
      </c>
    </row>
    <row r="582" spans="1:6" x14ac:dyDescent="0.15">
      <c r="A582" s="8" t="s">
        <v>1738</v>
      </c>
      <c r="B582" s="8" t="s">
        <v>157</v>
      </c>
      <c r="C582" s="8" t="str">
        <f t="shared" si="15"/>
        <v>att_mitocarta_pathway:protein_homeostasis</v>
      </c>
      <c r="D582" s="9" t="s">
        <v>17</v>
      </c>
      <c r="E582" s="8" t="s">
        <v>1739</v>
      </c>
      <c r="F582" s="8" t="s">
        <v>1740</v>
      </c>
    </row>
    <row r="583" spans="1:6" x14ac:dyDescent="0.15">
      <c r="A583" s="8" t="s">
        <v>1741</v>
      </c>
      <c r="B583" s="8" t="s">
        <v>157</v>
      </c>
      <c r="C583" s="8" t="str">
        <f t="shared" si="15"/>
        <v>att_mitocarta_pathway:protein_import_and_sorting</v>
      </c>
      <c r="D583" s="9" t="s">
        <v>17</v>
      </c>
      <c r="E583" s="8" t="s">
        <v>1742</v>
      </c>
      <c r="F583" s="8" t="s">
        <v>1743</v>
      </c>
    </row>
    <row r="584" spans="1:6" x14ac:dyDescent="0.15">
      <c r="A584" s="8" t="s">
        <v>1744</v>
      </c>
      <c r="B584" s="8" t="s">
        <v>157</v>
      </c>
      <c r="C584" s="8" t="str">
        <f t="shared" si="15"/>
        <v>att_mitocarta_pathway:pyruvate_metabolism</v>
      </c>
      <c r="D584" s="9" t="s">
        <v>17</v>
      </c>
      <c r="E584" s="8" t="s">
        <v>1745</v>
      </c>
      <c r="F584" s="8" t="s">
        <v>1746</v>
      </c>
    </row>
    <row r="585" spans="1:6" x14ac:dyDescent="0.15">
      <c r="A585" s="8" t="s">
        <v>1747</v>
      </c>
      <c r="B585" s="8" t="s">
        <v>157</v>
      </c>
      <c r="C585" s="8" t="str">
        <f t="shared" si="15"/>
        <v>att_mitocarta_pathway:respirasome_assembly</v>
      </c>
      <c r="D585" s="9" t="s">
        <v>17</v>
      </c>
      <c r="E585" s="8" t="s">
        <v>1748</v>
      </c>
      <c r="F585" s="8" t="s">
        <v>1749</v>
      </c>
    </row>
    <row r="586" spans="1:6" x14ac:dyDescent="0.15">
      <c r="A586" s="8" t="s">
        <v>1750</v>
      </c>
      <c r="B586" s="8" t="s">
        <v>157</v>
      </c>
      <c r="C586" s="8" t="str">
        <f t="shared" si="15"/>
        <v>att_mitocarta_pathway:ros_and_glutathione_metabolism</v>
      </c>
      <c r="D586" s="9" t="s">
        <v>17</v>
      </c>
      <c r="E586" s="8" t="s">
        <v>1751</v>
      </c>
      <c r="F586" s="8" t="s">
        <v>1752</v>
      </c>
    </row>
    <row r="587" spans="1:6" x14ac:dyDescent="0.15">
      <c r="A587" s="8" t="s">
        <v>1753</v>
      </c>
      <c r="B587" s="8" t="s">
        <v>157</v>
      </c>
      <c r="C587" s="8" t="str">
        <f t="shared" si="15"/>
        <v>att_mitocarta_pathway:sam</v>
      </c>
      <c r="D587" s="9" t="s">
        <v>17</v>
      </c>
      <c r="E587" s="8" t="s">
        <v>1754</v>
      </c>
      <c r="F587" s="8" t="s">
        <v>1755</v>
      </c>
    </row>
    <row r="588" spans="1:6" x14ac:dyDescent="0.15">
      <c r="A588" s="8" t="s">
        <v>1756</v>
      </c>
      <c r="B588" s="8" t="s">
        <v>157</v>
      </c>
      <c r="C588" s="8" t="str">
        <f t="shared" si="15"/>
        <v>att_mitocarta_pathway:selenoproteins</v>
      </c>
      <c r="D588" s="9" t="s">
        <v>17</v>
      </c>
      <c r="E588" s="8" t="s">
        <v>1757</v>
      </c>
      <c r="F588" s="8" t="s">
        <v>1758</v>
      </c>
    </row>
    <row r="589" spans="1:6" x14ac:dyDescent="0.15">
      <c r="A589" s="8" t="s">
        <v>1759</v>
      </c>
      <c r="B589" s="8" t="s">
        <v>157</v>
      </c>
      <c r="C589" s="8" t="str">
        <f t="shared" si="15"/>
        <v>att_mitocarta_pathway:serine_metabolism</v>
      </c>
      <c r="D589" s="9" t="s">
        <v>17</v>
      </c>
      <c r="E589" s="8" t="s">
        <v>1760</v>
      </c>
      <c r="F589" s="8" t="s">
        <v>1761</v>
      </c>
    </row>
    <row r="590" spans="1:6" x14ac:dyDescent="0.15">
      <c r="A590" s="8" t="s">
        <v>1762</v>
      </c>
      <c r="B590" s="8" t="s">
        <v>157</v>
      </c>
      <c r="C590" s="8" t="str">
        <f t="shared" si="15"/>
        <v>att_mitocarta_pathway:sideroflexins</v>
      </c>
      <c r="D590" s="9" t="s">
        <v>17</v>
      </c>
      <c r="E590" s="8" t="s">
        <v>1763</v>
      </c>
      <c r="F590" s="8" t="s">
        <v>1764</v>
      </c>
    </row>
    <row r="591" spans="1:6" x14ac:dyDescent="0.15">
      <c r="A591" s="8" t="s">
        <v>1765</v>
      </c>
      <c r="B591" s="8" t="s">
        <v>157</v>
      </c>
      <c r="C591" s="8" t="str">
        <f t="shared" si="15"/>
        <v>att_mitocarta_pathway:signaling</v>
      </c>
      <c r="D591" s="9" t="s">
        <v>17</v>
      </c>
      <c r="E591" s="8" t="s">
        <v>1766</v>
      </c>
      <c r="F591" s="8" t="s">
        <v>1766</v>
      </c>
    </row>
    <row r="592" spans="1:6" x14ac:dyDescent="0.15">
      <c r="A592" s="8" t="s">
        <v>1767</v>
      </c>
      <c r="B592" s="8" t="s">
        <v>157</v>
      </c>
      <c r="C592" s="8" t="str">
        <f t="shared" si="15"/>
        <v>att_mitocarta_pathway:slc25a_family</v>
      </c>
      <c r="D592" s="9" t="s">
        <v>17</v>
      </c>
      <c r="E592" s="8" t="s">
        <v>1768</v>
      </c>
      <c r="F592" s="8" t="s">
        <v>1769</v>
      </c>
    </row>
    <row r="593" spans="1:6" x14ac:dyDescent="0.15">
      <c r="A593" s="8" t="s">
        <v>1770</v>
      </c>
      <c r="B593" s="8" t="s">
        <v>157</v>
      </c>
      <c r="C593" s="8" t="str">
        <f t="shared" si="15"/>
        <v>att_mitocarta_pathway:small_molecule_transport</v>
      </c>
      <c r="D593" s="9" t="s">
        <v>17</v>
      </c>
      <c r="E593" s="8" t="s">
        <v>1771</v>
      </c>
      <c r="F593" s="8" t="s">
        <v>1771</v>
      </c>
    </row>
    <row r="594" spans="1:6" x14ac:dyDescent="0.15">
      <c r="A594" s="8" t="s">
        <v>1772</v>
      </c>
      <c r="B594" s="8" t="s">
        <v>157</v>
      </c>
      <c r="C594" s="8" t="str">
        <f t="shared" si="15"/>
        <v>att_mitocarta_pathway:sulfur_metabolism</v>
      </c>
      <c r="D594" s="9" t="s">
        <v>17</v>
      </c>
      <c r="E594" s="8" t="s">
        <v>1773</v>
      </c>
      <c r="F594" s="8" t="s">
        <v>1774</v>
      </c>
    </row>
    <row r="595" spans="1:6" x14ac:dyDescent="0.15">
      <c r="A595" s="8" t="s">
        <v>1775</v>
      </c>
      <c r="B595" s="8" t="s">
        <v>157</v>
      </c>
      <c r="C595" s="8" t="str">
        <f t="shared" si="15"/>
        <v>att_mitocarta_pathway:tca_associated</v>
      </c>
      <c r="D595" s="9" t="s">
        <v>17</v>
      </c>
      <c r="E595" s="8" t="s">
        <v>1776</v>
      </c>
      <c r="F595" s="8" t="s">
        <v>1777</v>
      </c>
    </row>
    <row r="596" spans="1:6" x14ac:dyDescent="0.15">
      <c r="A596" s="8" t="s">
        <v>1778</v>
      </c>
      <c r="B596" s="8" t="s">
        <v>157</v>
      </c>
      <c r="C596" s="8" t="str">
        <f t="shared" si="15"/>
        <v>att_mitocarta_pathway:tca_cycle</v>
      </c>
      <c r="D596" s="9" t="s">
        <v>17</v>
      </c>
      <c r="E596" s="8" t="s">
        <v>1779</v>
      </c>
      <c r="F596" s="8" t="s">
        <v>1780</v>
      </c>
    </row>
    <row r="597" spans="1:6" x14ac:dyDescent="0.15">
      <c r="A597" s="8" t="s">
        <v>1781</v>
      </c>
      <c r="B597" s="8" t="s">
        <v>157</v>
      </c>
      <c r="C597" s="8" t="str">
        <f t="shared" si="15"/>
        <v>att_mitocarta_pathway:tetrahydrobiopterin_synthesis</v>
      </c>
      <c r="D597" s="9" t="s">
        <v>17</v>
      </c>
      <c r="E597" s="8" t="s">
        <v>1782</v>
      </c>
      <c r="F597" s="8" t="s">
        <v>1783</v>
      </c>
    </row>
    <row r="598" spans="1:6" x14ac:dyDescent="0.15">
      <c r="A598" s="8" t="s">
        <v>1784</v>
      </c>
      <c r="B598" s="8" t="s">
        <v>157</v>
      </c>
      <c r="C598" s="8" t="str">
        <f t="shared" si="15"/>
        <v>att_mitocarta_pathway:tim22_carrier_pathway</v>
      </c>
      <c r="D598" s="9" t="s">
        <v>17</v>
      </c>
      <c r="E598" s="8" t="s">
        <v>1785</v>
      </c>
      <c r="F598" s="8" t="s">
        <v>1786</v>
      </c>
    </row>
    <row r="599" spans="1:6" x14ac:dyDescent="0.15">
      <c r="A599" s="8" t="s">
        <v>1787</v>
      </c>
      <c r="B599" s="8" t="s">
        <v>157</v>
      </c>
      <c r="C599" s="8" t="str">
        <f t="shared" si="15"/>
        <v>att_mitocarta_pathway:tim23_presequence_pathway</v>
      </c>
      <c r="D599" s="9" t="s">
        <v>17</v>
      </c>
      <c r="E599" s="8" t="s">
        <v>1788</v>
      </c>
      <c r="F599" s="8" t="s">
        <v>1789</v>
      </c>
    </row>
    <row r="600" spans="1:6" x14ac:dyDescent="0.15">
      <c r="A600" s="8" t="s">
        <v>1790</v>
      </c>
      <c r="B600" s="8" t="s">
        <v>157</v>
      </c>
      <c r="C600" s="8" t="str">
        <f t="shared" si="15"/>
        <v>att_mitocarta_pathway:tom</v>
      </c>
      <c r="D600" s="9" t="s">
        <v>17</v>
      </c>
      <c r="E600" s="8" t="s">
        <v>1791</v>
      </c>
      <c r="F600" s="8" t="s">
        <v>1792</v>
      </c>
    </row>
    <row r="601" spans="1:6" x14ac:dyDescent="0.15">
      <c r="A601" s="8" t="s">
        <v>1793</v>
      </c>
      <c r="B601" s="8" t="s">
        <v>157</v>
      </c>
      <c r="C601" s="8" t="str">
        <f t="shared" si="15"/>
        <v>att_mitocarta_pathway:trafficking</v>
      </c>
      <c r="D601" s="9" t="s">
        <v>17</v>
      </c>
      <c r="E601" s="8" t="s">
        <v>1794</v>
      </c>
      <c r="F601" s="8" t="s">
        <v>1795</v>
      </c>
    </row>
    <row r="602" spans="1:6" x14ac:dyDescent="0.15">
      <c r="A602" s="8" t="s">
        <v>1796</v>
      </c>
      <c r="B602" s="8" t="s">
        <v>157</v>
      </c>
      <c r="C602" s="8" t="str">
        <f t="shared" si="15"/>
        <v>att_mitocarta_pathway:transcription</v>
      </c>
      <c r="D602" s="9" t="s">
        <v>17</v>
      </c>
      <c r="E602" s="8" t="s">
        <v>1797</v>
      </c>
      <c r="F602" s="8" t="s">
        <v>1798</v>
      </c>
    </row>
    <row r="603" spans="1:6" x14ac:dyDescent="0.15">
      <c r="A603" s="8" t="s">
        <v>1799</v>
      </c>
      <c r="B603" s="8" t="s">
        <v>157</v>
      </c>
      <c r="C603" s="8" t="str">
        <f t="shared" si="15"/>
        <v>att_mitocarta_pathway:translation</v>
      </c>
      <c r="D603" s="9" t="s">
        <v>17</v>
      </c>
      <c r="E603" s="8" t="s">
        <v>1800</v>
      </c>
      <c r="F603" s="8" t="s">
        <v>1801</v>
      </c>
    </row>
    <row r="604" spans="1:6" x14ac:dyDescent="0.15">
      <c r="A604" s="8" t="s">
        <v>1802</v>
      </c>
      <c r="B604" s="8" t="s">
        <v>157</v>
      </c>
      <c r="C604" s="8" t="str">
        <f t="shared" si="15"/>
        <v>att_mitocarta_pathway:translation_factors</v>
      </c>
      <c r="D604" s="9" t="s">
        <v>17</v>
      </c>
      <c r="E604" s="8" t="s">
        <v>1803</v>
      </c>
      <c r="F604" s="8" t="s">
        <v>1804</v>
      </c>
    </row>
    <row r="605" spans="1:6" x14ac:dyDescent="0.15">
      <c r="A605" s="8" t="s">
        <v>1805</v>
      </c>
      <c r="B605" s="8" t="s">
        <v>157</v>
      </c>
      <c r="C605" s="8" t="str">
        <f t="shared" si="15"/>
        <v>att_mitocarta_pathway:type_ii_fatty_acid_synthesis</v>
      </c>
      <c r="D605" s="9" t="s">
        <v>17</v>
      </c>
      <c r="E605" s="8" t="s">
        <v>1806</v>
      </c>
      <c r="F605" s="8" t="s">
        <v>1807</v>
      </c>
    </row>
    <row r="606" spans="1:6" x14ac:dyDescent="0.15">
      <c r="A606" s="8" t="s">
        <v>1808</v>
      </c>
      <c r="B606" s="8" t="s">
        <v>157</v>
      </c>
      <c r="C606" s="8" t="str">
        <f t="shared" si="15"/>
        <v>att_mitocarta_pathway:urea_cycle</v>
      </c>
      <c r="D606" s="9" t="s">
        <v>17</v>
      </c>
      <c r="E606" s="8" t="s">
        <v>1809</v>
      </c>
      <c r="F606" s="8" t="s">
        <v>1810</v>
      </c>
    </row>
    <row r="607" spans="1:6" x14ac:dyDescent="0.15">
      <c r="A607" s="8" t="s">
        <v>1811</v>
      </c>
      <c r="B607" s="8" t="s">
        <v>157</v>
      </c>
      <c r="C607" s="8" t="str">
        <f t="shared" si="15"/>
        <v>att_mitocarta_pathway:vitamin_a_metabolism</v>
      </c>
      <c r="D607" s="9" t="s">
        <v>17</v>
      </c>
      <c r="E607" s="8" t="s">
        <v>1812</v>
      </c>
      <c r="F607" s="8" t="s">
        <v>1813</v>
      </c>
    </row>
    <row r="608" spans="1:6" x14ac:dyDescent="0.15">
      <c r="A608" s="8" t="s">
        <v>1814</v>
      </c>
      <c r="B608" s="8" t="s">
        <v>157</v>
      </c>
      <c r="C608" s="8" t="str">
        <f t="shared" si="15"/>
        <v>att_mitocarta_pathway:vitamin_b1_metabolism</v>
      </c>
      <c r="D608" s="9" t="s">
        <v>17</v>
      </c>
      <c r="E608" s="8" t="s">
        <v>1815</v>
      </c>
      <c r="F608" s="8" t="s">
        <v>1816</v>
      </c>
    </row>
    <row r="609" spans="1:6" x14ac:dyDescent="0.15">
      <c r="A609" s="8" t="s">
        <v>1817</v>
      </c>
      <c r="B609" s="8" t="s">
        <v>157</v>
      </c>
      <c r="C609" s="8" t="str">
        <f t="shared" si="15"/>
        <v>att_mitocarta_pathway:vitamin_b12_metabolism</v>
      </c>
      <c r="D609" s="9" t="s">
        <v>17</v>
      </c>
      <c r="E609" s="8" t="s">
        <v>1818</v>
      </c>
      <c r="F609" s="8" t="s">
        <v>1819</v>
      </c>
    </row>
    <row r="610" spans="1:6" x14ac:dyDescent="0.15">
      <c r="A610" s="8" t="s">
        <v>1820</v>
      </c>
      <c r="B610" s="8" t="s">
        <v>157</v>
      </c>
      <c r="C610" s="8" t="str">
        <f t="shared" si="15"/>
        <v>att_mitocarta_pathway:vitamin_b2_metabolism</v>
      </c>
      <c r="D610" s="9" t="s">
        <v>17</v>
      </c>
      <c r="E610" s="8" t="s">
        <v>1821</v>
      </c>
      <c r="F610" s="8" t="s">
        <v>1822</v>
      </c>
    </row>
    <row r="611" spans="1:6" x14ac:dyDescent="0.15">
      <c r="A611" s="8" t="s">
        <v>1823</v>
      </c>
      <c r="B611" s="8" t="s">
        <v>157</v>
      </c>
      <c r="C611" s="8" t="str">
        <f t="shared" si="15"/>
        <v>att_mitocarta_pathway:vitamin_b6_metabolism</v>
      </c>
      <c r="D611" s="9" t="s">
        <v>17</v>
      </c>
      <c r="E611" s="8" t="s">
        <v>1824</v>
      </c>
      <c r="F611" s="8" t="s">
        <v>1825</v>
      </c>
    </row>
    <row r="612" spans="1:6" x14ac:dyDescent="0.15">
      <c r="A612" s="8" t="s">
        <v>1826</v>
      </c>
      <c r="B612" s="8" t="s">
        <v>157</v>
      </c>
      <c r="C612" s="8" t="str">
        <f t="shared" si="15"/>
        <v>att_mitocarta_pathway:vitamin_c_metabolism</v>
      </c>
      <c r="D612" s="9" t="s">
        <v>17</v>
      </c>
      <c r="E612" s="8" t="s">
        <v>1827</v>
      </c>
      <c r="F612" s="8" t="s">
        <v>1828</v>
      </c>
    </row>
    <row r="613" spans="1:6" x14ac:dyDescent="0.15">
      <c r="A613" s="8" t="s">
        <v>1829</v>
      </c>
      <c r="B613" s="8" t="s">
        <v>157</v>
      </c>
      <c r="C613" s="8" t="str">
        <f t="shared" si="15"/>
        <v>att_mitocarta_pathway:vitamin_d_metabolism</v>
      </c>
      <c r="D613" s="9" t="s">
        <v>17</v>
      </c>
      <c r="E613" s="8" t="s">
        <v>1830</v>
      </c>
      <c r="F613" s="8" t="s">
        <v>1831</v>
      </c>
    </row>
    <row r="614" spans="1:6" x14ac:dyDescent="0.15">
      <c r="A614" s="8" t="s">
        <v>1832</v>
      </c>
      <c r="B614" s="8" t="s">
        <v>157</v>
      </c>
      <c r="C614" s="8" t="str">
        <f t="shared" si="15"/>
        <v>att_mitocarta_pathway:vitamin_metabolism</v>
      </c>
      <c r="D614" s="9" t="s">
        <v>17</v>
      </c>
      <c r="E614" s="8" t="s">
        <v>1833</v>
      </c>
      <c r="F614" s="8" t="s">
        <v>1834</v>
      </c>
    </row>
    <row r="615" spans="1:6" x14ac:dyDescent="0.15">
      <c r="A615" s="8" t="s">
        <v>1835</v>
      </c>
      <c r="B615" s="8" t="s">
        <v>157</v>
      </c>
      <c r="C615" s="8" t="str">
        <f t="shared" si="15"/>
        <v>att_mitocarta_pathway:xenobiotic_metabolism</v>
      </c>
      <c r="D615" s="9" t="s">
        <v>17</v>
      </c>
      <c r="E615" s="8" t="s">
        <v>1836</v>
      </c>
      <c r="F615" s="8" t="s">
        <v>1837</v>
      </c>
    </row>
    <row r="616" spans="1:6" x14ac:dyDescent="0.15">
      <c r="A616" s="8" t="s">
        <v>1838</v>
      </c>
      <c r="B616" s="8" t="s">
        <v>1839</v>
      </c>
      <c r="C616" s="8" t="str">
        <f t="shared" si="15"/>
        <v>att_mockup:arbitrary</v>
      </c>
      <c r="D616" s="9" t="s">
        <v>17</v>
      </c>
      <c r="E616" s="8" t="s">
        <v>1840</v>
      </c>
      <c r="F616" s="8" t="s">
        <v>1841</v>
      </c>
    </row>
    <row r="617" spans="1:6" x14ac:dyDescent="0.15">
      <c r="A617" s="8" t="s">
        <v>1842</v>
      </c>
      <c r="B617" s="8" t="s">
        <v>1839</v>
      </c>
      <c r="C617" s="8" t="str">
        <f t="shared" si="15"/>
        <v>att_mockup:random</v>
      </c>
      <c r="D617" s="9" t="s">
        <v>17</v>
      </c>
      <c r="E617" s="8" t="s">
        <v>1843</v>
      </c>
      <c r="F617" s="8" t="s">
        <v>1841</v>
      </c>
    </row>
    <row r="618" spans="1:6" x14ac:dyDescent="0.15">
      <c r="A618" s="8" t="s">
        <v>1844</v>
      </c>
      <c r="B618" s="8" t="s">
        <v>160</v>
      </c>
      <c r="C618" s="8" t="str">
        <f t="shared" si="15"/>
        <v>att_model:in_vitro</v>
      </c>
      <c r="D618" s="9" t="s">
        <v>17</v>
      </c>
      <c r="E618" s="8" t="s">
        <v>1845</v>
      </c>
      <c r="F618" s="8" t="s">
        <v>1846</v>
      </c>
    </row>
    <row r="619" spans="1:6" x14ac:dyDescent="0.15">
      <c r="A619" s="8" t="s">
        <v>1847</v>
      </c>
      <c r="B619" s="8" t="s">
        <v>160</v>
      </c>
      <c r="C619" s="8" t="str">
        <f t="shared" si="15"/>
        <v>att_model:in_vivo</v>
      </c>
      <c r="D619" s="9" t="s">
        <v>17</v>
      </c>
      <c r="E619" s="8" t="s">
        <v>1848</v>
      </c>
      <c r="F619" s="8" t="s">
        <v>1849</v>
      </c>
    </row>
    <row r="620" spans="1:6" x14ac:dyDescent="0.15">
      <c r="A620" s="8" t="s">
        <v>1850</v>
      </c>
      <c r="B620" s="8" t="s">
        <v>160</v>
      </c>
      <c r="C620" s="8" t="str">
        <f t="shared" si="15"/>
        <v>att_model:xenografts</v>
      </c>
      <c r="D620" s="9" t="s">
        <v>17</v>
      </c>
      <c r="E620" s="8" t="s">
        <v>1850</v>
      </c>
      <c r="F620" s="8" t="s">
        <v>1851</v>
      </c>
    </row>
    <row r="621" spans="1:6" x14ac:dyDescent="0.15">
      <c r="A621" s="8" t="s">
        <v>1852</v>
      </c>
      <c r="B621" s="8" t="s">
        <v>23</v>
      </c>
      <c r="C621" s="8" t="str">
        <f t="shared" si="15"/>
        <v>att_ms:eclips</v>
      </c>
      <c r="D621" s="9" t="s">
        <v>17</v>
      </c>
      <c r="E621" s="8" t="s">
        <v>1853</v>
      </c>
      <c r="F621" s="8" t="s">
        <v>1853</v>
      </c>
    </row>
    <row r="622" spans="1:6" x14ac:dyDescent="0.15">
      <c r="A622" s="8" t="s">
        <v>1854</v>
      </c>
      <c r="B622" s="8" t="s">
        <v>23</v>
      </c>
      <c r="C622" s="8" t="str">
        <f t="shared" si="15"/>
        <v>att_ms:exploris240</v>
      </c>
      <c r="D622" s="9" t="s">
        <v>17</v>
      </c>
      <c r="E622" s="8" t="s">
        <v>1855</v>
      </c>
      <c r="F622" s="8" t="s">
        <v>1856</v>
      </c>
    </row>
    <row r="623" spans="1:6" x14ac:dyDescent="0.15">
      <c r="A623" s="8" t="s">
        <v>1857</v>
      </c>
      <c r="B623" s="8" t="s">
        <v>23</v>
      </c>
      <c r="C623" s="8" t="str">
        <f t="shared" si="15"/>
        <v>att_ms:exploris480</v>
      </c>
      <c r="D623" s="9" t="s">
        <v>17</v>
      </c>
      <c r="E623" s="8" t="s">
        <v>1858</v>
      </c>
      <c r="F623" s="8" t="s">
        <v>1859</v>
      </c>
    </row>
    <row r="624" spans="1:6" x14ac:dyDescent="0.15">
      <c r="A624" s="8" t="s">
        <v>1860</v>
      </c>
      <c r="B624" s="8" t="s">
        <v>23</v>
      </c>
      <c r="C624" s="8" t="str">
        <f t="shared" si="15"/>
        <v>att_ms:qex</v>
      </c>
      <c r="D624" s="9" t="s">
        <v>17</v>
      </c>
      <c r="E624" s="8" t="s">
        <v>1861</v>
      </c>
      <c r="F624" s="8" t="s">
        <v>1862</v>
      </c>
    </row>
    <row r="625" spans="1:6" x14ac:dyDescent="0.15">
      <c r="A625" s="8" t="s">
        <v>1863</v>
      </c>
      <c r="B625" s="8" t="s">
        <v>23</v>
      </c>
      <c r="C625" s="8" t="str">
        <f t="shared" si="15"/>
        <v>att_ms:qexplus</v>
      </c>
      <c r="D625" s="9" t="s">
        <v>17</v>
      </c>
      <c r="E625" s="8" t="s">
        <v>1864</v>
      </c>
      <c r="F625" s="8" t="s">
        <v>1865</v>
      </c>
    </row>
    <row r="626" spans="1:6" x14ac:dyDescent="0.15">
      <c r="A626" s="8" t="s">
        <v>1866</v>
      </c>
      <c r="B626" s="8" t="s">
        <v>23</v>
      </c>
      <c r="C626" s="8" t="str">
        <f t="shared" si="15"/>
        <v>att_ms:ttofhct</v>
      </c>
      <c r="D626" s="9" t="s">
        <v>17</v>
      </c>
      <c r="E626" s="8" t="s">
        <v>1867</v>
      </c>
      <c r="F626" s="8" t="s">
        <v>1867</v>
      </c>
    </row>
    <row r="627" spans="1:6" x14ac:dyDescent="0.15">
      <c r="A627" s="8" t="s">
        <v>1868</v>
      </c>
      <c r="B627" s="8" t="s">
        <v>23</v>
      </c>
      <c r="C627" s="8" t="str">
        <f t="shared" ref="C627:C691" si="16">B627&amp;":"&amp;A627</f>
        <v>att_ms:ttofscp</v>
      </c>
      <c r="D627" s="9" t="s">
        <v>17</v>
      </c>
      <c r="E627" s="8" t="s">
        <v>1869</v>
      </c>
      <c r="F627" s="8" t="s">
        <v>1870</v>
      </c>
    </row>
    <row r="628" spans="1:6" x14ac:dyDescent="0.15">
      <c r="A628" s="8" t="s">
        <v>1871</v>
      </c>
      <c r="B628" s="8" t="s">
        <v>116</v>
      </c>
      <c r="C628" s="8" t="str">
        <f t="shared" si="16"/>
        <v>att_ms_interface:faims</v>
      </c>
      <c r="D628" s="9" t="s">
        <v>17</v>
      </c>
      <c r="E628" s="8" t="s">
        <v>1872</v>
      </c>
      <c r="F628" s="8" t="s">
        <v>1873</v>
      </c>
    </row>
    <row r="629" spans="1:6" x14ac:dyDescent="0.15">
      <c r="A629" s="8" t="s">
        <v>342</v>
      </c>
      <c r="B629" s="8" t="s">
        <v>116</v>
      </c>
      <c r="C629" s="8" t="str">
        <f t="shared" si="16"/>
        <v>att_ms_interface:none</v>
      </c>
      <c r="D629" s="9" t="s">
        <v>17</v>
      </c>
      <c r="E629" s="8" t="s">
        <v>1874</v>
      </c>
      <c r="F629" s="8" t="s">
        <v>1875</v>
      </c>
    </row>
    <row r="630" spans="1:6" x14ac:dyDescent="0.15">
      <c r="A630" s="8" t="s">
        <v>1876</v>
      </c>
      <c r="B630" s="8" t="s">
        <v>38</v>
      </c>
      <c r="C630" s="8" t="str">
        <f t="shared" si="16"/>
        <v>att_ms_ionsource:easy_spray</v>
      </c>
      <c r="D630" s="9" t="s">
        <v>17</v>
      </c>
      <c r="E630" s="8" t="s">
        <v>1877</v>
      </c>
      <c r="F630" s="8" t="s">
        <v>1878</v>
      </c>
    </row>
    <row r="631" spans="1:6" x14ac:dyDescent="0.15">
      <c r="A631" s="8" t="s">
        <v>1879</v>
      </c>
      <c r="B631" s="8" t="s">
        <v>38</v>
      </c>
      <c r="C631" s="8" t="str">
        <f t="shared" si="16"/>
        <v>att_ms_ionsource:flex</v>
      </c>
      <c r="D631" s="9" t="s">
        <v>17</v>
      </c>
      <c r="E631" s="8" t="s">
        <v>1880</v>
      </c>
      <c r="F631" s="8" t="s">
        <v>1881</v>
      </c>
    </row>
    <row r="632" spans="1:6" x14ac:dyDescent="0.15">
      <c r="A632" s="8" t="s">
        <v>1882</v>
      </c>
      <c r="B632" s="8" t="s">
        <v>38</v>
      </c>
      <c r="C632" s="8" t="str">
        <f t="shared" si="16"/>
        <v>att_ms_ionsource:ion_max</v>
      </c>
      <c r="D632" s="9" t="s">
        <v>17</v>
      </c>
      <c r="E632" s="8" t="s">
        <v>1883</v>
      </c>
      <c r="F632" s="8" t="s">
        <v>1884</v>
      </c>
    </row>
    <row r="633" spans="1:6" x14ac:dyDescent="0.15">
      <c r="A633" s="8" t="s">
        <v>1885</v>
      </c>
      <c r="B633" s="8" t="s">
        <v>164</v>
      </c>
      <c r="C633" s="8" t="str">
        <f t="shared" si="16"/>
        <v>att_ms_name:e1</v>
      </c>
      <c r="D633" s="8" t="s">
        <v>1885</v>
      </c>
      <c r="E633" s="8" t="s">
        <v>1886</v>
      </c>
      <c r="F633" s="8" t="s">
        <v>1887</v>
      </c>
    </row>
    <row r="634" spans="1:6" x14ac:dyDescent="0.15">
      <c r="A634" s="8" t="s">
        <v>1888</v>
      </c>
      <c r="B634" s="8" t="s">
        <v>164</v>
      </c>
      <c r="C634" s="8" t="str">
        <f t="shared" si="16"/>
        <v>att_ms_name:e2</v>
      </c>
      <c r="D634" s="8" t="s">
        <v>1888</v>
      </c>
      <c r="E634" s="8" t="s">
        <v>1889</v>
      </c>
      <c r="F634" s="8" t="s">
        <v>1890</v>
      </c>
    </row>
    <row r="635" spans="1:6" x14ac:dyDescent="0.15">
      <c r="A635" s="8" t="s">
        <v>1891</v>
      </c>
      <c r="B635" s="8" t="s">
        <v>164</v>
      </c>
      <c r="C635" s="8" t="str">
        <f t="shared" si="16"/>
        <v>att_ms_name:expl480</v>
      </c>
      <c r="D635" s="8" t="s">
        <v>1891</v>
      </c>
      <c r="E635" s="8" t="s">
        <v>1892</v>
      </c>
      <c r="F635" s="8" t="s">
        <v>3031</v>
      </c>
    </row>
    <row r="636" spans="1:6" x14ac:dyDescent="0.15">
      <c r="A636" s="8" t="s">
        <v>3028</v>
      </c>
      <c r="B636" s="8" t="s">
        <v>164</v>
      </c>
      <c r="C636" s="8" t="str">
        <f t="shared" si="16"/>
        <v>att_ms_name:hfxage</v>
      </c>
      <c r="D636" s="8" t="s">
        <v>17</v>
      </c>
      <c r="E636" s="8" t="s">
        <v>3029</v>
      </c>
      <c r="F636" s="8" t="s">
        <v>3030</v>
      </c>
    </row>
    <row r="637" spans="1:6" x14ac:dyDescent="0.15">
      <c r="A637" s="8" t="s">
        <v>1893</v>
      </c>
      <c r="B637" s="8" t="s">
        <v>164</v>
      </c>
      <c r="C637" s="8" t="str">
        <f t="shared" si="16"/>
        <v>att_ms_name:ignarius</v>
      </c>
      <c r="D637" s="8" t="s">
        <v>1893</v>
      </c>
      <c r="E637" s="8" t="s">
        <v>1894</v>
      </c>
      <c r="F637" s="8" t="s">
        <v>1895</v>
      </c>
    </row>
    <row r="638" spans="1:6" x14ac:dyDescent="0.15">
      <c r="A638" s="8" t="s">
        <v>1896</v>
      </c>
      <c r="B638" s="8" t="s">
        <v>164</v>
      </c>
      <c r="C638" s="8" t="str">
        <f t="shared" si="16"/>
        <v>att_ms_name:timstof</v>
      </c>
      <c r="D638" s="8" t="s">
        <v>1896</v>
      </c>
      <c r="E638" s="8" t="s">
        <v>1897</v>
      </c>
      <c r="F638" s="8" t="s">
        <v>1898</v>
      </c>
    </row>
    <row r="639" spans="1:6" x14ac:dyDescent="0.15">
      <c r="A639" s="8" t="s">
        <v>1899</v>
      </c>
      <c r="B639" s="8" t="s">
        <v>174</v>
      </c>
      <c r="C639" s="8" t="str">
        <f t="shared" si="16"/>
        <v>att_ms2_resolution:120000res</v>
      </c>
      <c r="D639" s="9" t="s">
        <v>17</v>
      </c>
      <c r="E639" s="8">
        <v>120000</v>
      </c>
      <c r="F639" s="8" t="s">
        <v>1900</v>
      </c>
    </row>
    <row r="640" spans="1:6" x14ac:dyDescent="0.15">
      <c r="A640" s="8" t="s">
        <v>1901</v>
      </c>
      <c r="B640" s="8" t="s">
        <v>174</v>
      </c>
      <c r="C640" s="8" t="str">
        <f t="shared" si="16"/>
        <v>att_ms2_resolution:15000res</v>
      </c>
      <c r="D640" s="9" t="s">
        <v>17</v>
      </c>
      <c r="E640" s="8">
        <v>15000</v>
      </c>
      <c r="F640" s="8" t="s">
        <v>1900</v>
      </c>
    </row>
    <row r="641" spans="1:6" x14ac:dyDescent="0.15">
      <c r="A641" s="8" t="s">
        <v>1902</v>
      </c>
      <c r="B641" s="8" t="s">
        <v>174</v>
      </c>
      <c r="C641" s="8" t="str">
        <f t="shared" si="16"/>
        <v>att_ms2_resolution:17500res</v>
      </c>
      <c r="D641" s="9" t="s">
        <v>17</v>
      </c>
      <c r="E641" s="8">
        <v>17500</v>
      </c>
      <c r="F641" s="8" t="s">
        <v>1903</v>
      </c>
    </row>
    <row r="642" spans="1:6" x14ac:dyDescent="0.15">
      <c r="A642" s="8" t="s">
        <v>1904</v>
      </c>
      <c r="B642" s="8" t="s">
        <v>174</v>
      </c>
      <c r="C642" s="8" t="str">
        <f t="shared" si="16"/>
        <v>att_ms2_resolution:30000res</v>
      </c>
      <c r="D642" s="9" t="s">
        <v>17</v>
      </c>
      <c r="E642" s="8">
        <v>30000</v>
      </c>
      <c r="F642" s="8" t="s">
        <v>1900</v>
      </c>
    </row>
    <row r="643" spans="1:6" x14ac:dyDescent="0.15">
      <c r="A643" s="8" t="s">
        <v>1905</v>
      </c>
      <c r="B643" s="8" t="s">
        <v>174</v>
      </c>
      <c r="C643" s="8" t="str">
        <f t="shared" si="16"/>
        <v>att_ms2_resolution:35000res</v>
      </c>
      <c r="D643" s="9" t="s">
        <v>17</v>
      </c>
      <c r="E643" s="8">
        <v>35000</v>
      </c>
      <c r="F643" s="8" t="s">
        <v>1903</v>
      </c>
    </row>
    <row r="644" spans="1:6" x14ac:dyDescent="0.15">
      <c r="A644" s="8" t="s">
        <v>1906</v>
      </c>
      <c r="B644" s="8" t="s">
        <v>174</v>
      </c>
      <c r="C644" s="8" t="str">
        <f t="shared" si="16"/>
        <v>att_ms2_resolution:45000res</v>
      </c>
      <c r="D644" s="9" t="s">
        <v>17</v>
      </c>
      <c r="E644" s="8">
        <v>45000</v>
      </c>
      <c r="F644" s="8" t="s">
        <v>1900</v>
      </c>
    </row>
    <row r="645" spans="1:6" x14ac:dyDescent="0.15">
      <c r="A645" s="8" t="s">
        <v>1907</v>
      </c>
      <c r="B645" s="8" t="s">
        <v>174</v>
      </c>
      <c r="C645" s="8" t="str">
        <f t="shared" si="16"/>
        <v>att_ms2_resolution:60000res</v>
      </c>
      <c r="D645" s="9" t="s">
        <v>17</v>
      </c>
      <c r="E645" s="8">
        <v>60000</v>
      </c>
      <c r="F645" s="8" t="s">
        <v>1900</v>
      </c>
    </row>
    <row r="646" spans="1:6" x14ac:dyDescent="0.15">
      <c r="A646" s="8" t="s">
        <v>1908</v>
      </c>
      <c r="B646" s="8" t="s">
        <v>174</v>
      </c>
      <c r="C646" s="8" t="str">
        <f t="shared" si="16"/>
        <v>att_ms2_resolution:7500res</v>
      </c>
      <c r="D646" s="9" t="s">
        <v>17</v>
      </c>
      <c r="E646" s="8">
        <v>7500</v>
      </c>
      <c r="F646" s="8" t="s">
        <v>1900</v>
      </c>
    </row>
    <row r="647" spans="1:6" x14ac:dyDescent="0.15">
      <c r="A647" s="8" t="s">
        <v>1909</v>
      </c>
      <c r="B647" s="8" t="s">
        <v>179</v>
      </c>
      <c r="C647" s="8" t="str">
        <f t="shared" si="16"/>
        <v>att_muscle:ab</v>
      </c>
      <c r="D647" s="9" t="s">
        <v>17</v>
      </c>
      <c r="E647" s="8" t="s">
        <v>1910</v>
      </c>
      <c r="F647" s="8" t="s">
        <v>1911</v>
      </c>
    </row>
    <row r="648" spans="1:6" x14ac:dyDescent="0.15">
      <c r="A648" s="8" t="s">
        <v>1912</v>
      </c>
      <c r="B648" s="8" t="s">
        <v>179</v>
      </c>
      <c r="C648" s="8" t="str">
        <f t="shared" si="16"/>
        <v>att_muscle:al</v>
      </c>
      <c r="D648" s="9" t="s">
        <v>17</v>
      </c>
      <c r="E648" s="8" t="s">
        <v>1913</v>
      </c>
      <c r="F648" s="8" t="s">
        <v>1914</v>
      </c>
    </row>
    <row r="649" spans="1:6" x14ac:dyDescent="0.15">
      <c r="A649" s="8" t="s">
        <v>1915</v>
      </c>
      <c r="B649" s="8" t="s">
        <v>179</v>
      </c>
      <c r="C649" s="8" t="str">
        <f t="shared" si="16"/>
        <v>att_muscle:am</v>
      </c>
      <c r="D649" s="9" t="s">
        <v>17</v>
      </c>
      <c r="E649" s="8" t="s">
        <v>1916</v>
      </c>
      <c r="F649" s="8" t="s">
        <v>1917</v>
      </c>
    </row>
    <row r="650" spans="1:6" x14ac:dyDescent="0.15">
      <c r="A650" s="8" t="s">
        <v>1918</v>
      </c>
      <c r="B650" s="8" t="s">
        <v>179</v>
      </c>
      <c r="C650" s="8" t="str">
        <f t="shared" si="16"/>
        <v>att_muscle:an</v>
      </c>
      <c r="D650" s="9" t="s">
        <v>17</v>
      </c>
      <c r="E650" s="8" t="s">
        <v>1919</v>
      </c>
      <c r="F650" s="8" t="s">
        <v>1920</v>
      </c>
    </row>
    <row r="651" spans="1:6" x14ac:dyDescent="0.15">
      <c r="A651" s="8" t="s">
        <v>1921</v>
      </c>
      <c r="B651" s="8" t="s">
        <v>179</v>
      </c>
      <c r="C651" s="8" t="str">
        <f t="shared" si="16"/>
        <v>att_muscle:bbl</v>
      </c>
      <c r="D651" s="9" t="s">
        <v>17</v>
      </c>
      <c r="E651" s="8" t="s">
        <v>1922</v>
      </c>
      <c r="F651" s="8" t="s">
        <v>1923</v>
      </c>
    </row>
    <row r="652" spans="1:6" x14ac:dyDescent="0.15">
      <c r="A652" s="8" t="s">
        <v>1924</v>
      </c>
      <c r="B652" s="8" t="s">
        <v>179</v>
      </c>
      <c r="C652" s="8" t="str">
        <f t="shared" si="16"/>
        <v>att_muscle:bbs</v>
      </c>
      <c r="D652" s="9" t="s">
        <v>17</v>
      </c>
      <c r="E652" s="8" t="s">
        <v>1925</v>
      </c>
      <c r="F652" s="8" t="s">
        <v>1926</v>
      </c>
    </row>
    <row r="653" spans="1:6" x14ac:dyDescent="0.15">
      <c r="A653" s="8" t="s">
        <v>1927</v>
      </c>
      <c r="B653" s="8" t="s">
        <v>179</v>
      </c>
      <c r="C653" s="8" t="str">
        <f t="shared" si="16"/>
        <v>att_muscle:bfa</v>
      </c>
      <c r="D653" s="9" t="s">
        <v>17</v>
      </c>
      <c r="E653" s="8" t="s">
        <v>1928</v>
      </c>
      <c r="F653" s="8" t="s">
        <v>1929</v>
      </c>
    </row>
    <row r="654" spans="1:6" x14ac:dyDescent="0.15">
      <c r="A654" s="8" t="s">
        <v>1930</v>
      </c>
      <c r="B654" s="8" t="s">
        <v>179</v>
      </c>
      <c r="C654" s="8" t="str">
        <f t="shared" si="16"/>
        <v>att_muscle:bfp_ca</v>
      </c>
      <c r="D654" s="9" t="s">
        <v>17</v>
      </c>
      <c r="E654" s="8" t="s">
        <v>1931</v>
      </c>
      <c r="F654" s="8" t="s">
        <v>1932</v>
      </c>
    </row>
    <row r="655" spans="1:6" x14ac:dyDescent="0.15">
      <c r="A655" s="8" t="s">
        <v>1933</v>
      </c>
      <c r="B655" s="8" t="s">
        <v>179</v>
      </c>
      <c r="C655" s="8" t="str">
        <f t="shared" si="16"/>
        <v>att_muscle:bfp_cr</v>
      </c>
      <c r="D655" s="9" t="s">
        <v>17</v>
      </c>
      <c r="E655" s="8" t="s">
        <v>1934</v>
      </c>
      <c r="F655" s="8" t="s">
        <v>1935</v>
      </c>
    </row>
    <row r="656" spans="1:6" x14ac:dyDescent="0.15">
      <c r="A656" s="8" t="s">
        <v>1936</v>
      </c>
      <c r="B656" s="8" t="s">
        <v>179</v>
      </c>
      <c r="C656" s="8" t="str">
        <f t="shared" si="16"/>
        <v>att_muscle:bfp_mi</v>
      </c>
      <c r="D656" s="9" t="s">
        <v>17</v>
      </c>
      <c r="E656" s="8" t="s">
        <v>1937</v>
      </c>
      <c r="F656" s="8" t="s">
        <v>1938</v>
      </c>
    </row>
    <row r="657" spans="1:6" x14ac:dyDescent="0.15">
      <c r="A657" s="8" t="s">
        <v>1939</v>
      </c>
      <c r="B657" s="8" t="s">
        <v>179</v>
      </c>
      <c r="C657" s="8" t="str">
        <f t="shared" si="16"/>
        <v>att_muscle:bra</v>
      </c>
      <c r="D657" s="9" t="s">
        <v>17</v>
      </c>
      <c r="E657" s="8" t="s">
        <v>1940</v>
      </c>
      <c r="F657" s="8" t="s">
        <v>1941</v>
      </c>
    </row>
    <row r="658" spans="1:6" x14ac:dyDescent="0.15">
      <c r="A658" s="8" t="s">
        <v>1942</v>
      </c>
      <c r="B658" s="8" t="s">
        <v>179</v>
      </c>
      <c r="C658" s="8" t="str">
        <f t="shared" si="16"/>
        <v>att_muscle:cf</v>
      </c>
      <c r="D658" s="9" t="s">
        <v>17</v>
      </c>
      <c r="E658" s="8" t="s">
        <v>1943</v>
      </c>
      <c r="F658" s="8" t="s">
        <v>1944</v>
      </c>
    </row>
    <row r="659" spans="1:6" x14ac:dyDescent="0.15">
      <c r="A659" s="8" t="s">
        <v>1945</v>
      </c>
      <c r="B659" s="8" t="s">
        <v>179</v>
      </c>
      <c r="C659" s="8" t="str">
        <f t="shared" si="16"/>
        <v>att_muscle:cor</v>
      </c>
      <c r="D659" s="9" t="s">
        <v>17</v>
      </c>
      <c r="E659" s="8" t="s">
        <v>1946</v>
      </c>
      <c r="F659" s="8" t="s">
        <v>1947</v>
      </c>
    </row>
    <row r="660" spans="1:6" x14ac:dyDescent="0.15">
      <c r="A660" s="8" t="s">
        <v>1948</v>
      </c>
      <c r="B660" s="8" t="s">
        <v>179</v>
      </c>
      <c r="C660" s="8" t="str">
        <f t="shared" si="16"/>
        <v>att_muscle:ecrb</v>
      </c>
      <c r="D660" s="9" t="s">
        <v>17</v>
      </c>
      <c r="E660" s="8" t="s">
        <v>1949</v>
      </c>
      <c r="F660" s="8" t="s">
        <v>1950</v>
      </c>
    </row>
    <row r="661" spans="1:6" x14ac:dyDescent="0.15">
      <c r="A661" s="8" t="s">
        <v>1951</v>
      </c>
      <c r="B661" s="8" t="s">
        <v>179</v>
      </c>
      <c r="C661" s="8" t="str">
        <f t="shared" si="16"/>
        <v>att_muscle:ecrl</v>
      </c>
      <c r="D661" s="9" t="s">
        <v>17</v>
      </c>
      <c r="E661" s="8" t="s">
        <v>1952</v>
      </c>
      <c r="F661" s="8" t="s">
        <v>1953</v>
      </c>
    </row>
    <row r="662" spans="1:6" x14ac:dyDescent="0.15">
      <c r="A662" s="8" t="s">
        <v>1954</v>
      </c>
      <c r="B662" s="8" t="s">
        <v>179</v>
      </c>
      <c r="C662" s="8" t="str">
        <f t="shared" si="16"/>
        <v>att_muscle:ecu</v>
      </c>
      <c r="D662" s="9" t="s">
        <v>17</v>
      </c>
      <c r="E662" s="8" t="s">
        <v>1955</v>
      </c>
      <c r="F662" s="8" t="s">
        <v>1956</v>
      </c>
    </row>
    <row r="663" spans="1:6" x14ac:dyDescent="0.15">
      <c r="A663" s="8" t="s">
        <v>1957</v>
      </c>
      <c r="B663" s="8" t="s">
        <v>179</v>
      </c>
      <c r="C663" s="8" t="str">
        <f t="shared" si="16"/>
        <v>att_muscle:edl</v>
      </c>
      <c r="D663" s="9" t="s">
        <v>17</v>
      </c>
      <c r="E663" s="8" t="s">
        <v>1958</v>
      </c>
      <c r="F663" s="8" t="s">
        <v>1959</v>
      </c>
    </row>
    <row r="664" spans="1:6" x14ac:dyDescent="0.15">
      <c r="A664" s="8" t="s">
        <v>1960</v>
      </c>
      <c r="B664" s="8" t="s">
        <v>179</v>
      </c>
      <c r="C664" s="8" t="str">
        <f t="shared" si="16"/>
        <v>att_muscle:ehl</v>
      </c>
      <c r="D664" s="9" t="s">
        <v>17</v>
      </c>
      <c r="E664" s="8" t="s">
        <v>1961</v>
      </c>
      <c r="F664" s="8" t="s">
        <v>1962</v>
      </c>
    </row>
    <row r="665" spans="1:6" x14ac:dyDescent="0.15">
      <c r="A665" s="8" t="s">
        <v>1963</v>
      </c>
      <c r="B665" s="8" t="s">
        <v>179</v>
      </c>
      <c r="C665" s="8" t="str">
        <f t="shared" si="16"/>
        <v>att_muscle:eip1</v>
      </c>
      <c r="D665" s="9" t="s">
        <v>17</v>
      </c>
      <c r="E665" s="8" t="s">
        <v>1964</v>
      </c>
      <c r="F665" s="8" t="s">
        <v>1965</v>
      </c>
    </row>
    <row r="666" spans="1:6" x14ac:dyDescent="0.15">
      <c r="A666" s="8" t="s">
        <v>1966</v>
      </c>
      <c r="B666" s="8" t="s">
        <v>179</v>
      </c>
      <c r="C666" s="8" t="str">
        <f t="shared" si="16"/>
        <v>att_muscle:eip2</v>
      </c>
      <c r="D666" s="9" t="s">
        <v>17</v>
      </c>
      <c r="E666" s="8" t="s">
        <v>1967</v>
      </c>
      <c r="F666" s="8" t="s">
        <v>1968</v>
      </c>
    </row>
    <row r="667" spans="1:6" x14ac:dyDescent="0.15">
      <c r="A667" s="8" t="s">
        <v>1969</v>
      </c>
      <c r="B667" s="8" t="s">
        <v>179</v>
      </c>
      <c r="C667" s="8" t="str">
        <f t="shared" si="16"/>
        <v>att_muscle:fcr</v>
      </c>
      <c r="D667" s="9" t="s">
        <v>17</v>
      </c>
      <c r="E667" s="8" t="s">
        <v>1970</v>
      </c>
      <c r="F667" s="8" t="s">
        <v>1971</v>
      </c>
    </row>
    <row r="668" spans="1:6" x14ac:dyDescent="0.15">
      <c r="A668" s="8" t="s">
        <v>1972</v>
      </c>
      <c r="B668" s="8" t="s">
        <v>179</v>
      </c>
      <c r="C668" s="8" t="str">
        <f t="shared" si="16"/>
        <v>att_muscle:fcu</v>
      </c>
      <c r="D668" s="9" t="s">
        <v>17</v>
      </c>
      <c r="E668" s="8" t="s">
        <v>1973</v>
      </c>
      <c r="F668" s="8" t="s">
        <v>1974</v>
      </c>
    </row>
    <row r="669" spans="1:6" x14ac:dyDescent="0.15">
      <c r="A669" s="8" t="s">
        <v>1975</v>
      </c>
      <c r="B669" s="8" t="s">
        <v>179</v>
      </c>
      <c r="C669" s="8" t="str">
        <f t="shared" si="16"/>
        <v>att_muscle:fdl</v>
      </c>
      <c r="D669" s="9" t="s">
        <v>17</v>
      </c>
      <c r="E669" s="8" t="s">
        <v>1976</v>
      </c>
      <c r="F669" s="8" t="s">
        <v>1977</v>
      </c>
    </row>
    <row r="670" spans="1:6" x14ac:dyDescent="0.15">
      <c r="A670" s="8" t="s">
        <v>1978</v>
      </c>
      <c r="B670" s="8" t="s">
        <v>179</v>
      </c>
      <c r="C670" s="8" t="str">
        <f t="shared" si="16"/>
        <v>att_muscle:ga</v>
      </c>
      <c r="D670" s="9" t="s">
        <v>17</v>
      </c>
      <c r="E670" s="8" t="s">
        <v>1979</v>
      </c>
      <c r="F670" s="8" t="s">
        <v>1980</v>
      </c>
    </row>
    <row r="671" spans="1:6" x14ac:dyDescent="0.15">
      <c r="A671" s="8" t="s">
        <v>1981</v>
      </c>
      <c r="B671" s="8" t="s">
        <v>179</v>
      </c>
      <c r="C671" s="8" t="str">
        <f t="shared" si="16"/>
        <v>att_muscle:gem</v>
      </c>
      <c r="D671" s="9" t="s">
        <v>17</v>
      </c>
      <c r="E671" s="8" t="s">
        <v>1982</v>
      </c>
      <c r="F671" s="8" t="s">
        <v>1983</v>
      </c>
    </row>
    <row r="672" spans="1:6" x14ac:dyDescent="0.15">
      <c r="A672" s="8" t="s">
        <v>1984</v>
      </c>
      <c r="B672" s="8" t="s">
        <v>179</v>
      </c>
      <c r="C672" s="8" t="str">
        <f t="shared" si="16"/>
        <v>att_muscle:gm</v>
      </c>
      <c r="D672" s="9" t="s">
        <v>17</v>
      </c>
      <c r="E672" s="8" t="s">
        <v>1985</v>
      </c>
      <c r="F672" s="8" t="s">
        <v>1986</v>
      </c>
    </row>
    <row r="673" spans="1:6" x14ac:dyDescent="0.15">
      <c r="A673" s="8" t="s">
        <v>1987</v>
      </c>
      <c r="B673" s="8" t="s">
        <v>179</v>
      </c>
      <c r="C673" s="8" t="str">
        <f t="shared" si="16"/>
        <v>att_muscle:gm_dr</v>
      </c>
      <c r="D673" s="9" t="s">
        <v>17</v>
      </c>
      <c r="E673" s="8" t="s">
        <v>1988</v>
      </c>
      <c r="F673" s="8" t="s">
        <v>1989</v>
      </c>
    </row>
    <row r="674" spans="1:6" x14ac:dyDescent="0.15">
      <c r="A674" s="8" t="s">
        <v>1990</v>
      </c>
      <c r="B674" s="8" t="s">
        <v>179</v>
      </c>
      <c r="C674" s="8" t="str">
        <f t="shared" si="16"/>
        <v>att_muscle:gm_mi</v>
      </c>
      <c r="D674" s="9" t="s">
        <v>17</v>
      </c>
      <c r="E674" s="8" t="s">
        <v>1991</v>
      </c>
      <c r="F674" s="8" t="s">
        <v>1992</v>
      </c>
    </row>
    <row r="675" spans="1:6" x14ac:dyDescent="0.15">
      <c r="A675" s="8" t="s">
        <v>1993</v>
      </c>
      <c r="B675" s="8" t="s">
        <v>179</v>
      </c>
      <c r="C675" s="8" t="str">
        <f t="shared" si="16"/>
        <v>att_muscle:gm_ve</v>
      </c>
      <c r="D675" s="9" t="s">
        <v>17</v>
      </c>
      <c r="E675" s="8" t="s">
        <v>1994</v>
      </c>
      <c r="F675" s="8" t="s">
        <v>1995</v>
      </c>
    </row>
    <row r="676" spans="1:6" x14ac:dyDescent="0.15">
      <c r="A676" s="8" t="s">
        <v>1996</v>
      </c>
      <c r="B676" s="8" t="s">
        <v>179</v>
      </c>
      <c r="C676" s="8" t="str">
        <f t="shared" si="16"/>
        <v>att_muscle:gp</v>
      </c>
      <c r="D676" s="9" t="s">
        <v>17</v>
      </c>
      <c r="E676" s="8" t="s">
        <v>1997</v>
      </c>
      <c r="F676" s="8" t="s">
        <v>1998</v>
      </c>
    </row>
    <row r="677" spans="1:6" x14ac:dyDescent="0.15">
      <c r="A677" s="8" t="s">
        <v>1999</v>
      </c>
      <c r="B677" s="8" t="s">
        <v>179</v>
      </c>
      <c r="C677" s="8" t="str">
        <f t="shared" si="16"/>
        <v>att_muscle:ili</v>
      </c>
      <c r="D677" s="9" t="s">
        <v>17</v>
      </c>
      <c r="E677" s="8" t="s">
        <v>2000</v>
      </c>
      <c r="F677" s="8" t="s">
        <v>2001</v>
      </c>
    </row>
    <row r="678" spans="1:6" x14ac:dyDescent="0.15">
      <c r="A678" s="8" t="s">
        <v>2002</v>
      </c>
      <c r="B678" s="8" t="s">
        <v>179</v>
      </c>
      <c r="C678" s="8" t="str">
        <f t="shared" si="16"/>
        <v>att_muscle:lg</v>
      </c>
      <c r="D678" s="9" t="s">
        <v>17</v>
      </c>
      <c r="E678" s="8" t="s">
        <v>2003</v>
      </c>
      <c r="F678" s="8" t="s">
        <v>2004</v>
      </c>
    </row>
    <row r="679" spans="1:6" x14ac:dyDescent="0.15">
      <c r="A679" s="8" t="s">
        <v>2005</v>
      </c>
      <c r="B679" s="8" t="s">
        <v>179</v>
      </c>
      <c r="C679" s="8" t="str">
        <f t="shared" si="16"/>
        <v>att_muscle:mg</v>
      </c>
      <c r="D679" s="9" t="s">
        <v>17</v>
      </c>
      <c r="E679" s="8" t="s">
        <v>2006</v>
      </c>
      <c r="F679" s="8" t="s">
        <v>2007</v>
      </c>
    </row>
    <row r="680" spans="1:6" x14ac:dyDescent="0.15">
      <c r="A680" s="8" t="s">
        <v>2008</v>
      </c>
      <c r="B680" s="8" t="s">
        <v>179</v>
      </c>
      <c r="C680" s="8" t="str">
        <f t="shared" si="16"/>
        <v>att_muscle:oe</v>
      </c>
      <c r="D680" s="9" t="s">
        <v>17</v>
      </c>
      <c r="E680" s="8" t="s">
        <v>2009</v>
      </c>
      <c r="F680" s="8" t="s">
        <v>2010</v>
      </c>
    </row>
    <row r="681" spans="1:6" x14ac:dyDescent="0.15">
      <c r="A681" s="8" t="s">
        <v>2011</v>
      </c>
      <c r="B681" s="8" t="s">
        <v>179</v>
      </c>
      <c r="C681" s="8" t="str">
        <f t="shared" si="16"/>
        <v>att_muscle:oi</v>
      </c>
      <c r="D681" s="9" t="s">
        <v>17</v>
      </c>
      <c r="E681" s="8" t="s">
        <v>2012</v>
      </c>
      <c r="F681" s="8" t="s">
        <v>2013</v>
      </c>
    </row>
    <row r="682" spans="1:6" x14ac:dyDescent="0.15">
      <c r="A682" s="8" t="s">
        <v>2014</v>
      </c>
      <c r="B682" s="8" t="s">
        <v>179</v>
      </c>
      <c r="C682" s="8" t="str">
        <f t="shared" si="16"/>
        <v>att_muscle:pb</v>
      </c>
      <c r="D682" s="9" t="s">
        <v>17</v>
      </c>
      <c r="E682" s="8" t="s">
        <v>2015</v>
      </c>
      <c r="F682" s="8" t="s">
        <v>2016</v>
      </c>
    </row>
    <row r="683" spans="1:6" x14ac:dyDescent="0.15">
      <c r="A683" s="8" t="s">
        <v>2017</v>
      </c>
      <c r="B683" s="8" t="s">
        <v>179</v>
      </c>
      <c r="C683" s="8" t="str">
        <f t="shared" si="16"/>
        <v>att_muscle:pdqa</v>
      </c>
      <c r="D683" s="9" t="s">
        <v>17</v>
      </c>
      <c r="E683" s="8" t="s">
        <v>2018</v>
      </c>
      <c r="F683" s="8" t="s">
        <v>2019</v>
      </c>
    </row>
    <row r="684" spans="1:6" x14ac:dyDescent="0.15">
      <c r="A684" s="8" t="s">
        <v>2020</v>
      </c>
      <c r="B684" s="8" t="s">
        <v>179</v>
      </c>
      <c r="C684" s="8" t="str">
        <f t="shared" si="16"/>
        <v>att_muscle:pdqi</v>
      </c>
      <c r="D684" s="9" t="s">
        <v>17</v>
      </c>
      <c r="E684" s="8" t="s">
        <v>2021</v>
      </c>
      <c r="F684" s="8" t="s">
        <v>2022</v>
      </c>
    </row>
    <row r="685" spans="1:6" x14ac:dyDescent="0.15">
      <c r="A685" s="8" t="s">
        <v>2023</v>
      </c>
      <c r="B685" s="8" t="s">
        <v>179</v>
      </c>
      <c r="C685" s="8" t="str">
        <f t="shared" si="16"/>
        <v>att_muscle:pect</v>
      </c>
      <c r="D685" s="9" t="s">
        <v>17</v>
      </c>
      <c r="E685" s="8" t="s">
        <v>2024</v>
      </c>
      <c r="F685" s="8" t="s">
        <v>2025</v>
      </c>
    </row>
    <row r="686" spans="1:6" x14ac:dyDescent="0.15">
      <c r="A686" s="8" t="s">
        <v>2026</v>
      </c>
      <c r="B686" s="8" t="s">
        <v>179</v>
      </c>
      <c r="C686" s="8" t="str">
        <f t="shared" si="16"/>
        <v>att_muscle:pl</v>
      </c>
      <c r="D686" s="9" t="s">
        <v>17</v>
      </c>
      <c r="E686" s="8" t="s">
        <v>2027</v>
      </c>
      <c r="F686" s="8" t="s">
        <v>2028</v>
      </c>
    </row>
    <row r="687" spans="1:6" x14ac:dyDescent="0.15">
      <c r="A687" s="8" t="s">
        <v>2029</v>
      </c>
      <c r="B687" s="8" t="s">
        <v>179</v>
      </c>
      <c r="C687" s="8" t="str">
        <f t="shared" si="16"/>
        <v>att_muscle:plant</v>
      </c>
      <c r="D687" s="9" t="s">
        <v>17</v>
      </c>
      <c r="E687" s="8" t="s">
        <v>2030</v>
      </c>
      <c r="F687" s="8" t="s">
        <v>2031</v>
      </c>
    </row>
    <row r="688" spans="1:6" x14ac:dyDescent="0.15">
      <c r="A688" s="8" t="s">
        <v>2032</v>
      </c>
      <c r="B688" s="8" t="s">
        <v>179</v>
      </c>
      <c r="C688" s="8" t="str">
        <f t="shared" si="16"/>
        <v>att_muscle:plo</v>
      </c>
      <c r="D688" s="9" t="s">
        <v>17</v>
      </c>
      <c r="E688" s="8" t="s">
        <v>2033</v>
      </c>
      <c r="F688" s="8" t="s">
        <v>2034</v>
      </c>
    </row>
    <row r="689" spans="1:6" x14ac:dyDescent="0.15">
      <c r="A689" s="8" t="s">
        <v>2035</v>
      </c>
      <c r="B689" s="8" t="s">
        <v>179</v>
      </c>
      <c r="C689" s="8" t="str">
        <f t="shared" si="16"/>
        <v>att_muscle:pma</v>
      </c>
      <c r="D689" s="9" t="s">
        <v>17</v>
      </c>
      <c r="E689" s="8" t="s">
        <v>2036</v>
      </c>
      <c r="F689" s="8" t="s">
        <v>2037</v>
      </c>
    </row>
    <row r="690" spans="1:6" x14ac:dyDescent="0.15">
      <c r="A690" s="8" t="s">
        <v>2038</v>
      </c>
      <c r="B690" s="8" t="s">
        <v>179</v>
      </c>
      <c r="C690" s="8" t="str">
        <f t="shared" si="16"/>
        <v>att_muscle:pmi</v>
      </c>
      <c r="D690" s="9" t="s">
        <v>17</v>
      </c>
      <c r="E690" s="8" t="s">
        <v>2039</v>
      </c>
      <c r="F690" s="8" t="s">
        <v>2040</v>
      </c>
    </row>
    <row r="691" spans="1:6" x14ac:dyDescent="0.15">
      <c r="A691" s="8" t="s">
        <v>2041</v>
      </c>
      <c r="B691" s="8" t="s">
        <v>179</v>
      </c>
      <c r="C691" s="8" t="str">
        <f t="shared" si="16"/>
        <v>att_muscle:pop</v>
      </c>
      <c r="D691" s="9" t="s">
        <v>17</v>
      </c>
      <c r="E691" s="8" t="s">
        <v>2042</v>
      </c>
      <c r="F691" s="8" t="s">
        <v>2043</v>
      </c>
    </row>
    <row r="692" spans="1:6" x14ac:dyDescent="0.15">
      <c r="A692" s="8" t="s">
        <v>2044</v>
      </c>
      <c r="B692" s="8" t="s">
        <v>179</v>
      </c>
      <c r="C692" s="8" t="str">
        <f t="shared" ref="C692:C756" si="17">B692&amp;":"&amp;A692</f>
        <v>att_muscle:pt</v>
      </c>
      <c r="D692" s="9" t="s">
        <v>17</v>
      </c>
      <c r="E692" s="8" t="s">
        <v>2045</v>
      </c>
      <c r="F692" s="8" t="s">
        <v>2046</v>
      </c>
    </row>
    <row r="693" spans="1:6" x14ac:dyDescent="0.15">
      <c r="A693" s="8" t="s">
        <v>2047</v>
      </c>
      <c r="B693" s="8" t="s">
        <v>179</v>
      </c>
      <c r="C693" s="8" t="str">
        <f t="shared" si="17"/>
        <v>att_muscle:pte</v>
      </c>
      <c r="D693" s="9" t="s">
        <v>17</v>
      </c>
      <c r="E693" s="8" t="s">
        <v>2048</v>
      </c>
      <c r="F693" s="8" t="s">
        <v>2049</v>
      </c>
    </row>
    <row r="694" spans="1:6" x14ac:dyDescent="0.15">
      <c r="A694" s="8" t="s">
        <v>2050</v>
      </c>
      <c r="B694" s="8" t="s">
        <v>179</v>
      </c>
      <c r="C694" s="8" t="str">
        <f t="shared" si="17"/>
        <v>att_muscle:qf</v>
      </c>
      <c r="D694" s="9" t="s">
        <v>17</v>
      </c>
      <c r="E694" s="8" t="s">
        <v>2051</v>
      </c>
      <c r="F694" s="8" t="s">
        <v>2052</v>
      </c>
    </row>
    <row r="695" spans="1:6" x14ac:dyDescent="0.15">
      <c r="A695" s="8" t="s">
        <v>2053</v>
      </c>
      <c r="B695" s="8" t="s">
        <v>179</v>
      </c>
      <c r="C695" s="8" t="str">
        <f t="shared" si="17"/>
        <v>att_muscle:rf</v>
      </c>
      <c r="D695" s="9" t="s">
        <v>17</v>
      </c>
      <c r="E695" s="8" t="s">
        <v>2054</v>
      </c>
      <c r="F695" s="8" t="s">
        <v>2055</v>
      </c>
    </row>
    <row r="696" spans="1:6" x14ac:dyDescent="0.15">
      <c r="A696" s="8" t="s">
        <v>2056</v>
      </c>
      <c r="B696" s="8" t="s">
        <v>179</v>
      </c>
      <c r="C696" s="8" t="str">
        <f t="shared" si="17"/>
        <v>att_muscle:sm</v>
      </c>
      <c r="D696" s="9" t="s">
        <v>17</v>
      </c>
      <c r="E696" s="8" t="s">
        <v>2057</v>
      </c>
      <c r="F696" s="8" t="s">
        <v>2058</v>
      </c>
    </row>
    <row r="697" spans="1:6" x14ac:dyDescent="0.15">
      <c r="A697" s="8" t="s">
        <v>2059</v>
      </c>
      <c r="B697" s="8" t="s">
        <v>179</v>
      </c>
      <c r="C697" s="8" t="str">
        <f t="shared" si="17"/>
        <v>att_muscle:sol</v>
      </c>
      <c r="D697" s="9" t="s">
        <v>17</v>
      </c>
      <c r="E697" s="8" t="s">
        <v>2060</v>
      </c>
      <c r="F697" s="8" t="s">
        <v>2061</v>
      </c>
    </row>
    <row r="698" spans="1:6" x14ac:dyDescent="0.15">
      <c r="A698" s="8" t="s">
        <v>2062</v>
      </c>
      <c r="B698" s="8" t="s">
        <v>179</v>
      </c>
      <c r="C698" s="8" t="str">
        <f t="shared" si="17"/>
        <v>att_muscle:st</v>
      </c>
      <c r="D698" s="9" t="s">
        <v>17</v>
      </c>
      <c r="E698" s="8" t="s">
        <v>2063</v>
      </c>
      <c r="F698" s="8" t="s">
        <v>2064</v>
      </c>
    </row>
    <row r="699" spans="1:6" x14ac:dyDescent="0.15">
      <c r="A699" s="8" t="s">
        <v>2065</v>
      </c>
      <c r="B699" s="8" t="s">
        <v>179</v>
      </c>
      <c r="C699" s="8" t="str">
        <f t="shared" si="17"/>
        <v>att_muscle:ta</v>
      </c>
      <c r="D699" s="9" t="s">
        <v>17</v>
      </c>
      <c r="E699" s="8" t="s">
        <v>2066</v>
      </c>
      <c r="F699" s="8" t="s">
        <v>2067</v>
      </c>
    </row>
    <row r="700" spans="1:6" x14ac:dyDescent="0.15">
      <c r="A700" s="8" t="s">
        <v>2068</v>
      </c>
      <c r="B700" s="8" t="s">
        <v>179</v>
      </c>
      <c r="C700" s="8" t="str">
        <f t="shared" si="17"/>
        <v>att_muscle:tbl</v>
      </c>
      <c r="D700" s="9" t="s">
        <v>17</v>
      </c>
      <c r="E700" s="8" t="s">
        <v>2069</v>
      </c>
      <c r="F700" s="8" t="s">
        <v>2070</v>
      </c>
    </row>
    <row r="701" spans="1:6" x14ac:dyDescent="0.15">
      <c r="A701" s="8" t="s">
        <v>2071</v>
      </c>
      <c r="B701" s="8" t="s">
        <v>179</v>
      </c>
      <c r="C701" s="8" t="str">
        <f t="shared" si="17"/>
        <v>att_muscle:tbm</v>
      </c>
      <c r="D701" s="9" t="s">
        <v>17</v>
      </c>
      <c r="E701" s="8" t="s">
        <v>2072</v>
      </c>
      <c r="F701" s="8" t="s">
        <v>2073</v>
      </c>
    </row>
    <row r="702" spans="1:6" x14ac:dyDescent="0.15">
      <c r="A702" s="8" t="s">
        <v>2074</v>
      </c>
      <c r="B702" s="8" t="s">
        <v>179</v>
      </c>
      <c r="C702" s="8" t="str">
        <f t="shared" si="17"/>
        <v>att_muscle:tbo</v>
      </c>
      <c r="D702" s="9" t="s">
        <v>17</v>
      </c>
      <c r="E702" s="8" t="s">
        <v>2075</v>
      </c>
      <c r="F702" s="8" t="s">
        <v>2076</v>
      </c>
    </row>
    <row r="703" spans="1:6" x14ac:dyDescent="0.15">
      <c r="A703" s="8" t="s">
        <v>2077</v>
      </c>
      <c r="B703" s="8" t="s">
        <v>179</v>
      </c>
      <c r="C703" s="8" t="str">
        <f t="shared" si="17"/>
        <v>att_muscle:tp</v>
      </c>
      <c r="D703" s="9" t="s">
        <v>17</v>
      </c>
      <c r="E703" s="8" t="s">
        <v>2078</v>
      </c>
      <c r="F703" s="8" t="s">
        <v>2079</v>
      </c>
    </row>
    <row r="704" spans="1:6" x14ac:dyDescent="0.15">
      <c r="A704" s="8" t="s">
        <v>2080</v>
      </c>
      <c r="B704" s="8" t="s">
        <v>179</v>
      </c>
      <c r="C704" s="8" t="str">
        <f t="shared" si="17"/>
        <v>att_muscle:vi</v>
      </c>
      <c r="D704" s="9" t="s">
        <v>17</v>
      </c>
      <c r="E704" s="8" t="s">
        <v>2081</v>
      </c>
      <c r="F704" s="8" t="s">
        <v>2082</v>
      </c>
    </row>
    <row r="705" spans="1:6" x14ac:dyDescent="0.15">
      <c r="A705" s="8" t="s">
        <v>2083</v>
      </c>
      <c r="B705" s="8" t="s">
        <v>179</v>
      </c>
      <c r="C705" s="8" t="str">
        <f t="shared" si="17"/>
        <v>att_muscle:vl</v>
      </c>
      <c r="D705" s="9" t="s">
        <v>17</v>
      </c>
      <c r="E705" s="8" t="s">
        <v>2084</v>
      </c>
      <c r="F705" s="8" t="s">
        <v>2085</v>
      </c>
    </row>
    <row r="706" spans="1:6" x14ac:dyDescent="0.15">
      <c r="A706" s="8" t="s">
        <v>2086</v>
      </c>
      <c r="B706" s="8" t="s">
        <v>179</v>
      </c>
      <c r="C706" s="8" t="str">
        <f t="shared" si="17"/>
        <v>att_muscle:vm</v>
      </c>
      <c r="D706" s="9" t="s">
        <v>17</v>
      </c>
      <c r="E706" s="8" t="s">
        <v>2087</v>
      </c>
      <c r="F706" s="8" t="s">
        <v>2088</v>
      </c>
    </row>
    <row r="707" spans="1:6" x14ac:dyDescent="0.15">
      <c r="A707" s="8" t="s">
        <v>2815</v>
      </c>
      <c r="B707" s="8" t="s">
        <v>179</v>
      </c>
      <c r="C707" s="8" t="str">
        <f t="shared" si="17"/>
        <v>att_muscle:quad</v>
      </c>
      <c r="D707" s="9" t="s">
        <v>17</v>
      </c>
      <c r="E707" s="8" t="s">
        <v>2816</v>
      </c>
      <c r="F707" s="8" t="s">
        <v>2817</v>
      </c>
    </row>
    <row r="708" spans="1:6" x14ac:dyDescent="0.15">
      <c r="A708" s="8" t="s">
        <v>2089</v>
      </c>
      <c r="B708" s="8" t="s">
        <v>182</v>
      </c>
      <c r="C708" s="8" t="str">
        <f t="shared" si="17"/>
        <v>att_offline_frac_instrument:zirconium</v>
      </c>
      <c r="D708" s="9" t="s">
        <v>17</v>
      </c>
      <c r="E708" s="8" t="s">
        <v>2090</v>
      </c>
      <c r="F708" s="8" t="s">
        <v>2091</v>
      </c>
    </row>
    <row r="709" spans="1:6" x14ac:dyDescent="0.15">
      <c r="A709" s="8" t="s">
        <v>2092</v>
      </c>
      <c r="B709" s="8" t="s">
        <v>183</v>
      </c>
      <c r="C709" s="8" t="str">
        <f t="shared" si="17"/>
        <v>att_offline_fractionation:bgpage</v>
      </c>
      <c r="D709" s="9" t="s">
        <v>17</v>
      </c>
      <c r="E709" s="8" t="s">
        <v>2093</v>
      </c>
      <c r="F709" s="8" t="s">
        <v>2094</v>
      </c>
    </row>
    <row r="710" spans="1:6" x14ac:dyDescent="0.15">
      <c r="A710" s="8" t="s">
        <v>2095</v>
      </c>
      <c r="B710" s="8" t="s">
        <v>183</v>
      </c>
      <c r="C710" s="8" t="str">
        <f t="shared" si="17"/>
        <v>att_offline_fractionation:highph_hplc</v>
      </c>
      <c r="D710" s="9" t="s">
        <v>17</v>
      </c>
      <c r="E710" s="8" t="s">
        <v>2096</v>
      </c>
      <c r="F710" s="8" t="s">
        <v>2097</v>
      </c>
    </row>
    <row r="711" spans="1:6" x14ac:dyDescent="0.15">
      <c r="A711" s="8" t="s">
        <v>2098</v>
      </c>
      <c r="B711" s="8" t="s">
        <v>183</v>
      </c>
      <c r="C711" s="8" t="str">
        <f t="shared" si="17"/>
        <v>att_offline_fractionation:highph_tip</v>
      </c>
      <c r="D711" s="9" t="s">
        <v>17</v>
      </c>
      <c r="E711" s="8" t="s">
        <v>2099</v>
      </c>
      <c r="F711" s="8" t="s">
        <v>2100</v>
      </c>
    </row>
    <row r="712" spans="1:6" x14ac:dyDescent="0.15">
      <c r="A712" s="8" t="s">
        <v>2101</v>
      </c>
      <c r="B712" s="8" t="s">
        <v>183</v>
      </c>
      <c r="C712" s="8" t="str">
        <f t="shared" si="17"/>
        <v>att_offline_fractionation:sax</v>
      </c>
      <c r="D712" s="9" t="s">
        <v>17</v>
      </c>
      <c r="E712" s="8" t="s">
        <v>2102</v>
      </c>
      <c r="F712" s="8" t="s">
        <v>2103</v>
      </c>
    </row>
    <row r="713" spans="1:6" x14ac:dyDescent="0.15">
      <c r="A713" s="8" t="s">
        <v>2104</v>
      </c>
      <c r="B713" s="8" t="s">
        <v>183</v>
      </c>
      <c r="C713" s="8" t="str">
        <f t="shared" si="17"/>
        <v>att_offline_fractionation:scx</v>
      </c>
      <c r="D713" s="9" t="s">
        <v>17</v>
      </c>
      <c r="E713" s="8" t="s">
        <v>2105</v>
      </c>
      <c r="F713" s="8" t="s">
        <v>2106</v>
      </c>
    </row>
    <row r="714" spans="1:6" x14ac:dyDescent="0.15">
      <c r="A714" s="8" t="s">
        <v>2107</v>
      </c>
      <c r="B714" s="8" t="s">
        <v>183</v>
      </c>
      <c r="C714" s="8" t="str">
        <f t="shared" si="17"/>
        <v>att_offline_fractionation:sdspage</v>
      </c>
      <c r="D714" s="9" t="s">
        <v>17</v>
      </c>
      <c r="E714" s="8" t="s">
        <v>2108</v>
      </c>
      <c r="F714" s="8" t="s">
        <v>2109</v>
      </c>
    </row>
    <row r="715" spans="1:6" x14ac:dyDescent="0.15">
      <c r="A715" s="8" t="s">
        <v>2110</v>
      </c>
      <c r="B715" s="8" t="s">
        <v>193</v>
      </c>
      <c r="C715" s="8" t="str">
        <f t="shared" si="17"/>
        <v>att_omics_type:proteomics</v>
      </c>
      <c r="D715" s="9" t="s">
        <v>17</v>
      </c>
      <c r="E715" s="8" t="s">
        <v>2111</v>
      </c>
      <c r="F715" s="8" t="s">
        <v>2112</v>
      </c>
    </row>
    <row r="716" spans="1:6" x14ac:dyDescent="0.15">
      <c r="A716" s="8" t="s">
        <v>2113</v>
      </c>
      <c r="B716" s="8" t="s">
        <v>180</v>
      </c>
      <c r="C716" s="8" t="str">
        <f t="shared" si="17"/>
        <v>att_organ:appendix</v>
      </c>
      <c r="D716" s="8" t="s">
        <v>2113</v>
      </c>
      <c r="E716" s="8" t="s">
        <v>2114</v>
      </c>
      <c r="F716" s="8" t="s">
        <v>2114</v>
      </c>
    </row>
    <row r="717" spans="1:6" x14ac:dyDescent="0.15">
      <c r="A717" s="8" t="s">
        <v>2115</v>
      </c>
      <c r="B717" s="8" t="s">
        <v>180</v>
      </c>
      <c r="C717" s="8" t="str">
        <f t="shared" si="17"/>
        <v>att_organ:arteries</v>
      </c>
      <c r="D717" s="8" t="s">
        <v>2115</v>
      </c>
      <c r="E717" s="8" t="s">
        <v>2116</v>
      </c>
      <c r="F717" s="8" t="s">
        <v>2116</v>
      </c>
    </row>
    <row r="718" spans="1:6" x14ac:dyDescent="0.15">
      <c r="A718" s="8" t="s">
        <v>2117</v>
      </c>
      <c r="B718" s="8" t="s">
        <v>180</v>
      </c>
      <c r="C718" s="8" t="str">
        <f t="shared" si="17"/>
        <v>att_organ:bladder</v>
      </c>
      <c r="D718" s="8" t="s">
        <v>2117</v>
      </c>
      <c r="E718" s="8" t="s">
        <v>2118</v>
      </c>
      <c r="F718" s="8" t="s">
        <v>2118</v>
      </c>
    </row>
    <row r="719" spans="1:6" x14ac:dyDescent="0.15">
      <c r="A719" s="8" t="s">
        <v>2119</v>
      </c>
      <c r="B719" s="8" t="s">
        <v>180</v>
      </c>
      <c r="C719" s="8" t="str">
        <f t="shared" si="17"/>
        <v>att_organ:bone_marrow</v>
      </c>
      <c r="D719" s="8" t="s">
        <v>2119</v>
      </c>
      <c r="E719" s="8" t="s">
        <v>2120</v>
      </c>
      <c r="F719" s="8" t="s">
        <v>2120</v>
      </c>
    </row>
    <row r="720" spans="1:6" x14ac:dyDescent="0.15">
      <c r="A720" s="8" t="s">
        <v>2121</v>
      </c>
      <c r="B720" s="8" t="s">
        <v>180</v>
      </c>
      <c r="C720" s="8" t="str">
        <f t="shared" si="17"/>
        <v>att_organ:brain</v>
      </c>
      <c r="D720" s="8" t="s">
        <v>2121</v>
      </c>
      <c r="E720" s="8" t="s">
        <v>2122</v>
      </c>
      <c r="F720" s="8" t="s">
        <v>2122</v>
      </c>
    </row>
    <row r="721" spans="1:6" x14ac:dyDescent="0.15">
      <c r="A721" s="8" t="s">
        <v>2123</v>
      </c>
      <c r="B721" s="8" t="s">
        <v>180</v>
      </c>
      <c r="C721" s="8" t="str">
        <f t="shared" si="17"/>
        <v>att_organ:bronchi</v>
      </c>
      <c r="D721" s="8" t="s">
        <v>2123</v>
      </c>
      <c r="E721" s="8" t="s">
        <v>2124</v>
      </c>
      <c r="F721" s="8" t="s">
        <v>2124</v>
      </c>
    </row>
    <row r="722" spans="1:6" x14ac:dyDescent="0.15">
      <c r="A722" s="8" t="s">
        <v>2125</v>
      </c>
      <c r="B722" s="8" t="s">
        <v>180</v>
      </c>
      <c r="C722" s="8" t="str">
        <f t="shared" si="17"/>
        <v>att_organ:cecum</v>
      </c>
      <c r="D722" s="8" t="s">
        <v>2125</v>
      </c>
      <c r="E722" s="8" t="s">
        <v>2126</v>
      </c>
      <c r="F722" s="8" t="s">
        <v>2126</v>
      </c>
    </row>
    <row r="723" spans="1:6" x14ac:dyDescent="0.15">
      <c r="A723" s="8" t="s">
        <v>2127</v>
      </c>
      <c r="B723" s="8" t="s">
        <v>180</v>
      </c>
      <c r="C723" s="8" t="str">
        <f t="shared" si="17"/>
        <v>att_organ:cerebellum</v>
      </c>
      <c r="D723" s="8" t="s">
        <v>2127</v>
      </c>
      <c r="E723" s="8" t="s">
        <v>2128</v>
      </c>
      <c r="F723" s="8" t="s">
        <v>2128</v>
      </c>
    </row>
    <row r="724" spans="1:6" x14ac:dyDescent="0.15">
      <c r="A724" s="8" t="s">
        <v>2129</v>
      </c>
      <c r="B724" s="8" t="s">
        <v>180</v>
      </c>
      <c r="C724" s="8" t="str">
        <f t="shared" si="17"/>
        <v>att_organ:cerebrum</v>
      </c>
      <c r="D724" s="8" t="s">
        <v>2129</v>
      </c>
      <c r="E724" s="8" t="s">
        <v>2130</v>
      </c>
      <c r="F724" s="8" t="s">
        <v>2130</v>
      </c>
    </row>
    <row r="725" spans="1:6" x14ac:dyDescent="0.15">
      <c r="A725" s="8" t="s">
        <v>2131</v>
      </c>
      <c r="B725" s="8" t="s">
        <v>180</v>
      </c>
      <c r="C725" s="8" t="str">
        <f t="shared" si="17"/>
        <v>att_organ:ear</v>
      </c>
      <c r="D725" s="8" t="s">
        <v>2131</v>
      </c>
      <c r="E725" s="8" t="s">
        <v>2132</v>
      </c>
      <c r="F725" s="8" t="s">
        <v>2132</v>
      </c>
    </row>
    <row r="726" spans="1:6" x14ac:dyDescent="0.15">
      <c r="A726" s="8" t="s">
        <v>2133</v>
      </c>
      <c r="B726" s="8" t="s">
        <v>180</v>
      </c>
      <c r="C726" s="8" t="str">
        <f t="shared" si="17"/>
        <v>att_organ:esophagus</v>
      </c>
      <c r="D726" s="8" t="s">
        <v>2133</v>
      </c>
      <c r="E726" s="8" t="s">
        <v>2134</v>
      </c>
      <c r="F726" s="8" t="s">
        <v>2134</v>
      </c>
    </row>
    <row r="727" spans="1:6" x14ac:dyDescent="0.15">
      <c r="A727" s="8" t="s">
        <v>2135</v>
      </c>
      <c r="B727" s="8" t="s">
        <v>180</v>
      </c>
      <c r="C727" s="8" t="str">
        <f t="shared" si="17"/>
        <v>att_organ:eye</v>
      </c>
      <c r="D727" s="8" t="s">
        <v>2135</v>
      </c>
      <c r="E727" s="8" t="s">
        <v>2136</v>
      </c>
      <c r="F727" s="8" t="s">
        <v>2136</v>
      </c>
    </row>
    <row r="728" spans="1:6" x14ac:dyDescent="0.15">
      <c r="A728" s="8" t="s">
        <v>2137</v>
      </c>
      <c r="B728" s="8" t="s">
        <v>180</v>
      </c>
      <c r="C728" s="8" t="str">
        <f t="shared" si="17"/>
        <v>att_organ:gallbladder</v>
      </c>
      <c r="D728" s="8" t="s">
        <v>2137</v>
      </c>
      <c r="E728" s="8" t="s">
        <v>2138</v>
      </c>
      <c r="F728" s="8" t="s">
        <v>2138</v>
      </c>
    </row>
    <row r="729" spans="1:6" x14ac:dyDescent="0.15">
      <c r="A729" s="8" t="s">
        <v>2139</v>
      </c>
      <c r="B729" s="8" t="s">
        <v>180</v>
      </c>
      <c r="C729" s="8" t="str">
        <f t="shared" si="17"/>
        <v>att_organ:ganglia</v>
      </c>
      <c r="D729" s="8" t="s">
        <v>2139</v>
      </c>
      <c r="E729" s="8" t="s">
        <v>2140</v>
      </c>
      <c r="F729" s="8" t="s">
        <v>2140</v>
      </c>
    </row>
    <row r="730" spans="1:6" x14ac:dyDescent="0.15">
      <c r="A730" s="8" t="s">
        <v>2141</v>
      </c>
      <c r="B730" s="8" t="s">
        <v>180</v>
      </c>
      <c r="C730" s="8" t="str">
        <f t="shared" si="17"/>
        <v>att_organ:heart</v>
      </c>
      <c r="D730" s="8" t="s">
        <v>2141</v>
      </c>
      <c r="E730" s="8" t="s">
        <v>2142</v>
      </c>
      <c r="F730" s="8" t="s">
        <v>2142</v>
      </c>
    </row>
    <row r="731" spans="1:6" x14ac:dyDescent="0.15">
      <c r="A731" s="8" t="s">
        <v>2143</v>
      </c>
      <c r="B731" s="8" t="s">
        <v>180</v>
      </c>
      <c r="C731" s="8" t="str">
        <f t="shared" si="17"/>
        <v>att_organ:hypothalamus</v>
      </c>
      <c r="D731" s="8" t="s">
        <v>2143</v>
      </c>
      <c r="E731" s="8" t="s">
        <v>2144</v>
      </c>
      <c r="F731" s="8" t="s">
        <v>2144</v>
      </c>
    </row>
    <row r="732" spans="1:6" x14ac:dyDescent="0.15">
      <c r="A732" s="8" t="s">
        <v>2145</v>
      </c>
      <c r="B732" s="8" t="s">
        <v>180</v>
      </c>
      <c r="C732" s="8" t="str">
        <f t="shared" si="17"/>
        <v>att_organ:kidney</v>
      </c>
      <c r="D732" s="8" t="s">
        <v>2145</v>
      </c>
      <c r="E732" s="8" t="s">
        <v>2146</v>
      </c>
      <c r="F732" s="8" t="s">
        <v>2146</v>
      </c>
    </row>
    <row r="733" spans="1:6" x14ac:dyDescent="0.15">
      <c r="A733" s="8" t="s">
        <v>2147</v>
      </c>
      <c r="B733" s="8" t="s">
        <v>180</v>
      </c>
      <c r="C733" s="8" t="str">
        <f t="shared" si="17"/>
        <v>att_organ:large_intestine</v>
      </c>
      <c r="D733" s="8" t="s">
        <v>2148</v>
      </c>
      <c r="E733" s="8" t="s">
        <v>2149</v>
      </c>
      <c r="F733" s="8" t="s">
        <v>2150</v>
      </c>
    </row>
    <row r="734" spans="1:6" x14ac:dyDescent="0.15">
      <c r="A734" s="8" t="s">
        <v>2151</v>
      </c>
      <c r="B734" s="8" t="s">
        <v>180</v>
      </c>
      <c r="C734" s="8" t="str">
        <f t="shared" si="17"/>
        <v>att_organ:liver</v>
      </c>
      <c r="D734" s="8" t="s">
        <v>2151</v>
      </c>
      <c r="E734" s="8" t="s">
        <v>2152</v>
      </c>
      <c r="F734" s="8" t="s">
        <v>2152</v>
      </c>
    </row>
    <row r="735" spans="1:6" x14ac:dyDescent="0.15">
      <c r="A735" s="8" t="s">
        <v>2153</v>
      </c>
      <c r="B735" s="8" t="s">
        <v>180</v>
      </c>
      <c r="C735" s="8" t="str">
        <f t="shared" si="17"/>
        <v>att_organ:lung</v>
      </c>
      <c r="D735" s="8" t="s">
        <v>2153</v>
      </c>
      <c r="E735" s="8" t="s">
        <v>2154</v>
      </c>
      <c r="F735" s="8" t="s">
        <v>2154</v>
      </c>
    </row>
    <row r="736" spans="1:6" x14ac:dyDescent="0.15">
      <c r="A736" s="8" t="s">
        <v>2155</v>
      </c>
      <c r="B736" s="8" t="s">
        <v>180</v>
      </c>
      <c r="C736" s="8" t="str">
        <f t="shared" si="17"/>
        <v>att_organ:lymph_node</v>
      </c>
      <c r="D736" s="8" t="s">
        <v>1212</v>
      </c>
      <c r="E736" s="8" t="s">
        <v>2156</v>
      </c>
      <c r="F736" s="8" t="s">
        <v>2156</v>
      </c>
    </row>
    <row r="737" spans="1:6" x14ac:dyDescent="0.15">
      <c r="A737" s="8" t="s">
        <v>2157</v>
      </c>
      <c r="B737" s="8" t="s">
        <v>180</v>
      </c>
      <c r="C737" s="8" t="str">
        <f t="shared" si="17"/>
        <v>att_organ:medulla</v>
      </c>
      <c r="D737" s="8" t="s">
        <v>2157</v>
      </c>
      <c r="E737" s="8" t="s">
        <v>2158</v>
      </c>
      <c r="F737" s="8" t="s">
        <v>2158</v>
      </c>
    </row>
    <row r="738" spans="1:6" x14ac:dyDescent="0.15">
      <c r="A738" s="8" t="s">
        <v>2159</v>
      </c>
      <c r="B738" s="8" t="s">
        <v>180</v>
      </c>
      <c r="C738" s="8" t="str">
        <f t="shared" si="17"/>
        <v>att_organ:mesentery</v>
      </c>
      <c r="D738" s="8" t="s">
        <v>2159</v>
      </c>
      <c r="E738" s="8" t="s">
        <v>2160</v>
      </c>
      <c r="F738" s="8" t="s">
        <v>2160</v>
      </c>
    </row>
    <row r="739" spans="1:6" x14ac:dyDescent="0.15">
      <c r="A739" s="8" t="s">
        <v>2161</v>
      </c>
      <c r="B739" s="8" t="s">
        <v>180</v>
      </c>
      <c r="C739" s="8" t="str">
        <f t="shared" si="17"/>
        <v>att_organ:midbrain</v>
      </c>
      <c r="D739" s="8" t="s">
        <v>2161</v>
      </c>
      <c r="E739" s="8" t="s">
        <v>2162</v>
      </c>
      <c r="F739" s="8" t="s">
        <v>2162</v>
      </c>
    </row>
    <row r="740" spans="1:6" x14ac:dyDescent="0.15">
      <c r="A740" s="8" t="s">
        <v>2163</v>
      </c>
      <c r="B740" s="8" t="s">
        <v>180</v>
      </c>
      <c r="C740" s="8" t="str">
        <f t="shared" si="17"/>
        <v>att_organ:ovaries</v>
      </c>
      <c r="D740" s="8" t="s">
        <v>2163</v>
      </c>
      <c r="E740" s="8" t="s">
        <v>2164</v>
      </c>
      <c r="F740" s="8" t="s">
        <v>2164</v>
      </c>
    </row>
    <row r="741" spans="1:6" x14ac:dyDescent="0.15">
      <c r="A741" s="8" t="s">
        <v>2165</v>
      </c>
      <c r="B741" s="8" t="s">
        <v>180</v>
      </c>
      <c r="C741" s="8" t="str">
        <f t="shared" si="17"/>
        <v>att_organ:pancreas</v>
      </c>
      <c r="D741" s="8" t="s">
        <v>2165</v>
      </c>
      <c r="E741" s="8" t="s">
        <v>2166</v>
      </c>
      <c r="F741" s="8" t="s">
        <v>2166</v>
      </c>
    </row>
    <row r="742" spans="1:6" x14ac:dyDescent="0.15">
      <c r="A742" s="8" t="s">
        <v>2167</v>
      </c>
      <c r="B742" s="8" t="s">
        <v>180</v>
      </c>
      <c r="C742" s="8" t="str">
        <f t="shared" si="17"/>
        <v>att_organ:pons</v>
      </c>
      <c r="D742" s="8" t="s">
        <v>2167</v>
      </c>
      <c r="E742" s="8" t="s">
        <v>2168</v>
      </c>
      <c r="F742" s="8" t="s">
        <v>2168</v>
      </c>
    </row>
    <row r="743" spans="1:6" x14ac:dyDescent="0.15">
      <c r="A743" s="8" t="s">
        <v>2169</v>
      </c>
      <c r="B743" s="8" t="s">
        <v>180</v>
      </c>
      <c r="C743" s="8" t="str">
        <f t="shared" si="17"/>
        <v>att_organ:prostate</v>
      </c>
      <c r="D743" s="8" t="s">
        <v>2169</v>
      </c>
      <c r="E743" s="8" t="s">
        <v>2170</v>
      </c>
      <c r="F743" s="8" t="s">
        <v>2170</v>
      </c>
    </row>
    <row r="744" spans="1:6" x14ac:dyDescent="0.15">
      <c r="A744" s="8" t="s">
        <v>2171</v>
      </c>
      <c r="B744" s="8" t="s">
        <v>180</v>
      </c>
      <c r="C744" s="8" t="str">
        <f t="shared" si="17"/>
        <v>att_organ:rectum</v>
      </c>
      <c r="D744" s="8" t="s">
        <v>2171</v>
      </c>
      <c r="E744" s="8" t="s">
        <v>2172</v>
      </c>
      <c r="F744" s="8" t="s">
        <v>2172</v>
      </c>
    </row>
    <row r="745" spans="1:6" x14ac:dyDescent="0.15">
      <c r="A745" s="8" t="s">
        <v>2173</v>
      </c>
      <c r="B745" s="8" t="s">
        <v>180</v>
      </c>
      <c r="C745" s="8" t="str">
        <f t="shared" si="17"/>
        <v>att_organ:small_intestine</v>
      </c>
      <c r="D745" s="8" t="s">
        <v>2174</v>
      </c>
      <c r="E745" s="8" t="s">
        <v>2175</v>
      </c>
      <c r="F745" s="8" t="s">
        <v>2176</v>
      </c>
    </row>
    <row r="746" spans="1:6" x14ac:dyDescent="0.15">
      <c r="A746" s="8" t="s">
        <v>2177</v>
      </c>
      <c r="B746" s="8" t="s">
        <v>180</v>
      </c>
      <c r="C746" s="8" t="str">
        <f t="shared" si="17"/>
        <v>att_organ:spinal_cord</v>
      </c>
      <c r="D746" s="8" t="s">
        <v>2177</v>
      </c>
      <c r="E746" s="8" t="s">
        <v>2178</v>
      </c>
      <c r="F746" s="8" t="s">
        <v>2179</v>
      </c>
    </row>
    <row r="747" spans="1:6" x14ac:dyDescent="0.15">
      <c r="A747" s="8" t="s">
        <v>2180</v>
      </c>
      <c r="B747" s="8" t="s">
        <v>180</v>
      </c>
      <c r="C747" s="8" t="str">
        <f t="shared" si="17"/>
        <v>att_organ:spleen</v>
      </c>
      <c r="D747" s="8" t="s">
        <v>2180</v>
      </c>
      <c r="E747" s="8" t="s">
        <v>2181</v>
      </c>
      <c r="F747" s="8" t="s">
        <v>2181</v>
      </c>
    </row>
    <row r="748" spans="1:6" x14ac:dyDescent="0.15">
      <c r="A748" s="8" t="s">
        <v>2182</v>
      </c>
      <c r="B748" s="8" t="s">
        <v>180</v>
      </c>
      <c r="C748" s="8" t="str">
        <f t="shared" si="17"/>
        <v>att_organ:stomach</v>
      </c>
      <c r="D748" s="8" t="s">
        <v>2182</v>
      </c>
      <c r="E748" s="8" t="s">
        <v>2183</v>
      </c>
      <c r="F748" s="8" t="s">
        <v>2183</v>
      </c>
    </row>
    <row r="749" spans="1:6" x14ac:dyDescent="0.15">
      <c r="A749" s="8" t="s">
        <v>2184</v>
      </c>
      <c r="B749" s="8" t="s">
        <v>180</v>
      </c>
      <c r="C749" s="8" t="str">
        <f t="shared" si="17"/>
        <v>att_organ:testicles</v>
      </c>
      <c r="D749" s="8" t="s">
        <v>2184</v>
      </c>
      <c r="E749" s="8" t="s">
        <v>2185</v>
      </c>
      <c r="F749" s="8" t="s">
        <v>2185</v>
      </c>
    </row>
    <row r="750" spans="1:6" x14ac:dyDescent="0.15">
      <c r="A750" s="8" t="s">
        <v>2186</v>
      </c>
      <c r="B750" s="8" t="s">
        <v>180</v>
      </c>
      <c r="C750" s="8" t="str">
        <f t="shared" si="17"/>
        <v>att_organ:thalamus</v>
      </c>
      <c r="D750" s="8" t="s">
        <v>2186</v>
      </c>
      <c r="E750" s="8" t="s">
        <v>2187</v>
      </c>
      <c r="F750" s="8" t="s">
        <v>2187</v>
      </c>
    </row>
    <row r="751" spans="1:6" x14ac:dyDescent="0.15">
      <c r="A751" s="8" t="s">
        <v>2188</v>
      </c>
      <c r="B751" s="8" t="s">
        <v>180</v>
      </c>
      <c r="C751" s="8" t="str">
        <f t="shared" si="17"/>
        <v>att_organ:thymus</v>
      </c>
      <c r="D751" s="8" t="s">
        <v>2188</v>
      </c>
      <c r="E751" s="8" t="s">
        <v>2189</v>
      </c>
      <c r="F751" s="8" t="s">
        <v>2189</v>
      </c>
    </row>
    <row r="752" spans="1:6" x14ac:dyDescent="0.15">
      <c r="A752" s="8" t="s">
        <v>2190</v>
      </c>
      <c r="B752" s="8" t="s">
        <v>180</v>
      </c>
      <c r="C752" s="8" t="str">
        <f t="shared" si="17"/>
        <v>att_organ:tongue</v>
      </c>
      <c r="D752" s="8" t="s">
        <v>2190</v>
      </c>
      <c r="E752" s="8" t="s">
        <v>2191</v>
      </c>
      <c r="F752" s="8" t="s">
        <v>2191</v>
      </c>
    </row>
    <row r="753" spans="1:6" x14ac:dyDescent="0.15">
      <c r="A753" s="8" t="s">
        <v>2192</v>
      </c>
      <c r="B753" s="8" t="s">
        <v>180</v>
      </c>
      <c r="C753" s="8" t="str">
        <f t="shared" si="17"/>
        <v>att_organ:tonsils</v>
      </c>
      <c r="D753" s="8" t="s">
        <v>2192</v>
      </c>
      <c r="E753" s="8" t="s">
        <v>2193</v>
      </c>
      <c r="F753" s="8" t="s">
        <v>2193</v>
      </c>
    </row>
    <row r="754" spans="1:6" x14ac:dyDescent="0.15">
      <c r="A754" s="8" t="s">
        <v>2194</v>
      </c>
      <c r="B754" s="8" t="s">
        <v>180</v>
      </c>
      <c r="C754" s="8" t="str">
        <f t="shared" si="17"/>
        <v>att_organ:uterus</v>
      </c>
      <c r="D754" s="8" t="s">
        <v>2194</v>
      </c>
      <c r="E754" s="8" t="s">
        <v>2195</v>
      </c>
      <c r="F754" s="8" t="s">
        <v>2195</v>
      </c>
    </row>
    <row r="755" spans="1:6" x14ac:dyDescent="0.15">
      <c r="A755" s="8" t="s">
        <v>2196</v>
      </c>
      <c r="B755" s="8" t="s">
        <v>180</v>
      </c>
      <c r="C755" s="8" t="str">
        <f t="shared" si="17"/>
        <v>att_organ:veins</v>
      </c>
      <c r="D755" s="8" t="s">
        <v>2196</v>
      </c>
      <c r="E755" s="8" t="s">
        <v>2197</v>
      </c>
      <c r="F755" s="8" t="s">
        <v>2197</v>
      </c>
    </row>
    <row r="756" spans="1:6" x14ac:dyDescent="0.15">
      <c r="A756" s="8" t="s">
        <v>2198</v>
      </c>
      <c r="B756" s="8" t="s">
        <v>196</v>
      </c>
      <c r="C756" s="8" t="str">
        <f t="shared" si="17"/>
        <v>att_organism:UP000000589</v>
      </c>
      <c r="D756" s="8" t="s">
        <v>2199</v>
      </c>
      <c r="E756" s="8" t="s">
        <v>2200</v>
      </c>
      <c r="F756" s="8" t="s">
        <v>2201</v>
      </c>
    </row>
    <row r="757" spans="1:6" x14ac:dyDescent="0.15">
      <c r="A757" s="8" t="s">
        <v>2202</v>
      </c>
      <c r="B757" s="8" t="s">
        <v>196</v>
      </c>
      <c r="C757" s="8" t="str">
        <f t="shared" ref="C757:C829" si="18">B757&amp;":"&amp;A757</f>
        <v>att_organism:UP000001940</v>
      </c>
      <c r="D757" s="8" t="s">
        <v>2203</v>
      </c>
      <c r="E757" s="8" t="s">
        <v>2204</v>
      </c>
      <c r="F757" s="8" t="s">
        <v>2205</v>
      </c>
    </row>
    <row r="758" spans="1:6" x14ac:dyDescent="0.15">
      <c r="A758" s="8" t="s">
        <v>2206</v>
      </c>
      <c r="B758" s="8" t="s">
        <v>196</v>
      </c>
      <c r="C758" s="8" t="str">
        <f t="shared" si="18"/>
        <v>att_organism:UP000002311</v>
      </c>
      <c r="D758" s="8" t="s">
        <v>2207</v>
      </c>
      <c r="E758" s="8" t="s">
        <v>2208</v>
      </c>
      <c r="F758" s="8" t="s">
        <v>2209</v>
      </c>
    </row>
    <row r="759" spans="1:6" x14ac:dyDescent="0.15">
      <c r="A759" s="8" t="s">
        <v>2210</v>
      </c>
      <c r="B759" s="8" t="s">
        <v>196</v>
      </c>
      <c r="C759" s="8" t="str">
        <f t="shared" si="18"/>
        <v>att_organism:UP000002494</v>
      </c>
      <c r="D759" s="8" t="s">
        <v>2211</v>
      </c>
      <c r="E759" s="8" t="s">
        <v>2212</v>
      </c>
      <c r="F759" s="8" t="s">
        <v>2213</v>
      </c>
    </row>
    <row r="760" spans="1:6" x14ac:dyDescent="0.15">
      <c r="A760" s="8" t="s">
        <v>2214</v>
      </c>
      <c r="B760" s="8" t="s">
        <v>196</v>
      </c>
      <c r="C760" s="8" t="str">
        <f t="shared" si="18"/>
        <v>att_organism:UP000005640</v>
      </c>
      <c r="D760" s="8" t="s">
        <v>2215</v>
      </c>
      <c r="E760" s="8" t="s">
        <v>2216</v>
      </c>
      <c r="F760" s="8" t="s">
        <v>2217</v>
      </c>
    </row>
    <row r="761" spans="1:6" x14ac:dyDescent="0.15">
      <c r="A761" s="8" t="s">
        <v>2927</v>
      </c>
      <c r="B761" s="8" t="s">
        <v>196</v>
      </c>
      <c r="C761" s="8" t="str">
        <f t="shared" si="18"/>
        <v>att_organism:controls</v>
      </c>
      <c r="D761" s="8" t="s">
        <v>2924</v>
      </c>
      <c r="E761" s="8" t="s">
        <v>2925</v>
      </c>
      <c r="F761" s="8" t="s">
        <v>2926</v>
      </c>
    </row>
    <row r="762" spans="1:6" x14ac:dyDescent="0.15">
      <c r="A762" s="8" t="s">
        <v>2218</v>
      </c>
      <c r="B762" s="8" t="s">
        <v>2219</v>
      </c>
      <c r="C762" s="8" t="str">
        <f t="shared" si="18"/>
        <v>att_organsystem:cardiovascular</v>
      </c>
      <c r="D762" s="9" t="s">
        <v>17</v>
      </c>
      <c r="E762" s="8" t="s">
        <v>2220</v>
      </c>
      <c r="F762" s="8" t="s">
        <v>2221</v>
      </c>
    </row>
    <row r="763" spans="1:6" x14ac:dyDescent="0.15">
      <c r="A763" s="8" t="s">
        <v>2222</v>
      </c>
      <c r="B763" s="8" t="s">
        <v>2219</v>
      </c>
      <c r="C763" s="8" t="str">
        <f t="shared" si="18"/>
        <v>att_organsystem:digestive</v>
      </c>
      <c r="D763" s="9" t="s">
        <v>17</v>
      </c>
      <c r="E763" s="8" t="s">
        <v>2223</v>
      </c>
      <c r="F763" s="8" t="s">
        <v>2224</v>
      </c>
    </row>
    <row r="764" spans="1:6" x14ac:dyDescent="0.15">
      <c r="A764" s="8" t="s">
        <v>2225</v>
      </c>
      <c r="B764" s="8" t="s">
        <v>2219</v>
      </c>
      <c r="C764" s="8" t="str">
        <f t="shared" si="18"/>
        <v>att_organsystem:endocrine</v>
      </c>
      <c r="D764" s="9" t="s">
        <v>17</v>
      </c>
      <c r="E764" s="8" t="s">
        <v>2226</v>
      </c>
      <c r="F764" s="8" t="s">
        <v>2227</v>
      </c>
    </row>
    <row r="765" spans="1:6" x14ac:dyDescent="0.15">
      <c r="A765" s="8" t="s">
        <v>2228</v>
      </c>
      <c r="B765" s="8" t="s">
        <v>2219</v>
      </c>
      <c r="C765" s="8" t="str">
        <f t="shared" si="18"/>
        <v>att_organsystem:excretory</v>
      </c>
      <c r="D765" s="9" t="s">
        <v>17</v>
      </c>
      <c r="E765" s="8" t="s">
        <v>2229</v>
      </c>
      <c r="F765" s="8" t="s">
        <v>2230</v>
      </c>
    </row>
    <row r="766" spans="1:6" x14ac:dyDescent="0.15">
      <c r="A766" s="8" t="s">
        <v>2231</v>
      </c>
      <c r="B766" s="8" t="s">
        <v>2219</v>
      </c>
      <c r="C766" s="8" t="str">
        <f t="shared" si="18"/>
        <v>att_organsystem:integumentary</v>
      </c>
      <c r="D766" s="9" t="s">
        <v>17</v>
      </c>
      <c r="E766" s="8" t="s">
        <v>2232</v>
      </c>
      <c r="F766" s="8" t="s">
        <v>2233</v>
      </c>
    </row>
    <row r="767" spans="1:6" x14ac:dyDescent="0.15">
      <c r="A767" s="8" t="s">
        <v>2234</v>
      </c>
      <c r="B767" s="8" t="s">
        <v>2219</v>
      </c>
      <c r="C767" s="8" t="str">
        <f t="shared" si="18"/>
        <v>att_organsystem:lymphatic</v>
      </c>
      <c r="D767" s="9" t="s">
        <v>17</v>
      </c>
      <c r="E767" s="8" t="s">
        <v>2235</v>
      </c>
      <c r="F767" s="8" t="s">
        <v>2236</v>
      </c>
    </row>
    <row r="768" spans="1:6" x14ac:dyDescent="0.15">
      <c r="A768" s="8" t="s">
        <v>2237</v>
      </c>
      <c r="B768" s="8" t="s">
        <v>2219</v>
      </c>
      <c r="C768" s="8" t="str">
        <f t="shared" si="18"/>
        <v>att_organsystem:muscular</v>
      </c>
      <c r="D768" s="9" t="s">
        <v>17</v>
      </c>
      <c r="E768" s="8" t="s">
        <v>2238</v>
      </c>
      <c r="F768" s="8" t="s">
        <v>2239</v>
      </c>
    </row>
    <row r="769" spans="1:6" x14ac:dyDescent="0.15">
      <c r="A769" s="8" t="s">
        <v>2240</v>
      </c>
      <c r="B769" s="8" t="s">
        <v>2219</v>
      </c>
      <c r="C769" s="8" t="str">
        <f t="shared" si="18"/>
        <v>att_organsystem:nervous_system</v>
      </c>
      <c r="D769" s="9" t="s">
        <v>17</v>
      </c>
      <c r="E769" s="8" t="s">
        <v>2241</v>
      </c>
      <c r="F769" s="8" t="s">
        <v>2242</v>
      </c>
    </row>
    <row r="770" spans="1:6" x14ac:dyDescent="0.15">
      <c r="A770" s="8" t="s">
        <v>2243</v>
      </c>
      <c r="B770" s="8" t="s">
        <v>2219</v>
      </c>
      <c r="C770" s="8" t="str">
        <f t="shared" si="18"/>
        <v>att_organsystem:reproductive</v>
      </c>
      <c r="D770" s="9" t="s">
        <v>17</v>
      </c>
      <c r="E770" s="8" t="s">
        <v>2244</v>
      </c>
      <c r="F770" s="8" t="s">
        <v>2245</v>
      </c>
    </row>
    <row r="771" spans="1:6" x14ac:dyDescent="0.15">
      <c r="A771" s="8" t="s">
        <v>2246</v>
      </c>
      <c r="B771" s="8" t="s">
        <v>2219</v>
      </c>
      <c r="C771" s="8" t="str">
        <f t="shared" si="18"/>
        <v>att_organsystem:respiratory</v>
      </c>
      <c r="D771" s="9" t="s">
        <v>17</v>
      </c>
      <c r="E771" s="8" t="s">
        <v>2247</v>
      </c>
      <c r="F771" s="8" t="s">
        <v>2248</v>
      </c>
    </row>
    <row r="772" spans="1:6" x14ac:dyDescent="0.15">
      <c r="A772" s="8" t="s">
        <v>2249</v>
      </c>
      <c r="B772" s="8" t="s">
        <v>2219</v>
      </c>
      <c r="C772" s="8" t="str">
        <f t="shared" si="18"/>
        <v>att_organsystem:skeletal</v>
      </c>
      <c r="D772" s="9" t="s">
        <v>17</v>
      </c>
      <c r="E772" s="8" t="s">
        <v>2250</v>
      </c>
      <c r="F772" s="8" t="s">
        <v>2251</v>
      </c>
    </row>
    <row r="773" spans="1:6" x14ac:dyDescent="0.15">
      <c r="A773" s="8" t="s">
        <v>2252</v>
      </c>
      <c r="B773" s="8" t="s">
        <v>2219</v>
      </c>
      <c r="C773" s="8" t="str">
        <f t="shared" si="18"/>
        <v>att_organsystem:urinary</v>
      </c>
      <c r="D773" s="9" t="s">
        <v>17</v>
      </c>
      <c r="E773" s="8" t="s">
        <v>2253</v>
      </c>
      <c r="F773" s="8" t="s">
        <v>2254</v>
      </c>
    </row>
    <row r="774" spans="1:6" x14ac:dyDescent="0.15">
      <c r="A774" s="8" t="s">
        <v>2255</v>
      </c>
      <c r="B774" s="8" t="s">
        <v>198</v>
      </c>
      <c r="C774" s="8" t="str">
        <f t="shared" si="18"/>
        <v>att_phystraining:intervalcardio</v>
      </c>
      <c r="D774" s="9" t="s">
        <v>17</v>
      </c>
      <c r="E774" s="8" t="s">
        <v>2256</v>
      </c>
      <c r="F774" s="8" t="s">
        <v>2257</v>
      </c>
    </row>
    <row r="775" spans="1:6" x14ac:dyDescent="0.15">
      <c r="A775" s="8" t="s">
        <v>2258</v>
      </c>
      <c r="B775" s="8" t="s">
        <v>198</v>
      </c>
      <c r="C775" s="8" t="str">
        <f t="shared" si="18"/>
        <v>att_phystraining:steadycardio</v>
      </c>
      <c r="D775" s="9" t="s">
        <v>17</v>
      </c>
      <c r="E775" s="8" t="s">
        <v>2835</v>
      </c>
      <c r="F775" s="8" t="s">
        <v>2259</v>
      </c>
    </row>
    <row r="776" spans="1:6" x14ac:dyDescent="0.15">
      <c r="A776" s="8" t="s">
        <v>2260</v>
      </c>
      <c r="B776" s="8" t="s">
        <v>198</v>
      </c>
      <c r="C776" s="8" t="str">
        <f t="shared" si="18"/>
        <v>att_phystraining:strength</v>
      </c>
      <c r="D776" s="9" t="s">
        <v>17</v>
      </c>
      <c r="E776" s="8" t="s">
        <v>2261</v>
      </c>
      <c r="F776" s="8" t="s">
        <v>2262</v>
      </c>
    </row>
    <row r="777" spans="1:6" x14ac:dyDescent="0.15">
      <c r="A777" s="8" t="s">
        <v>2836</v>
      </c>
      <c r="B777" s="8" t="s">
        <v>198</v>
      </c>
      <c r="C777" s="8" t="str">
        <f t="shared" si="18"/>
        <v>att_phystraining:hiit</v>
      </c>
      <c r="D777" s="9" t="s">
        <v>17</v>
      </c>
      <c r="E777" s="8" t="s">
        <v>2837</v>
      </c>
      <c r="F777" s="8" t="s">
        <v>2838</v>
      </c>
    </row>
    <row r="778" spans="1:6" x14ac:dyDescent="0.15">
      <c r="A778" s="8" t="s">
        <v>2263</v>
      </c>
      <c r="B778" s="8" t="s">
        <v>203</v>
      </c>
      <c r="C778" s="8" t="str">
        <f t="shared" si="18"/>
        <v>att_protease:argc</v>
      </c>
      <c r="D778" s="9" t="s">
        <v>17</v>
      </c>
      <c r="E778" s="8" t="s">
        <v>2264</v>
      </c>
      <c r="F778" s="8" t="s">
        <v>2265</v>
      </c>
    </row>
    <row r="779" spans="1:6" x14ac:dyDescent="0.15">
      <c r="A779" s="8" t="s">
        <v>2266</v>
      </c>
      <c r="B779" s="8" t="s">
        <v>203</v>
      </c>
      <c r="C779" s="8" t="str">
        <f t="shared" si="18"/>
        <v>att_protease:aspn</v>
      </c>
      <c r="D779" s="9" t="s">
        <v>17</v>
      </c>
      <c r="E779" s="8" t="s">
        <v>2267</v>
      </c>
      <c r="F779" s="8" t="s">
        <v>2268</v>
      </c>
    </row>
    <row r="780" spans="1:6" x14ac:dyDescent="0.15">
      <c r="A780" s="8" t="s">
        <v>2269</v>
      </c>
      <c r="B780" s="8" t="s">
        <v>203</v>
      </c>
      <c r="C780" s="8" t="str">
        <f t="shared" si="18"/>
        <v>att_protease:chymotrypsin</v>
      </c>
      <c r="D780" s="9" t="s">
        <v>17</v>
      </c>
      <c r="E780" s="8" t="s">
        <v>2270</v>
      </c>
      <c r="F780" s="8" t="s">
        <v>2271</v>
      </c>
    </row>
    <row r="781" spans="1:6" x14ac:dyDescent="0.15">
      <c r="A781" s="8" t="s">
        <v>2272</v>
      </c>
      <c r="B781" s="8" t="s">
        <v>203</v>
      </c>
      <c r="C781" s="8" t="str">
        <f t="shared" si="18"/>
        <v>att_protease:elastase</v>
      </c>
      <c r="D781" s="9" t="s">
        <v>17</v>
      </c>
      <c r="E781" s="8" t="s">
        <v>2273</v>
      </c>
      <c r="F781" s="8" t="s">
        <v>2274</v>
      </c>
    </row>
    <row r="782" spans="1:6" x14ac:dyDescent="0.15">
      <c r="A782" s="8" t="s">
        <v>2275</v>
      </c>
      <c r="B782" s="8" t="s">
        <v>203</v>
      </c>
      <c r="C782" s="8" t="str">
        <f t="shared" si="18"/>
        <v>att_protease:gluc</v>
      </c>
      <c r="D782" s="9" t="s">
        <v>17</v>
      </c>
      <c r="E782" s="8" t="s">
        <v>2276</v>
      </c>
      <c r="F782" s="8" t="s">
        <v>2277</v>
      </c>
    </row>
    <row r="783" spans="1:6" x14ac:dyDescent="0.15">
      <c r="A783" s="8" t="s">
        <v>2278</v>
      </c>
      <c r="B783" s="8" t="s">
        <v>203</v>
      </c>
      <c r="C783" s="8" t="str">
        <f t="shared" si="18"/>
        <v>att_protease:lysc</v>
      </c>
      <c r="D783" s="9" t="s">
        <v>17</v>
      </c>
      <c r="E783" s="8" t="s">
        <v>2279</v>
      </c>
      <c r="F783" s="8" t="s">
        <v>2280</v>
      </c>
    </row>
    <row r="784" spans="1:6" x14ac:dyDescent="0.15">
      <c r="A784" s="8" t="s">
        <v>2281</v>
      </c>
      <c r="B784" s="8" t="s">
        <v>203</v>
      </c>
      <c r="C784" s="8" t="str">
        <f t="shared" si="18"/>
        <v>att_protease:raspn</v>
      </c>
      <c r="D784" s="9" t="s">
        <v>17</v>
      </c>
      <c r="E784" s="8" t="s">
        <v>2282</v>
      </c>
      <c r="F784" s="8" t="s">
        <v>2283</v>
      </c>
    </row>
    <row r="785" spans="1:6" x14ac:dyDescent="0.15">
      <c r="A785" s="8" t="s">
        <v>2284</v>
      </c>
      <c r="B785" s="8" t="s">
        <v>203</v>
      </c>
      <c r="C785" s="8" t="str">
        <f t="shared" si="18"/>
        <v>att_protease:trypsin</v>
      </c>
      <c r="D785" s="9" t="s">
        <v>17</v>
      </c>
      <c r="E785" s="8" t="s">
        <v>2285</v>
      </c>
      <c r="F785" s="8" t="s">
        <v>2286</v>
      </c>
    </row>
    <row r="786" spans="1:6" x14ac:dyDescent="0.15">
      <c r="A786" s="8" t="s">
        <v>2839</v>
      </c>
      <c r="B786" s="8" t="s">
        <v>206</v>
      </c>
      <c r="C786" s="8" t="str">
        <f t="shared" si="18"/>
        <v>att_protein_mutation:apex</v>
      </c>
      <c r="D786" s="9" t="s">
        <v>17</v>
      </c>
      <c r="E786" s="8" t="s">
        <v>2840</v>
      </c>
      <c r="F786" s="8" t="s">
        <v>2841</v>
      </c>
    </row>
    <row r="787" spans="1:6" x14ac:dyDescent="0.15">
      <c r="A787" s="8" t="s">
        <v>2842</v>
      </c>
      <c r="B787" s="8" t="s">
        <v>206</v>
      </c>
      <c r="C787" s="8" t="str">
        <f t="shared" si="18"/>
        <v>att_protein_mutation:bioid</v>
      </c>
      <c r="D787" s="9" t="s">
        <v>17</v>
      </c>
      <c r="E787" s="8" t="s">
        <v>2843</v>
      </c>
      <c r="F787" s="8" t="s">
        <v>2844</v>
      </c>
    </row>
    <row r="788" spans="1:6" x14ac:dyDescent="0.15">
      <c r="A788" s="8" t="s">
        <v>2845</v>
      </c>
      <c r="B788" s="8" t="s">
        <v>206</v>
      </c>
      <c r="C788" s="8" t="str">
        <f t="shared" si="18"/>
        <v>att_protein_mutation:turboid</v>
      </c>
      <c r="D788" s="9" t="s">
        <v>17</v>
      </c>
      <c r="E788" s="8" t="s">
        <v>2846</v>
      </c>
      <c r="F788" s="8" t="s">
        <v>2847</v>
      </c>
    </row>
    <row r="789" spans="1:6" x14ac:dyDescent="0.15">
      <c r="A789" s="8" t="s">
        <v>1275</v>
      </c>
      <c r="B789" s="8" t="s">
        <v>206</v>
      </c>
      <c r="C789" s="8" t="str">
        <f t="shared" si="18"/>
        <v>att_protein_mutation:deletion</v>
      </c>
      <c r="D789" s="9" t="s">
        <v>17</v>
      </c>
      <c r="E789" s="8" t="s">
        <v>2287</v>
      </c>
      <c r="F789" s="8" t="s">
        <v>2288</v>
      </c>
    </row>
    <row r="790" spans="1:6" x14ac:dyDescent="0.15">
      <c r="A790" s="8" t="s">
        <v>2289</v>
      </c>
      <c r="B790" s="8" t="s">
        <v>206</v>
      </c>
      <c r="C790" s="8" t="str">
        <f t="shared" si="18"/>
        <v>att_protein_mutation:flag</v>
      </c>
      <c r="D790" s="9" t="s">
        <v>17</v>
      </c>
      <c r="E790" s="8" t="s">
        <v>2290</v>
      </c>
      <c r="F790" s="8" t="s">
        <v>2291</v>
      </c>
    </row>
    <row r="791" spans="1:6" x14ac:dyDescent="0.15">
      <c r="A791" s="8" t="s">
        <v>2292</v>
      </c>
      <c r="B791" s="8" t="s">
        <v>206</v>
      </c>
      <c r="C791" s="8" t="str">
        <f t="shared" si="18"/>
        <v>att_protein_mutation:frameshift</v>
      </c>
      <c r="D791" s="9" t="s">
        <v>17</v>
      </c>
      <c r="E791" s="8" t="s">
        <v>2293</v>
      </c>
      <c r="F791" s="8" t="s">
        <v>2294</v>
      </c>
    </row>
    <row r="792" spans="1:6" x14ac:dyDescent="0.15">
      <c r="A792" s="8" t="s">
        <v>2295</v>
      </c>
      <c r="B792" s="8" t="s">
        <v>206</v>
      </c>
      <c r="C792" s="8" t="str">
        <f t="shared" si="18"/>
        <v>att_protein_mutation:gfp</v>
      </c>
      <c r="D792" s="9" t="s">
        <v>17</v>
      </c>
      <c r="E792" s="8" t="s">
        <v>2296</v>
      </c>
      <c r="F792" s="8" t="s">
        <v>2297</v>
      </c>
    </row>
    <row r="793" spans="1:6" x14ac:dyDescent="0.15">
      <c r="A793" s="8" t="s">
        <v>2298</v>
      </c>
      <c r="B793" s="8" t="s">
        <v>206</v>
      </c>
      <c r="C793" s="8" t="str">
        <f t="shared" si="18"/>
        <v>att_protein_mutation:ha</v>
      </c>
      <c r="D793" s="9" t="s">
        <v>17</v>
      </c>
      <c r="E793" s="8" t="s">
        <v>2299</v>
      </c>
      <c r="F793" s="8" t="s">
        <v>2300</v>
      </c>
    </row>
    <row r="794" spans="1:6" x14ac:dyDescent="0.15">
      <c r="A794" s="8" t="s">
        <v>2301</v>
      </c>
      <c r="B794" s="8" t="s">
        <v>206</v>
      </c>
      <c r="C794" s="8" t="str">
        <f t="shared" si="18"/>
        <v>att_protein_mutation:his</v>
      </c>
      <c r="D794" s="9" t="s">
        <v>17</v>
      </c>
      <c r="E794" s="8" t="s">
        <v>2302</v>
      </c>
      <c r="F794" s="8" t="s">
        <v>2303</v>
      </c>
    </row>
    <row r="795" spans="1:6" x14ac:dyDescent="0.15">
      <c r="A795" s="8" t="s">
        <v>2304</v>
      </c>
      <c r="B795" s="8" t="s">
        <v>206</v>
      </c>
      <c r="C795" s="8" t="str">
        <f t="shared" si="18"/>
        <v>att_protein_mutation:insertion</v>
      </c>
      <c r="D795" s="9" t="s">
        <v>17</v>
      </c>
      <c r="E795" s="8" t="s">
        <v>2305</v>
      </c>
      <c r="F795" s="8" t="s">
        <v>2306</v>
      </c>
    </row>
    <row r="796" spans="1:6" x14ac:dyDescent="0.15">
      <c r="A796" s="8" t="s">
        <v>2307</v>
      </c>
      <c r="B796" s="8" t="s">
        <v>206</v>
      </c>
      <c r="C796" s="8" t="str">
        <f t="shared" si="18"/>
        <v>att_protein_mutation:myc</v>
      </c>
      <c r="D796" s="9" t="s">
        <v>17</v>
      </c>
      <c r="E796" s="8" t="s">
        <v>2308</v>
      </c>
      <c r="F796" s="8" t="s">
        <v>2309</v>
      </c>
    </row>
    <row r="797" spans="1:6" x14ac:dyDescent="0.15">
      <c r="A797" s="8" t="s">
        <v>2310</v>
      </c>
      <c r="B797" s="8" t="s">
        <v>206</v>
      </c>
      <c r="C797" s="8" t="str">
        <f t="shared" si="18"/>
        <v>att_protein_mutation:pep86</v>
      </c>
      <c r="D797" s="9" t="s">
        <v>17</v>
      </c>
      <c r="E797" s="8" t="s">
        <v>2811</v>
      </c>
      <c r="F797" s="8" t="s">
        <v>2311</v>
      </c>
    </row>
    <row r="798" spans="1:6" x14ac:dyDescent="0.15">
      <c r="A798" s="8" t="s">
        <v>2312</v>
      </c>
      <c r="B798" s="8" t="s">
        <v>206</v>
      </c>
      <c r="C798" s="8" t="str">
        <f t="shared" si="18"/>
        <v>att_protein_mutation:substitution</v>
      </c>
      <c r="D798" s="9" t="s">
        <v>17</v>
      </c>
      <c r="E798" s="8" t="s">
        <v>2313</v>
      </c>
      <c r="F798" s="8" t="s">
        <v>2314</v>
      </c>
    </row>
    <row r="799" spans="1:6" x14ac:dyDescent="0.15">
      <c r="A799" s="8" t="s">
        <v>2315</v>
      </c>
      <c r="B799" s="8" t="s">
        <v>206</v>
      </c>
      <c r="C799" s="8" t="str">
        <f t="shared" ref="C799" si="19">B799&amp;":"&amp;A799</f>
        <v>att_protein_mutation:truncation</v>
      </c>
      <c r="D799" s="9" t="s">
        <v>17</v>
      </c>
      <c r="E799" s="8" t="s">
        <v>2316</v>
      </c>
      <c r="F799" s="8" t="s">
        <v>2317</v>
      </c>
    </row>
    <row r="800" spans="1:6" x14ac:dyDescent="0.15">
      <c r="A800" s="8" t="s">
        <v>342</v>
      </c>
      <c r="B800" s="8" t="s">
        <v>206</v>
      </c>
      <c r="C800" s="8" t="str">
        <f t="shared" si="18"/>
        <v>att_protein_mutation:none</v>
      </c>
      <c r="D800" s="9" t="s">
        <v>17</v>
      </c>
      <c r="E800" s="8" t="s">
        <v>1874</v>
      </c>
      <c r="F800" s="8" t="s">
        <v>2812</v>
      </c>
    </row>
    <row r="801" spans="1:1022" x14ac:dyDescent="0.15">
      <c r="A801" s="8" t="s">
        <v>2318</v>
      </c>
      <c r="B801" s="8" t="s">
        <v>208</v>
      </c>
      <c r="C801" s="8" t="str">
        <f t="shared" si="18"/>
        <v>att_protein_position:aa</v>
      </c>
      <c r="D801" s="9" t="s">
        <v>17</v>
      </c>
      <c r="E801" s="8" t="s">
        <v>2319</v>
      </c>
      <c r="F801" s="8" t="s">
        <v>2320</v>
      </c>
    </row>
    <row r="802" spans="1:1022" x14ac:dyDescent="0.15">
      <c r="A802" s="8" t="s">
        <v>2321</v>
      </c>
      <c r="B802" s="8" t="s">
        <v>208</v>
      </c>
      <c r="C802" s="8" t="str">
        <f t="shared" si="18"/>
        <v>att_protein_position:cterm</v>
      </c>
      <c r="D802" s="9" t="s">
        <v>17</v>
      </c>
      <c r="E802" s="8" t="s">
        <v>2322</v>
      </c>
      <c r="F802" s="8" t="s">
        <v>2323</v>
      </c>
    </row>
    <row r="803" spans="1:1022" x14ac:dyDescent="0.15">
      <c r="A803" s="8" t="s">
        <v>2324</v>
      </c>
      <c r="B803" s="8" t="s">
        <v>208</v>
      </c>
      <c r="C803" s="8" t="str">
        <f t="shared" si="18"/>
        <v>att_protein_position:nterm</v>
      </c>
      <c r="D803" s="9" t="s">
        <v>17</v>
      </c>
      <c r="E803" s="8" t="s">
        <v>2325</v>
      </c>
      <c r="F803" s="8" t="s">
        <v>2326</v>
      </c>
    </row>
    <row r="804" spans="1:1022" x14ac:dyDescent="0.15">
      <c r="A804" s="8" t="s">
        <v>2327</v>
      </c>
      <c r="B804" s="8" t="s">
        <v>208</v>
      </c>
      <c r="C804" s="8" t="str">
        <f t="shared" si="18"/>
        <v>att_protein_position:region</v>
      </c>
      <c r="D804" s="9" t="s">
        <v>17</v>
      </c>
      <c r="E804" s="8" t="s">
        <v>2328</v>
      </c>
      <c r="F804" s="8" t="s">
        <v>2329</v>
      </c>
    </row>
    <row r="805" spans="1:1022" x14ac:dyDescent="0.15">
      <c r="A805" s="8" t="s">
        <v>2978</v>
      </c>
      <c r="B805" s="8" t="s">
        <v>2976</v>
      </c>
      <c r="C805" s="8" t="str">
        <f t="shared" si="18"/>
        <v>att_ptm_enrichment:antibody</v>
      </c>
      <c r="D805" s="9" t="s">
        <v>17</v>
      </c>
      <c r="E805" s="8" t="s">
        <v>2979</v>
      </c>
      <c r="F805" s="8" t="s">
        <v>2980</v>
      </c>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c r="BE805"/>
      <c r="BF805"/>
      <c r="BG805"/>
      <c r="BH805"/>
      <c r="BI805"/>
      <c r="BJ805"/>
      <c r="BK805"/>
      <c r="BL805"/>
      <c r="BM805"/>
      <c r="BN805"/>
      <c r="BO805"/>
      <c r="BP805"/>
      <c r="BQ805"/>
      <c r="BR805"/>
      <c r="BS805"/>
      <c r="BT805"/>
      <c r="BU805"/>
      <c r="BV805"/>
      <c r="BW805"/>
      <c r="BX805"/>
      <c r="BY805"/>
      <c r="BZ805"/>
      <c r="CA805"/>
      <c r="CB805"/>
      <c r="CC805"/>
      <c r="CD805"/>
      <c r="CE805"/>
      <c r="CF805"/>
      <c r="CG805"/>
      <c r="CH805"/>
      <c r="CI805"/>
      <c r="CJ805"/>
      <c r="CK805"/>
      <c r="CL805"/>
      <c r="CM805"/>
      <c r="CN805"/>
      <c r="CO805"/>
      <c r="CP805"/>
      <c r="CQ805"/>
      <c r="CR805"/>
      <c r="CS805"/>
      <c r="CT805"/>
      <c r="CU805"/>
      <c r="CV805"/>
      <c r="CW805"/>
      <c r="CX805"/>
      <c r="CY805"/>
      <c r="CZ805"/>
      <c r="DA805"/>
      <c r="DB805"/>
      <c r="DC805"/>
      <c r="DD805"/>
      <c r="DE805"/>
      <c r="DF805"/>
      <c r="DG805"/>
      <c r="DH805"/>
      <c r="DI805"/>
      <c r="DJ805"/>
      <c r="DK805"/>
      <c r="DL805"/>
      <c r="DM805"/>
      <c r="DN805"/>
      <c r="DO805"/>
      <c r="DP805"/>
      <c r="DQ805"/>
      <c r="DR805"/>
      <c r="DS805"/>
      <c r="DT805"/>
      <c r="DU805"/>
      <c r="DV805"/>
      <c r="DW805"/>
      <c r="DX805"/>
      <c r="DY805"/>
      <c r="DZ805"/>
      <c r="EA805"/>
      <c r="EB805"/>
      <c r="EC805"/>
      <c r="ED805"/>
      <c r="EE805"/>
      <c r="EF805"/>
      <c r="EG805"/>
      <c r="EH805"/>
      <c r="EI805"/>
      <c r="EJ805"/>
      <c r="EK805"/>
      <c r="EL805"/>
      <c r="EM805"/>
      <c r="EN805"/>
      <c r="EO805"/>
      <c r="EP805"/>
      <c r="EQ805"/>
      <c r="ER805"/>
      <c r="ES805"/>
      <c r="ET805"/>
      <c r="EU805"/>
      <c r="EV805"/>
      <c r="EW805"/>
      <c r="EX805"/>
      <c r="EY805"/>
      <c r="EZ805"/>
      <c r="FA805"/>
      <c r="FB805"/>
      <c r="FC805"/>
      <c r="FD805"/>
      <c r="FE805"/>
      <c r="FF805"/>
      <c r="FG805"/>
      <c r="FH805"/>
      <c r="FI805"/>
      <c r="FJ805"/>
      <c r="FK805"/>
      <c r="FL805"/>
      <c r="FM805"/>
      <c r="FN805"/>
      <c r="FO805"/>
      <c r="FP805"/>
      <c r="FQ805"/>
      <c r="FR805"/>
      <c r="FS805"/>
      <c r="FT805"/>
      <c r="FU805"/>
      <c r="FV805"/>
      <c r="FW805"/>
      <c r="FX805"/>
      <c r="FY805"/>
      <c r="FZ805"/>
      <c r="GA805"/>
      <c r="GB805"/>
      <c r="GC805"/>
      <c r="GD805"/>
      <c r="GE805"/>
      <c r="GF805"/>
      <c r="GG805"/>
      <c r="GH805"/>
      <c r="GI805"/>
      <c r="GJ805"/>
      <c r="GK805"/>
      <c r="GL805"/>
      <c r="GM805"/>
      <c r="GN805"/>
      <c r="GO805"/>
      <c r="GP805"/>
      <c r="GQ805"/>
      <c r="GR805"/>
      <c r="GS805"/>
      <c r="GT805"/>
      <c r="GU805"/>
      <c r="GV805"/>
      <c r="GW805"/>
      <c r="GX805"/>
      <c r="GY805"/>
      <c r="GZ805"/>
      <c r="HA805"/>
      <c r="HB805"/>
      <c r="HC805"/>
      <c r="HD805"/>
      <c r="HE805"/>
      <c r="HF805"/>
      <c r="HG805"/>
      <c r="HH805"/>
      <c r="HI805"/>
      <c r="HJ805"/>
      <c r="HK805"/>
      <c r="HL805"/>
      <c r="HM805"/>
      <c r="HN805"/>
      <c r="HO805"/>
      <c r="HP805"/>
      <c r="HQ805"/>
      <c r="HR805"/>
      <c r="HS805"/>
      <c r="HT805"/>
      <c r="HU805"/>
      <c r="HV805"/>
      <c r="HW805"/>
      <c r="HX805"/>
      <c r="HY805"/>
      <c r="HZ805"/>
      <c r="IA805"/>
      <c r="IB805"/>
      <c r="IC805"/>
      <c r="ID805"/>
      <c r="IE805"/>
      <c r="IF805"/>
      <c r="IG805"/>
      <c r="IH805"/>
      <c r="II805"/>
      <c r="IJ805"/>
      <c r="IK805"/>
      <c r="IL805"/>
      <c r="IM805"/>
      <c r="IN805"/>
      <c r="IO805"/>
      <c r="IP805"/>
      <c r="IQ805"/>
      <c r="IR805"/>
      <c r="IS805"/>
      <c r="IT805"/>
      <c r="IU805"/>
      <c r="IV805"/>
      <c r="IW805"/>
      <c r="IX805"/>
      <c r="IY805"/>
      <c r="IZ805"/>
      <c r="JA805"/>
      <c r="JB805"/>
      <c r="JC805"/>
      <c r="JD805"/>
      <c r="JE805"/>
      <c r="JF805"/>
      <c r="JG805"/>
      <c r="JH805"/>
      <c r="JI805"/>
      <c r="JJ805"/>
      <c r="JK805"/>
      <c r="JL805"/>
      <c r="JM805"/>
      <c r="JN805"/>
      <c r="JO805"/>
      <c r="JP805"/>
      <c r="JQ805"/>
      <c r="JR805"/>
      <c r="JS805"/>
      <c r="JT805"/>
      <c r="JU805"/>
      <c r="JV805"/>
      <c r="JW805"/>
      <c r="JX805"/>
      <c r="JY805"/>
      <c r="JZ805"/>
      <c r="KA805"/>
      <c r="KB805"/>
      <c r="KC805"/>
      <c r="KD805"/>
      <c r="KE805"/>
      <c r="KF805"/>
      <c r="KG805"/>
      <c r="KH805"/>
      <c r="KI805"/>
      <c r="KJ805"/>
      <c r="KK805"/>
      <c r="KL805"/>
      <c r="KM805"/>
      <c r="KN805"/>
      <c r="KO805"/>
      <c r="KP805"/>
      <c r="KQ805"/>
      <c r="KR805"/>
      <c r="KS805"/>
      <c r="KT805"/>
      <c r="KU805"/>
      <c r="KV805"/>
      <c r="KW805"/>
      <c r="KX805"/>
      <c r="KY805"/>
      <c r="KZ805"/>
      <c r="LA805"/>
      <c r="LB805"/>
      <c r="LC805"/>
      <c r="LD805"/>
      <c r="LE805"/>
      <c r="LF805"/>
      <c r="LG805"/>
      <c r="LH805"/>
      <c r="LI805"/>
      <c r="LJ805"/>
      <c r="LK805"/>
      <c r="LL805"/>
      <c r="LM805"/>
      <c r="LN805"/>
      <c r="LO805"/>
      <c r="LP805"/>
      <c r="LQ805"/>
      <c r="LR805"/>
      <c r="LS805"/>
      <c r="LT805"/>
      <c r="LU805"/>
      <c r="LV805"/>
      <c r="LW805"/>
      <c r="LX805"/>
      <c r="LY805"/>
      <c r="LZ805"/>
      <c r="MA805"/>
      <c r="MB805"/>
      <c r="MC805"/>
      <c r="MD805"/>
      <c r="ME805"/>
      <c r="MF805"/>
      <c r="MG805"/>
      <c r="MH805"/>
      <c r="MI805"/>
      <c r="MJ805"/>
      <c r="MK805"/>
      <c r="ML805"/>
      <c r="MM805"/>
      <c r="MN805"/>
      <c r="MO805"/>
      <c r="MP805"/>
      <c r="MQ805"/>
      <c r="MR805"/>
      <c r="MS805"/>
      <c r="MT805"/>
      <c r="MU805"/>
      <c r="MV805"/>
      <c r="MW805"/>
      <c r="MX805"/>
      <c r="MY805"/>
      <c r="MZ805"/>
      <c r="NA805"/>
      <c r="NB805"/>
      <c r="NC805"/>
      <c r="ND805"/>
      <c r="NE805"/>
      <c r="NF805"/>
      <c r="NG805"/>
      <c r="NH805"/>
      <c r="NI805"/>
      <c r="NJ805"/>
      <c r="NK805"/>
      <c r="NL805"/>
      <c r="NM805"/>
      <c r="NN805"/>
      <c r="NO805"/>
      <c r="NP805"/>
      <c r="NQ805"/>
      <c r="NR805"/>
      <c r="NS805"/>
      <c r="NT805"/>
      <c r="NU805"/>
      <c r="NV805"/>
      <c r="NW805"/>
      <c r="NX805"/>
      <c r="NY805"/>
      <c r="NZ805"/>
      <c r="OA805"/>
      <c r="OB805"/>
      <c r="OC805"/>
      <c r="OD805"/>
      <c r="OE805"/>
      <c r="OF805"/>
      <c r="OG805"/>
      <c r="OH805"/>
      <c r="OI805"/>
      <c r="OJ805"/>
      <c r="OK805"/>
      <c r="OL805"/>
      <c r="OM805"/>
      <c r="ON805"/>
      <c r="OO805"/>
      <c r="OP805"/>
      <c r="OQ805"/>
      <c r="OR805"/>
      <c r="OS805"/>
      <c r="OT805"/>
      <c r="OU805"/>
      <c r="OV805"/>
      <c r="OW805"/>
      <c r="OX805"/>
      <c r="OY805"/>
      <c r="OZ805"/>
      <c r="PA805"/>
      <c r="PB805"/>
      <c r="PC805"/>
      <c r="PD805"/>
      <c r="PE805"/>
      <c r="PF805"/>
      <c r="PG805"/>
      <c r="PH805"/>
      <c r="PI805"/>
      <c r="PJ805"/>
      <c r="PK805"/>
      <c r="PL805"/>
      <c r="PM805"/>
      <c r="PN805"/>
      <c r="PO805"/>
      <c r="PP805"/>
      <c r="PQ805"/>
      <c r="PR805"/>
      <c r="PS805"/>
      <c r="PT805"/>
      <c r="PU805"/>
      <c r="PV805"/>
      <c r="PW805"/>
      <c r="PX805"/>
      <c r="PY805"/>
      <c r="PZ805"/>
      <c r="QA805"/>
      <c r="QB805"/>
      <c r="QC805"/>
      <c r="QD805"/>
      <c r="QE805"/>
      <c r="QF805"/>
      <c r="QG805"/>
      <c r="QH805"/>
      <c r="QI805"/>
      <c r="QJ805"/>
      <c r="QK805"/>
      <c r="QL805"/>
      <c r="QM805"/>
      <c r="QN805"/>
      <c r="QO805"/>
      <c r="QP805"/>
      <c r="QQ805"/>
      <c r="QR805"/>
      <c r="QS805"/>
      <c r="QT805"/>
      <c r="QU805"/>
      <c r="QV805"/>
      <c r="QW805"/>
      <c r="QX805"/>
      <c r="QY805"/>
      <c r="QZ805"/>
      <c r="RA805"/>
      <c r="RB805"/>
      <c r="RC805"/>
      <c r="RD805"/>
      <c r="RE805"/>
      <c r="RF805"/>
      <c r="RG805"/>
      <c r="RH805"/>
      <c r="RI805"/>
      <c r="RJ805"/>
      <c r="RK805"/>
      <c r="RL805"/>
      <c r="RM805"/>
      <c r="RN805"/>
      <c r="RO805"/>
      <c r="RP805"/>
      <c r="RQ805"/>
      <c r="RR805"/>
      <c r="RS805"/>
      <c r="RT805"/>
      <c r="RU805"/>
      <c r="RV805"/>
      <c r="RW805"/>
      <c r="RX805"/>
      <c r="RY805"/>
      <c r="RZ805"/>
      <c r="SA805"/>
      <c r="SB805"/>
      <c r="SC805"/>
      <c r="SD805"/>
      <c r="SE805"/>
      <c r="SF805"/>
      <c r="SG805"/>
      <c r="SH805"/>
      <c r="SI805"/>
      <c r="SJ805"/>
      <c r="SK805"/>
      <c r="SL805"/>
      <c r="SM805"/>
      <c r="SN805"/>
      <c r="SO805"/>
      <c r="SP805"/>
      <c r="SQ805"/>
      <c r="SR805"/>
      <c r="SS805"/>
      <c r="ST805"/>
      <c r="SU805"/>
      <c r="SV805"/>
      <c r="SW805"/>
      <c r="SX805"/>
      <c r="SY805"/>
      <c r="SZ805"/>
      <c r="TA805"/>
      <c r="TB805"/>
      <c r="TC805"/>
      <c r="TD805"/>
      <c r="TE805"/>
      <c r="TF805"/>
      <c r="TG805"/>
      <c r="TH805"/>
      <c r="TI805"/>
      <c r="TJ805"/>
      <c r="TK805"/>
      <c r="TL805"/>
      <c r="TM805"/>
      <c r="TN805"/>
      <c r="TO805"/>
      <c r="TP805"/>
      <c r="TQ805"/>
      <c r="TR805"/>
      <c r="TS805"/>
      <c r="TT805"/>
      <c r="TU805"/>
      <c r="TV805"/>
      <c r="TW805"/>
      <c r="TX805"/>
      <c r="TY805"/>
      <c r="TZ805"/>
      <c r="UA805"/>
      <c r="UB805"/>
      <c r="UC805"/>
      <c r="UD805"/>
      <c r="UE805"/>
      <c r="UF805"/>
      <c r="UG805"/>
      <c r="UH805"/>
      <c r="UI805"/>
      <c r="UJ805"/>
      <c r="UK805"/>
      <c r="UL805"/>
      <c r="UM805"/>
      <c r="UN805"/>
      <c r="UO805"/>
      <c r="UP805"/>
      <c r="UQ805"/>
      <c r="UR805"/>
      <c r="US805"/>
      <c r="UT805"/>
      <c r="UU805"/>
      <c r="UV805"/>
      <c r="UW805"/>
      <c r="UX805"/>
      <c r="UY805"/>
      <c r="UZ805"/>
      <c r="VA805"/>
      <c r="VB805"/>
      <c r="VC805"/>
      <c r="VD805"/>
      <c r="VE805"/>
      <c r="VF805"/>
      <c r="VG805"/>
      <c r="VH805"/>
      <c r="VI805"/>
      <c r="VJ805"/>
      <c r="VK805"/>
      <c r="VL805"/>
      <c r="VM805"/>
      <c r="VN805"/>
      <c r="VO805"/>
      <c r="VP805"/>
      <c r="VQ805"/>
      <c r="VR805"/>
      <c r="VS805"/>
      <c r="VT805"/>
      <c r="VU805"/>
      <c r="VV805"/>
      <c r="VW805"/>
      <c r="VX805"/>
      <c r="VY805"/>
      <c r="VZ805"/>
      <c r="WA805"/>
      <c r="WB805"/>
      <c r="WC805"/>
      <c r="WD805"/>
      <c r="WE805"/>
      <c r="WF805"/>
      <c r="WG805"/>
      <c r="WH805"/>
      <c r="WI805"/>
      <c r="WJ805"/>
      <c r="WK805"/>
      <c r="WL805"/>
      <c r="WM805"/>
      <c r="WN805"/>
      <c r="WO805"/>
      <c r="WP805"/>
      <c r="WQ805"/>
      <c r="WR805"/>
      <c r="WS805"/>
      <c r="WT805"/>
      <c r="WU805"/>
      <c r="WV805"/>
      <c r="WW805"/>
      <c r="WX805"/>
      <c r="WY805"/>
      <c r="WZ805"/>
      <c r="XA805"/>
      <c r="XB805"/>
      <c r="XC805"/>
      <c r="XD805"/>
      <c r="XE805"/>
      <c r="XF805"/>
      <c r="XG805"/>
      <c r="XH805"/>
      <c r="XI805"/>
      <c r="XJ805"/>
      <c r="XK805"/>
      <c r="XL805"/>
      <c r="XM805"/>
      <c r="XN805"/>
      <c r="XO805"/>
      <c r="XP805"/>
      <c r="XQ805"/>
      <c r="XR805"/>
      <c r="XS805"/>
      <c r="XT805"/>
      <c r="XU805"/>
      <c r="XV805"/>
      <c r="XW805"/>
      <c r="XX805"/>
      <c r="XY805"/>
      <c r="XZ805"/>
      <c r="YA805"/>
      <c r="YB805"/>
      <c r="YC805"/>
      <c r="YD805"/>
      <c r="YE805"/>
      <c r="YF805"/>
      <c r="YG805"/>
      <c r="YH805"/>
      <c r="YI805"/>
      <c r="YJ805"/>
      <c r="YK805"/>
      <c r="YL805"/>
      <c r="YM805"/>
      <c r="YN805"/>
      <c r="YO805"/>
      <c r="YP805"/>
      <c r="YQ805"/>
      <c r="YR805"/>
      <c r="YS805"/>
      <c r="YT805"/>
      <c r="YU805"/>
      <c r="YV805"/>
      <c r="YW805"/>
      <c r="YX805"/>
      <c r="YY805"/>
      <c r="YZ805"/>
      <c r="ZA805"/>
      <c r="ZB805"/>
      <c r="ZC805"/>
      <c r="ZD805"/>
      <c r="ZE805"/>
      <c r="ZF805"/>
      <c r="ZG805"/>
      <c r="ZH805"/>
      <c r="ZI805"/>
      <c r="ZJ805"/>
      <c r="ZK805"/>
      <c r="ZL805"/>
      <c r="ZM805"/>
      <c r="ZN805"/>
      <c r="ZO805"/>
      <c r="ZP805"/>
      <c r="ZQ805"/>
      <c r="ZR805"/>
      <c r="ZS805"/>
      <c r="ZT805"/>
      <c r="ZU805"/>
      <c r="ZV805"/>
      <c r="ZW805"/>
      <c r="ZX805"/>
      <c r="ZY805"/>
      <c r="ZZ805"/>
      <c r="AAA805"/>
      <c r="AAB805"/>
      <c r="AAC805"/>
      <c r="AAD805"/>
      <c r="AAE805"/>
      <c r="AAF805"/>
      <c r="AAG805"/>
      <c r="AAH805"/>
      <c r="AAI805"/>
      <c r="AAJ805"/>
      <c r="AAK805"/>
      <c r="AAL805"/>
      <c r="AAM805"/>
      <c r="AAN805"/>
      <c r="AAO805"/>
      <c r="AAP805"/>
      <c r="AAQ805"/>
      <c r="AAR805"/>
      <c r="AAS805"/>
      <c r="AAT805"/>
      <c r="AAU805"/>
      <c r="AAV805"/>
      <c r="AAW805"/>
      <c r="AAX805"/>
      <c r="AAY805"/>
      <c r="AAZ805"/>
      <c r="ABA805"/>
      <c r="ABB805"/>
      <c r="ABC805"/>
      <c r="ABD805"/>
      <c r="ABE805"/>
      <c r="ABF805"/>
      <c r="ABG805"/>
      <c r="ABH805"/>
      <c r="ABI805"/>
      <c r="ABJ805"/>
      <c r="ABK805"/>
      <c r="ABL805"/>
      <c r="ABM805"/>
      <c r="ABN805"/>
      <c r="ABO805"/>
      <c r="ABP805"/>
      <c r="ABQ805"/>
      <c r="ABR805"/>
      <c r="ABS805"/>
      <c r="ABT805"/>
      <c r="ABU805"/>
      <c r="ABV805"/>
      <c r="ABW805"/>
      <c r="ABX805"/>
      <c r="ABY805"/>
      <c r="ABZ805"/>
      <c r="ACA805"/>
      <c r="ACB805"/>
      <c r="ACC805"/>
      <c r="ACD805"/>
      <c r="ACE805"/>
      <c r="ACF805"/>
      <c r="ACG805"/>
      <c r="ACH805"/>
      <c r="ACI805"/>
      <c r="ACJ805"/>
      <c r="ACK805"/>
      <c r="ACL805"/>
      <c r="ACM805"/>
      <c r="ACN805"/>
      <c r="ACO805"/>
      <c r="ACP805"/>
      <c r="ACQ805"/>
      <c r="ACR805"/>
      <c r="ACS805"/>
      <c r="ACT805"/>
      <c r="ACU805"/>
      <c r="ACV805"/>
      <c r="ACW805"/>
      <c r="ACX805"/>
      <c r="ACY805"/>
      <c r="ACZ805"/>
      <c r="ADA805"/>
      <c r="ADB805"/>
      <c r="ADC805"/>
      <c r="ADD805"/>
      <c r="ADE805"/>
      <c r="ADF805"/>
      <c r="ADG805"/>
      <c r="ADH805"/>
      <c r="ADI805"/>
      <c r="ADJ805"/>
      <c r="ADK805"/>
      <c r="ADL805"/>
      <c r="ADM805"/>
      <c r="ADN805"/>
      <c r="ADO805"/>
      <c r="ADP805"/>
      <c r="ADQ805"/>
      <c r="ADR805"/>
      <c r="ADS805"/>
      <c r="ADT805"/>
      <c r="ADU805"/>
      <c r="ADV805"/>
      <c r="ADW805"/>
      <c r="ADX805"/>
      <c r="ADY805"/>
      <c r="ADZ805"/>
      <c r="AEA805"/>
      <c r="AEB805"/>
      <c r="AEC805"/>
      <c r="AED805"/>
      <c r="AEE805"/>
      <c r="AEF805"/>
      <c r="AEG805"/>
      <c r="AEH805"/>
      <c r="AEI805"/>
      <c r="AEJ805"/>
      <c r="AEK805"/>
      <c r="AEL805"/>
      <c r="AEM805"/>
      <c r="AEN805"/>
      <c r="AEO805"/>
      <c r="AEP805"/>
      <c r="AEQ805"/>
      <c r="AER805"/>
      <c r="AES805"/>
      <c r="AET805"/>
      <c r="AEU805"/>
      <c r="AEV805"/>
      <c r="AEW805"/>
      <c r="AEX805"/>
      <c r="AEY805"/>
      <c r="AEZ805"/>
      <c r="AFA805"/>
      <c r="AFB805"/>
      <c r="AFC805"/>
      <c r="AFD805"/>
      <c r="AFE805"/>
      <c r="AFF805"/>
      <c r="AFG805"/>
      <c r="AFH805"/>
      <c r="AFI805"/>
      <c r="AFJ805"/>
      <c r="AFK805"/>
      <c r="AFL805"/>
      <c r="AFM805"/>
      <c r="AFN805"/>
      <c r="AFO805"/>
      <c r="AFP805"/>
      <c r="AFQ805"/>
      <c r="AFR805"/>
      <c r="AFS805"/>
      <c r="AFT805"/>
      <c r="AFU805"/>
      <c r="AFV805"/>
      <c r="AFW805"/>
      <c r="AFX805"/>
      <c r="AFY805"/>
      <c r="AFZ805"/>
      <c r="AGA805"/>
      <c r="AGB805"/>
      <c r="AGC805"/>
      <c r="AGD805"/>
      <c r="AGE805"/>
      <c r="AGF805"/>
      <c r="AGG805"/>
      <c r="AGH805"/>
      <c r="AGI805"/>
      <c r="AGJ805"/>
      <c r="AGK805"/>
      <c r="AGL805"/>
      <c r="AGM805"/>
      <c r="AGN805"/>
      <c r="AGO805"/>
      <c r="AGP805"/>
      <c r="AGQ805"/>
      <c r="AGR805"/>
      <c r="AGS805"/>
      <c r="AGT805"/>
      <c r="AGU805"/>
      <c r="AGV805"/>
      <c r="AGW805"/>
      <c r="AGX805"/>
      <c r="AGY805"/>
      <c r="AGZ805"/>
      <c r="AHA805"/>
      <c r="AHB805"/>
      <c r="AHC805"/>
      <c r="AHD805"/>
      <c r="AHE805"/>
      <c r="AHF805"/>
      <c r="AHG805"/>
      <c r="AHH805"/>
      <c r="AHI805"/>
      <c r="AHJ805"/>
      <c r="AHK805"/>
      <c r="AHL805"/>
      <c r="AHM805"/>
      <c r="AHN805"/>
      <c r="AHO805"/>
      <c r="AHP805"/>
      <c r="AHQ805"/>
      <c r="AHR805"/>
      <c r="AHS805"/>
      <c r="AHT805"/>
      <c r="AHU805"/>
      <c r="AHV805"/>
      <c r="AHW805"/>
      <c r="AHX805"/>
      <c r="AHY805"/>
      <c r="AHZ805"/>
      <c r="AIA805"/>
      <c r="AIB805"/>
      <c r="AIC805"/>
      <c r="AID805"/>
      <c r="AIE805"/>
      <c r="AIF805"/>
      <c r="AIG805"/>
      <c r="AIH805"/>
      <c r="AII805"/>
      <c r="AIJ805"/>
      <c r="AIK805"/>
      <c r="AIL805"/>
      <c r="AIM805"/>
      <c r="AIN805"/>
      <c r="AIO805"/>
      <c r="AIP805"/>
      <c r="AIQ805"/>
      <c r="AIR805"/>
      <c r="AIS805"/>
      <c r="AIT805"/>
      <c r="AIU805"/>
      <c r="AIV805"/>
      <c r="AIW805"/>
      <c r="AIX805"/>
      <c r="AIY805"/>
      <c r="AIZ805"/>
      <c r="AJA805"/>
      <c r="AJB805"/>
      <c r="AJC805"/>
      <c r="AJD805"/>
      <c r="AJE805"/>
      <c r="AJF805"/>
      <c r="AJG805"/>
      <c r="AJH805"/>
      <c r="AJI805"/>
      <c r="AJJ805"/>
      <c r="AJK805"/>
      <c r="AJL805"/>
      <c r="AJM805"/>
      <c r="AJN805"/>
      <c r="AJO805"/>
      <c r="AJP805"/>
      <c r="AJQ805"/>
      <c r="AJR805"/>
      <c r="AJS805"/>
      <c r="AJT805"/>
      <c r="AJU805"/>
      <c r="AJV805"/>
      <c r="AJW805"/>
      <c r="AJX805"/>
      <c r="AJY805"/>
      <c r="AJZ805"/>
      <c r="AKA805"/>
      <c r="AKB805"/>
      <c r="AKC805"/>
      <c r="AKD805"/>
      <c r="AKE805"/>
      <c r="AKF805"/>
      <c r="AKG805"/>
      <c r="AKH805"/>
      <c r="AKI805"/>
      <c r="AKJ805"/>
      <c r="AKK805"/>
      <c r="AKL805"/>
      <c r="AKM805"/>
      <c r="AKN805"/>
      <c r="AKO805"/>
      <c r="AKP805"/>
      <c r="AKQ805"/>
      <c r="AKR805"/>
      <c r="AKS805"/>
      <c r="AKT805"/>
      <c r="AKU805"/>
      <c r="AKV805"/>
      <c r="AKW805"/>
      <c r="AKX805"/>
      <c r="AKY805"/>
      <c r="AKZ805"/>
      <c r="ALA805"/>
      <c r="ALB805"/>
      <c r="ALC805"/>
      <c r="ALD805"/>
      <c r="ALE805"/>
      <c r="ALF805"/>
      <c r="ALG805"/>
      <c r="ALH805"/>
      <c r="ALI805"/>
      <c r="ALJ805"/>
      <c r="ALK805"/>
      <c r="ALL805"/>
      <c r="ALM805"/>
      <c r="ALN805"/>
      <c r="ALO805"/>
      <c r="ALP805"/>
      <c r="ALQ805"/>
      <c r="ALR805"/>
      <c r="ALS805"/>
      <c r="ALT805"/>
      <c r="ALU805"/>
      <c r="ALV805"/>
      <c r="ALW805"/>
      <c r="ALX805"/>
      <c r="ALY805"/>
      <c r="ALZ805"/>
      <c r="AMA805"/>
      <c r="AMB805"/>
      <c r="AMC805"/>
      <c r="AMD805"/>
      <c r="AME805"/>
      <c r="AMF805"/>
      <c r="AMG805"/>
      <c r="AMH805"/>
    </row>
    <row r="806" spans="1:1022" x14ac:dyDescent="0.15">
      <c r="A806" s="8" t="s">
        <v>2981</v>
      </c>
      <c r="B806" s="8" t="s">
        <v>2976</v>
      </c>
      <c r="C806" s="8" t="str">
        <f t="shared" si="18"/>
        <v>att_ptm_enrichment:metal</v>
      </c>
      <c r="D806" s="9" t="s">
        <v>17</v>
      </c>
      <c r="E806" s="8" t="s">
        <v>2982</v>
      </c>
      <c r="F806" s="8" t="s">
        <v>2983</v>
      </c>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c r="BF806"/>
      <c r="BG806"/>
      <c r="BH806"/>
      <c r="BI806"/>
      <c r="BJ806"/>
      <c r="BK806"/>
      <c r="BL806"/>
      <c r="BM806"/>
      <c r="BN806"/>
      <c r="BO806"/>
      <c r="BP806"/>
      <c r="BQ806"/>
      <c r="BR806"/>
      <c r="BS806"/>
      <c r="BT806"/>
      <c r="BU806"/>
      <c r="BV806"/>
      <c r="BW806"/>
      <c r="BX806"/>
      <c r="BY806"/>
      <c r="BZ806"/>
      <c r="CA806"/>
      <c r="CB806"/>
      <c r="CC806"/>
      <c r="CD806"/>
      <c r="CE806"/>
      <c r="CF806"/>
      <c r="CG806"/>
      <c r="CH806"/>
      <c r="CI806"/>
      <c r="CJ806"/>
      <c r="CK806"/>
      <c r="CL806"/>
      <c r="CM806"/>
      <c r="CN806"/>
      <c r="CO806"/>
      <c r="CP806"/>
      <c r="CQ806"/>
      <c r="CR806"/>
      <c r="CS806"/>
      <c r="CT806"/>
      <c r="CU806"/>
      <c r="CV806"/>
      <c r="CW806"/>
      <c r="CX806"/>
      <c r="CY806"/>
      <c r="CZ806"/>
      <c r="DA806"/>
      <c r="DB806"/>
      <c r="DC806"/>
      <c r="DD806"/>
      <c r="DE806"/>
      <c r="DF806"/>
      <c r="DG806"/>
      <c r="DH806"/>
      <c r="DI806"/>
      <c r="DJ806"/>
      <c r="DK806"/>
      <c r="DL806"/>
      <c r="DM806"/>
      <c r="DN806"/>
      <c r="DO806"/>
      <c r="DP806"/>
      <c r="DQ806"/>
      <c r="DR806"/>
      <c r="DS806"/>
      <c r="DT806"/>
      <c r="DU806"/>
      <c r="DV806"/>
      <c r="DW806"/>
      <c r="DX806"/>
      <c r="DY806"/>
      <c r="DZ806"/>
      <c r="EA806"/>
      <c r="EB806"/>
      <c r="EC806"/>
      <c r="ED806"/>
      <c r="EE806"/>
      <c r="EF806"/>
      <c r="EG806"/>
      <c r="EH806"/>
      <c r="EI806"/>
      <c r="EJ806"/>
      <c r="EK806"/>
      <c r="EL806"/>
      <c r="EM806"/>
      <c r="EN806"/>
      <c r="EO806"/>
      <c r="EP806"/>
      <c r="EQ806"/>
      <c r="ER806"/>
      <c r="ES806"/>
      <c r="ET806"/>
      <c r="EU806"/>
      <c r="EV806"/>
      <c r="EW806"/>
      <c r="EX806"/>
      <c r="EY806"/>
      <c r="EZ806"/>
      <c r="FA806"/>
      <c r="FB806"/>
      <c r="FC806"/>
      <c r="FD806"/>
      <c r="FE806"/>
      <c r="FF806"/>
      <c r="FG806"/>
      <c r="FH806"/>
      <c r="FI806"/>
      <c r="FJ806"/>
      <c r="FK806"/>
      <c r="FL806"/>
      <c r="FM806"/>
      <c r="FN806"/>
      <c r="FO806"/>
      <c r="FP806"/>
      <c r="FQ806"/>
      <c r="FR806"/>
      <c r="FS806"/>
      <c r="FT806"/>
      <c r="FU806"/>
      <c r="FV806"/>
      <c r="FW806"/>
      <c r="FX806"/>
      <c r="FY806"/>
      <c r="FZ806"/>
      <c r="GA806"/>
      <c r="GB806"/>
      <c r="GC806"/>
      <c r="GD806"/>
      <c r="GE806"/>
      <c r="GF806"/>
      <c r="GG806"/>
      <c r="GH806"/>
      <c r="GI806"/>
      <c r="GJ806"/>
      <c r="GK806"/>
      <c r="GL806"/>
      <c r="GM806"/>
      <c r="GN806"/>
      <c r="GO806"/>
      <c r="GP806"/>
      <c r="GQ806"/>
      <c r="GR806"/>
      <c r="GS806"/>
      <c r="GT806"/>
      <c r="GU806"/>
      <c r="GV806"/>
      <c r="GW806"/>
      <c r="GX806"/>
      <c r="GY806"/>
      <c r="GZ806"/>
      <c r="HA806"/>
      <c r="HB806"/>
      <c r="HC806"/>
      <c r="HD806"/>
      <c r="HE806"/>
      <c r="HF806"/>
      <c r="HG806"/>
      <c r="HH806"/>
      <c r="HI806"/>
      <c r="HJ806"/>
      <c r="HK806"/>
      <c r="HL806"/>
      <c r="HM806"/>
      <c r="HN806"/>
      <c r="HO806"/>
      <c r="HP806"/>
      <c r="HQ806"/>
      <c r="HR806"/>
      <c r="HS806"/>
      <c r="HT806"/>
      <c r="HU806"/>
      <c r="HV806"/>
      <c r="HW806"/>
      <c r="HX806"/>
      <c r="HY806"/>
      <c r="HZ806"/>
      <c r="IA806"/>
      <c r="IB806"/>
      <c r="IC806"/>
      <c r="ID806"/>
      <c r="IE806"/>
      <c r="IF806"/>
      <c r="IG806"/>
      <c r="IH806"/>
      <c r="II806"/>
      <c r="IJ806"/>
      <c r="IK806"/>
      <c r="IL806"/>
      <c r="IM806"/>
      <c r="IN806"/>
      <c r="IO806"/>
      <c r="IP806"/>
      <c r="IQ806"/>
      <c r="IR806"/>
      <c r="IS806"/>
      <c r="IT806"/>
      <c r="IU806"/>
      <c r="IV806"/>
      <c r="IW806"/>
      <c r="IX806"/>
      <c r="IY806"/>
      <c r="IZ806"/>
      <c r="JA806"/>
      <c r="JB806"/>
      <c r="JC806"/>
      <c r="JD806"/>
      <c r="JE806"/>
      <c r="JF806"/>
      <c r="JG806"/>
      <c r="JH806"/>
      <c r="JI806"/>
      <c r="JJ806"/>
      <c r="JK806"/>
      <c r="JL806"/>
      <c r="JM806"/>
      <c r="JN806"/>
      <c r="JO806"/>
      <c r="JP806"/>
      <c r="JQ806"/>
      <c r="JR806"/>
      <c r="JS806"/>
      <c r="JT806"/>
      <c r="JU806"/>
      <c r="JV806"/>
      <c r="JW806"/>
      <c r="JX806"/>
      <c r="JY806"/>
      <c r="JZ806"/>
      <c r="KA806"/>
      <c r="KB806"/>
      <c r="KC806"/>
      <c r="KD806"/>
      <c r="KE806"/>
      <c r="KF806"/>
      <c r="KG806"/>
      <c r="KH806"/>
      <c r="KI806"/>
      <c r="KJ806"/>
      <c r="KK806"/>
      <c r="KL806"/>
      <c r="KM806"/>
      <c r="KN806"/>
      <c r="KO806"/>
      <c r="KP806"/>
      <c r="KQ806"/>
      <c r="KR806"/>
      <c r="KS806"/>
      <c r="KT806"/>
      <c r="KU806"/>
      <c r="KV806"/>
      <c r="KW806"/>
      <c r="KX806"/>
      <c r="KY806"/>
      <c r="KZ806"/>
      <c r="LA806"/>
      <c r="LB806"/>
      <c r="LC806"/>
      <c r="LD806"/>
      <c r="LE806"/>
      <c r="LF806"/>
      <c r="LG806"/>
      <c r="LH806"/>
      <c r="LI806"/>
      <c r="LJ806"/>
      <c r="LK806"/>
      <c r="LL806"/>
      <c r="LM806"/>
      <c r="LN806"/>
      <c r="LO806"/>
      <c r="LP806"/>
      <c r="LQ806"/>
      <c r="LR806"/>
      <c r="LS806"/>
      <c r="LT806"/>
      <c r="LU806"/>
      <c r="LV806"/>
      <c r="LW806"/>
      <c r="LX806"/>
      <c r="LY806"/>
      <c r="LZ806"/>
      <c r="MA806"/>
      <c r="MB806"/>
      <c r="MC806"/>
      <c r="MD806"/>
      <c r="ME806"/>
      <c r="MF806"/>
      <c r="MG806"/>
      <c r="MH806"/>
      <c r="MI806"/>
      <c r="MJ806"/>
      <c r="MK806"/>
      <c r="ML806"/>
      <c r="MM806"/>
      <c r="MN806"/>
      <c r="MO806"/>
      <c r="MP806"/>
      <c r="MQ806"/>
      <c r="MR806"/>
      <c r="MS806"/>
      <c r="MT806"/>
      <c r="MU806"/>
      <c r="MV806"/>
      <c r="MW806"/>
      <c r="MX806"/>
      <c r="MY806"/>
      <c r="MZ806"/>
      <c r="NA806"/>
      <c r="NB806"/>
      <c r="NC806"/>
      <c r="ND806"/>
      <c r="NE806"/>
      <c r="NF806"/>
      <c r="NG806"/>
      <c r="NH806"/>
      <c r="NI806"/>
      <c r="NJ806"/>
      <c r="NK806"/>
      <c r="NL806"/>
      <c r="NM806"/>
      <c r="NN806"/>
      <c r="NO806"/>
      <c r="NP806"/>
      <c r="NQ806"/>
      <c r="NR806"/>
      <c r="NS806"/>
      <c r="NT806"/>
      <c r="NU806"/>
      <c r="NV806"/>
      <c r="NW806"/>
      <c r="NX806"/>
      <c r="NY806"/>
      <c r="NZ806"/>
      <c r="OA806"/>
      <c r="OB806"/>
      <c r="OC806"/>
      <c r="OD806"/>
      <c r="OE806"/>
      <c r="OF806"/>
      <c r="OG806"/>
      <c r="OH806"/>
      <c r="OI806"/>
      <c r="OJ806"/>
      <c r="OK806"/>
      <c r="OL806"/>
      <c r="OM806"/>
      <c r="ON806"/>
      <c r="OO806"/>
      <c r="OP806"/>
      <c r="OQ806"/>
      <c r="OR806"/>
      <c r="OS806"/>
      <c r="OT806"/>
      <c r="OU806"/>
      <c r="OV806"/>
      <c r="OW806"/>
      <c r="OX806"/>
      <c r="OY806"/>
      <c r="OZ806"/>
      <c r="PA806"/>
      <c r="PB806"/>
      <c r="PC806"/>
      <c r="PD806"/>
      <c r="PE806"/>
      <c r="PF806"/>
      <c r="PG806"/>
      <c r="PH806"/>
      <c r="PI806"/>
      <c r="PJ806"/>
      <c r="PK806"/>
      <c r="PL806"/>
      <c r="PM806"/>
      <c r="PN806"/>
      <c r="PO806"/>
      <c r="PP806"/>
      <c r="PQ806"/>
      <c r="PR806"/>
      <c r="PS806"/>
      <c r="PT806"/>
      <c r="PU806"/>
      <c r="PV806"/>
      <c r="PW806"/>
      <c r="PX806"/>
      <c r="PY806"/>
      <c r="PZ806"/>
      <c r="QA806"/>
      <c r="QB806"/>
      <c r="QC806"/>
      <c r="QD806"/>
      <c r="QE806"/>
      <c r="QF806"/>
      <c r="QG806"/>
      <c r="QH806"/>
      <c r="QI806"/>
      <c r="QJ806"/>
      <c r="QK806"/>
      <c r="QL806"/>
      <c r="QM806"/>
      <c r="QN806"/>
      <c r="QO806"/>
      <c r="QP806"/>
      <c r="QQ806"/>
      <c r="QR806"/>
      <c r="QS806"/>
      <c r="QT806"/>
      <c r="QU806"/>
      <c r="QV806"/>
      <c r="QW806"/>
      <c r="QX806"/>
      <c r="QY806"/>
      <c r="QZ806"/>
      <c r="RA806"/>
      <c r="RB806"/>
      <c r="RC806"/>
      <c r="RD806"/>
      <c r="RE806"/>
      <c r="RF806"/>
      <c r="RG806"/>
      <c r="RH806"/>
      <c r="RI806"/>
      <c r="RJ806"/>
      <c r="RK806"/>
      <c r="RL806"/>
      <c r="RM806"/>
      <c r="RN806"/>
      <c r="RO806"/>
      <c r="RP806"/>
      <c r="RQ806"/>
      <c r="RR806"/>
      <c r="RS806"/>
      <c r="RT806"/>
      <c r="RU806"/>
      <c r="RV806"/>
      <c r="RW806"/>
      <c r="RX806"/>
      <c r="RY806"/>
      <c r="RZ806"/>
      <c r="SA806"/>
      <c r="SB806"/>
      <c r="SC806"/>
      <c r="SD806"/>
      <c r="SE806"/>
      <c r="SF806"/>
      <c r="SG806"/>
      <c r="SH806"/>
      <c r="SI806"/>
      <c r="SJ806"/>
      <c r="SK806"/>
      <c r="SL806"/>
      <c r="SM806"/>
      <c r="SN806"/>
      <c r="SO806"/>
      <c r="SP806"/>
      <c r="SQ806"/>
      <c r="SR806"/>
      <c r="SS806"/>
      <c r="ST806"/>
      <c r="SU806"/>
      <c r="SV806"/>
      <c r="SW806"/>
      <c r="SX806"/>
      <c r="SY806"/>
      <c r="SZ806"/>
      <c r="TA806"/>
      <c r="TB806"/>
      <c r="TC806"/>
      <c r="TD806"/>
      <c r="TE806"/>
      <c r="TF806"/>
      <c r="TG806"/>
      <c r="TH806"/>
      <c r="TI806"/>
      <c r="TJ806"/>
      <c r="TK806"/>
      <c r="TL806"/>
      <c r="TM806"/>
      <c r="TN806"/>
      <c r="TO806"/>
      <c r="TP806"/>
      <c r="TQ806"/>
      <c r="TR806"/>
      <c r="TS806"/>
      <c r="TT806"/>
      <c r="TU806"/>
      <c r="TV806"/>
      <c r="TW806"/>
      <c r="TX806"/>
      <c r="TY806"/>
      <c r="TZ806"/>
      <c r="UA806"/>
      <c r="UB806"/>
      <c r="UC806"/>
      <c r="UD806"/>
      <c r="UE806"/>
      <c r="UF806"/>
      <c r="UG806"/>
      <c r="UH806"/>
      <c r="UI806"/>
      <c r="UJ806"/>
      <c r="UK806"/>
      <c r="UL806"/>
      <c r="UM806"/>
      <c r="UN806"/>
      <c r="UO806"/>
      <c r="UP806"/>
      <c r="UQ806"/>
      <c r="UR806"/>
      <c r="US806"/>
      <c r="UT806"/>
      <c r="UU806"/>
      <c r="UV806"/>
      <c r="UW806"/>
      <c r="UX806"/>
      <c r="UY806"/>
      <c r="UZ806"/>
      <c r="VA806"/>
      <c r="VB806"/>
      <c r="VC806"/>
      <c r="VD806"/>
      <c r="VE806"/>
      <c r="VF806"/>
      <c r="VG806"/>
      <c r="VH806"/>
      <c r="VI806"/>
      <c r="VJ806"/>
      <c r="VK806"/>
      <c r="VL806"/>
      <c r="VM806"/>
      <c r="VN806"/>
      <c r="VO806"/>
      <c r="VP806"/>
      <c r="VQ806"/>
      <c r="VR806"/>
      <c r="VS806"/>
      <c r="VT806"/>
      <c r="VU806"/>
      <c r="VV806"/>
      <c r="VW806"/>
      <c r="VX806"/>
      <c r="VY806"/>
      <c r="VZ806"/>
      <c r="WA806"/>
      <c r="WB806"/>
      <c r="WC806"/>
      <c r="WD806"/>
      <c r="WE806"/>
      <c r="WF806"/>
      <c r="WG806"/>
      <c r="WH806"/>
      <c r="WI806"/>
      <c r="WJ806"/>
      <c r="WK806"/>
      <c r="WL806"/>
      <c r="WM806"/>
      <c r="WN806"/>
      <c r="WO806"/>
      <c r="WP806"/>
      <c r="WQ806"/>
      <c r="WR806"/>
      <c r="WS806"/>
      <c r="WT806"/>
      <c r="WU806"/>
      <c r="WV806"/>
      <c r="WW806"/>
      <c r="WX806"/>
      <c r="WY806"/>
      <c r="WZ806"/>
      <c r="XA806"/>
      <c r="XB806"/>
      <c r="XC806"/>
      <c r="XD806"/>
      <c r="XE806"/>
      <c r="XF806"/>
      <c r="XG806"/>
      <c r="XH806"/>
      <c r="XI806"/>
      <c r="XJ806"/>
      <c r="XK806"/>
      <c r="XL806"/>
      <c r="XM806"/>
      <c r="XN806"/>
      <c r="XO806"/>
      <c r="XP806"/>
      <c r="XQ806"/>
      <c r="XR806"/>
      <c r="XS806"/>
      <c r="XT806"/>
      <c r="XU806"/>
      <c r="XV806"/>
      <c r="XW806"/>
      <c r="XX806"/>
      <c r="XY806"/>
      <c r="XZ806"/>
      <c r="YA806"/>
      <c r="YB806"/>
      <c r="YC806"/>
      <c r="YD806"/>
      <c r="YE806"/>
      <c r="YF806"/>
      <c r="YG806"/>
      <c r="YH806"/>
      <c r="YI806"/>
      <c r="YJ806"/>
      <c r="YK806"/>
      <c r="YL806"/>
      <c r="YM806"/>
      <c r="YN806"/>
      <c r="YO806"/>
      <c r="YP806"/>
      <c r="YQ806"/>
      <c r="YR806"/>
      <c r="YS806"/>
      <c r="YT806"/>
      <c r="YU806"/>
      <c r="YV806"/>
      <c r="YW806"/>
      <c r="YX806"/>
      <c r="YY806"/>
      <c r="YZ806"/>
      <c r="ZA806"/>
      <c r="ZB806"/>
      <c r="ZC806"/>
      <c r="ZD806"/>
      <c r="ZE806"/>
      <c r="ZF806"/>
      <c r="ZG806"/>
      <c r="ZH806"/>
      <c r="ZI806"/>
      <c r="ZJ806"/>
      <c r="ZK806"/>
      <c r="ZL806"/>
      <c r="ZM806"/>
      <c r="ZN806"/>
      <c r="ZO806"/>
      <c r="ZP806"/>
      <c r="ZQ806"/>
      <c r="ZR806"/>
      <c r="ZS806"/>
      <c r="ZT806"/>
      <c r="ZU806"/>
      <c r="ZV806"/>
      <c r="ZW806"/>
      <c r="ZX806"/>
      <c r="ZY806"/>
      <c r="ZZ806"/>
      <c r="AAA806"/>
      <c r="AAB806"/>
      <c r="AAC806"/>
      <c r="AAD806"/>
      <c r="AAE806"/>
      <c r="AAF806"/>
      <c r="AAG806"/>
      <c r="AAH806"/>
      <c r="AAI806"/>
      <c r="AAJ806"/>
      <c r="AAK806"/>
      <c r="AAL806"/>
      <c r="AAM806"/>
      <c r="AAN806"/>
      <c r="AAO806"/>
      <c r="AAP806"/>
      <c r="AAQ806"/>
      <c r="AAR806"/>
      <c r="AAS806"/>
      <c r="AAT806"/>
      <c r="AAU806"/>
      <c r="AAV806"/>
      <c r="AAW806"/>
      <c r="AAX806"/>
      <c r="AAY806"/>
      <c r="AAZ806"/>
      <c r="ABA806"/>
      <c r="ABB806"/>
      <c r="ABC806"/>
      <c r="ABD806"/>
      <c r="ABE806"/>
      <c r="ABF806"/>
      <c r="ABG806"/>
      <c r="ABH806"/>
      <c r="ABI806"/>
      <c r="ABJ806"/>
      <c r="ABK806"/>
      <c r="ABL806"/>
      <c r="ABM806"/>
      <c r="ABN806"/>
      <c r="ABO806"/>
      <c r="ABP806"/>
      <c r="ABQ806"/>
      <c r="ABR806"/>
      <c r="ABS806"/>
      <c r="ABT806"/>
      <c r="ABU806"/>
      <c r="ABV806"/>
      <c r="ABW806"/>
      <c r="ABX806"/>
      <c r="ABY806"/>
      <c r="ABZ806"/>
      <c r="ACA806"/>
      <c r="ACB806"/>
      <c r="ACC806"/>
      <c r="ACD806"/>
      <c r="ACE806"/>
      <c r="ACF806"/>
      <c r="ACG806"/>
      <c r="ACH806"/>
      <c r="ACI806"/>
      <c r="ACJ806"/>
      <c r="ACK806"/>
      <c r="ACL806"/>
      <c r="ACM806"/>
      <c r="ACN806"/>
      <c r="ACO806"/>
      <c r="ACP806"/>
      <c r="ACQ806"/>
      <c r="ACR806"/>
      <c r="ACS806"/>
      <c r="ACT806"/>
      <c r="ACU806"/>
      <c r="ACV806"/>
      <c r="ACW806"/>
      <c r="ACX806"/>
      <c r="ACY806"/>
      <c r="ACZ806"/>
      <c r="ADA806"/>
      <c r="ADB806"/>
      <c r="ADC806"/>
      <c r="ADD806"/>
      <c r="ADE806"/>
      <c r="ADF806"/>
      <c r="ADG806"/>
      <c r="ADH806"/>
      <c r="ADI806"/>
      <c r="ADJ806"/>
      <c r="ADK806"/>
      <c r="ADL806"/>
      <c r="ADM806"/>
      <c r="ADN806"/>
      <c r="ADO806"/>
      <c r="ADP806"/>
      <c r="ADQ806"/>
      <c r="ADR806"/>
      <c r="ADS806"/>
      <c r="ADT806"/>
      <c r="ADU806"/>
      <c r="ADV806"/>
      <c r="ADW806"/>
      <c r="ADX806"/>
      <c r="ADY806"/>
      <c r="ADZ806"/>
      <c r="AEA806"/>
      <c r="AEB806"/>
      <c r="AEC806"/>
      <c r="AED806"/>
      <c r="AEE806"/>
      <c r="AEF806"/>
      <c r="AEG806"/>
      <c r="AEH806"/>
      <c r="AEI806"/>
      <c r="AEJ806"/>
      <c r="AEK806"/>
      <c r="AEL806"/>
      <c r="AEM806"/>
      <c r="AEN806"/>
      <c r="AEO806"/>
      <c r="AEP806"/>
      <c r="AEQ806"/>
      <c r="AER806"/>
      <c r="AES806"/>
      <c r="AET806"/>
      <c r="AEU806"/>
      <c r="AEV806"/>
      <c r="AEW806"/>
      <c r="AEX806"/>
      <c r="AEY806"/>
      <c r="AEZ806"/>
      <c r="AFA806"/>
      <c r="AFB806"/>
      <c r="AFC806"/>
      <c r="AFD806"/>
      <c r="AFE806"/>
      <c r="AFF806"/>
      <c r="AFG806"/>
      <c r="AFH806"/>
      <c r="AFI806"/>
      <c r="AFJ806"/>
      <c r="AFK806"/>
      <c r="AFL806"/>
      <c r="AFM806"/>
      <c r="AFN806"/>
      <c r="AFO806"/>
      <c r="AFP806"/>
      <c r="AFQ806"/>
      <c r="AFR806"/>
      <c r="AFS806"/>
      <c r="AFT806"/>
      <c r="AFU806"/>
      <c r="AFV806"/>
      <c r="AFW806"/>
      <c r="AFX806"/>
      <c r="AFY806"/>
      <c r="AFZ806"/>
      <c r="AGA806"/>
      <c r="AGB806"/>
      <c r="AGC806"/>
      <c r="AGD806"/>
      <c r="AGE806"/>
      <c r="AGF806"/>
      <c r="AGG806"/>
      <c r="AGH806"/>
      <c r="AGI806"/>
      <c r="AGJ806"/>
      <c r="AGK806"/>
      <c r="AGL806"/>
      <c r="AGM806"/>
      <c r="AGN806"/>
      <c r="AGO806"/>
      <c r="AGP806"/>
      <c r="AGQ806"/>
      <c r="AGR806"/>
      <c r="AGS806"/>
      <c r="AGT806"/>
      <c r="AGU806"/>
      <c r="AGV806"/>
      <c r="AGW806"/>
      <c r="AGX806"/>
      <c r="AGY806"/>
      <c r="AGZ806"/>
      <c r="AHA806"/>
      <c r="AHB806"/>
      <c r="AHC806"/>
      <c r="AHD806"/>
      <c r="AHE806"/>
      <c r="AHF806"/>
      <c r="AHG806"/>
      <c r="AHH806"/>
      <c r="AHI806"/>
      <c r="AHJ806"/>
      <c r="AHK806"/>
      <c r="AHL806"/>
      <c r="AHM806"/>
      <c r="AHN806"/>
      <c r="AHO806"/>
      <c r="AHP806"/>
      <c r="AHQ806"/>
      <c r="AHR806"/>
      <c r="AHS806"/>
      <c r="AHT806"/>
      <c r="AHU806"/>
      <c r="AHV806"/>
      <c r="AHW806"/>
      <c r="AHX806"/>
      <c r="AHY806"/>
      <c r="AHZ806"/>
      <c r="AIA806"/>
      <c r="AIB806"/>
      <c r="AIC806"/>
      <c r="AID806"/>
      <c r="AIE806"/>
      <c r="AIF806"/>
      <c r="AIG806"/>
      <c r="AIH806"/>
      <c r="AII806"/>
      <c r="AIJ806"/>
      <c r="AIK806"/>
      <c r="AIL806"/>
      <c r="AIM806"/>
      <c r="AIN806"/>
      <c r="AIO806"/>
      <c r="AIP806"/>
      <c r="AIQ806"/>
      <c r="AIR806"/>
      <c r="AIS806"/>
      <c r="AIT806"/>
      <c r="AIU806"/>
      <c r="AIV806"/>
      <c r="AIW806"/>
      <c r="AIX806"/>
      <c r="AIY806"/>
      <c r="AIZ806"/>
      <c r="AJA806"/>
      <c r="AJB806"/>
      <c r="AJC806"/>
      <c r="AJD806"/>
      <c r="AJE806"/>
      <c r="AJF806"/>
      <c r="AJG806"/>
      <c r="AJH806"/>
      <c r="AJI806"/>
      <c r="AJJ806"/>
      <c r="AJK806"/>
      <c r="AJL806"/>
      <c r="AJM806"/>
      <c r="AJN806"/>
      <c r="AJO806"/>
      <c r="AJP806"/>
      <c r="AJQ806"/>
      <c r="AJR806"/>
      <c r="AJS806"/>
      <c r="AJT806"/>
      <c r="AJU806"/>
      <c r="AJV806"/>
      <c r="AJW806"/>
      <c r="AJX806"/>
      <c r="AJY806"/>
      <c r="AJZ806"/>
      <c r="AKA806"/>
      <c r="AKB806"/>
      <c r="AKC806"/>
      <c r="AKD806"/>
      <c r="AKE806"/>
      <c r="AKF806"/>
      <c r="AKG806"/>
      <c r="AKH806"/>
      <c r="AKI806"/>
      <c r="AKJ806"/>
      <c r="AKK806"/>
      <c r="AKL806"/>
      <c r="AKM806"/>
      <c r="AKN806"/>
      <c r="AKO806"/>
      <c r="AKP806"/>
      <c r="AKQ806"/>
      <c r="AKR806"/>
      <c r="AKS806"/>
      <c r="AKT806"/>
      <c r="AKU806"/>
      <c r="AKV806"/>
      <c r="AKW806"/>
      <c r="AKX806"/>
      <c r="AKY806"/>
      <c r="AKZ806"/>
      <c r="ALA806"/>
      <c r="ALB806"/>
      <c r="ALC806"/>
      <c r="ALD806"/>
      <c r="ALE806"/>
      <c r="ALF806"/>
      <c r="ALG806"/>
      <c r="ALH806"/>
      <c r="ALI806"/>
      <c r="ALJ806"/>
      <c r="ALK806"/>
      <c r="ALL806"/>
      <c r="ALM806"/>
      <c r="ALN806"/>
      <c r="ALO806"/>
      <c r="ALP806"/>
      <c r="ALQ806"/>
      <c r="ALR806"/>
      <c r="ALS806"/>
      <c r="ALT806"/>
      <c r="ALU806"/>
      <c r="ALV806"/>
      <c r="ALW806"/>
      <c r="ALX806"/>
      <c r="ALY806"/>
      <c r="ALZ806"/>
      <c r="AMA806"/>
      <c r="AMB806"/>
      <c r="AMC806"/>
      <c r="AMD806"/>
      <c r="AME806"/>
      <c r="AMF806"/>
      <c r="AMG806"/>
      <c r="AMH806"/>
    </row>
    <row r="807" spans="1:1022" x14ac:dyDescent="0.15">
      <c r="A807" s="8" t="s">
        <v>2986</v>
      </c>
      <c r="B807" s="8" t="s">
        <v>2976</v>
      </c>
      <c r="C807" s="8" t="str">
        <f t="shared" si="18"/>
        <v>att_ptm_enrichment:ionchromatography</v>
      </c>
      <c r="D807" s="9" t="s">
        <v>17</v>
      </c>
      <c r="E807" s="8" t="s">
        <v>2984</v>
      </c>
      <c r="F807" s="8" t="s">
        <v>2985</v>
      </c>
      <c r="G807"/>
      <c r="H807"/>
      <c r="I807"/>
      <c r="J807"/>
      <c r="K807"/>
      <c r="L807"/>
      <c r="M807"/>
      <c r="N807"/>
      <c r="O807"/>
      <c r="P807"/>
      <c r="Q807"/>
      <c r="R807"/>
      <c r="S807"/>
      <c r="T807"/>
      <c r="U807"/>
      <c r="V807"/>
      <c r="W807"/>
      <c r="X807"/>
      <c r="Y807"/>
      <c r="Z807"/>
      <c r="AA807"/>
      <c r="AB807"/>
      <c r="AC807"/>
      <c r="AD807"/>
      <c r="AE807"/>
      <c r="AF807"/>
      <c r="AG807"/>
      <c r="AH807"/>
      <c r="AI807"/>
      <c r="AJ807"/>
      <c r="AK807"/>
      <c r="AL807"/>
      <c r="AM807"/>
      <c r="AN807"/>
      <c r="AO807"/>
      <c r="AP807"/>
      <c r="AQ807"/>
      <c r="AR807"/>
      <c r="AS807"/>
      <c r="AT807"/>
      <c r="AU807"/>
      <c r="AV807"/>
      <c r="AW807"/>
      <c r="AX807"/>
      <c r="AY807"/>
      <c r="AZ807"/>
      <c r="BA807"/>
      <c r="BB807"/>
      <c r="BC807"/>
      <c r="BD807"/>
      <c r="BE807"/>
      <c r="BF807"/>
      <c r="BG807"/>
      <c r="BH807"/>
      <c r="BI807"/>
      <c r="BJ807"/>
      <c r="BK807"/>
      <c r="BL807"/>
      <c r="BM807"/>
      <c r="BN807"/>
      <c r="BO807"/>
      <c r="BP807"/>
      <c r="BQ807"/>
      <c r="BR807"/>
      <c r="BS807"/>
      <c r="BT807"/>
      <c r="BU807"/>
      <c r="BV807"/>
      <c r="BW807"/>
      <c r="BX807"/>
      <c r="BY807"/>
      <c r="BZ807"/>
      <c r="CA807"/>
      <c r="CB807"/>
      <c r="CC807"/>
      <c r="CD807"/>
      <c r="CE807"/>
      <c r="CF807"/>
      <c r="CG807"/>
      <c r="CH807"/>
      <c r="CI807"/>
      <c r="CJ807"/>
      <c r="CK807"/>
      <c r="CL807"/>
      <c r="CM807"/>
      <c r="CN807"/>
      <c r="CO807"/>
      <c r="CP807"/>
      <c r="CQ807"/>
      <c r="CR807"/>
      <c r="CS807"/>
      <c r="CT807"/>
      <c r="CU807"/>
      <c r="CV807"/>
      <c r="CW807"/>
      <c r="CX807"/>
      <c r="CY807"/>
      <c r="CZ807"/>
      <c r="DA807"/>
      <c r="DB807"/>
      <c r="DC807"/>
      <c r="DD807"/>
      <c r="DE807"/>
      <c r="DF807"/>
      <c r="DG807"/>
      <c r="DH807"/>
      <c r="DI807"/>
      <c r="DJ807"/>
      <c r="DK807"/>
      <c r="DL807"/>
      <c r="DM807"/>
      <c r="DN807"/>
      <c r="DO807"/>
      <c r="DP807"/>
      <c r="DQ807"/>
      <c r="DR807"/>
      <c r="DS807"/>
      <c r="DT807"/>
      <c r="DU807"/>
      <c r="DV807"/>
      <c r="DW807"/>
      <c r="DX807"/>
      <c r="DY807"/>
      <c r="DZ807"/>
      <c r="EA807"/>
      <c r="EB807"/>
      <c r="EC807"/>
      <c r="ED807"/>
      <c r="EE807"/>
      <c r="EF807"/>
      <c r="EG807"/>
      <c r="EH807"/>
      <c r="EI807"/>
      <c r="EJ807"/>
      <c r="EK807"/>
      <c r="EL807"/>
      <c r="EM807"/>
      <c r="EN807"/>
      <c r="EO807"/>
      <c r="EP807"/>
      <c r="EQ807"/>
      <c r="ER807"/>
      <c r="ES807"/>
      <c r="ET807"/>
      <c r="EU807"/>
      <c r="EV807"/>
      <c r="EW807"/>
      <c r="EX807"/>
      <c r="EY807"/>
      <c r="EZ807"/>
      <c r="FA807"/>
      <c r="FB807"/>
      <c r="FC807"/>
      <c r="FD807"/>
      <c r="FE807"/>
      <c r="FF807"/>
      <c r="FG807"/>
      <c r="FH807"/>
      <c r="FI807"/>
      <c r="FJ807"/>
      <c r="FK807"/>
      <c r="FL807"/>
      <c r="FM807"/>
      <c r="FN807"/>
      <c r="FO807"/>
      <c r="FP807"/>
      <c r="FQ807"/>
      <c r="FR807"/>
      <c r="FS807"/>
      <c r="FT807"/>
      <c r="FU807"/>
      <c r="FV807"/>
      <c r="FW807"/>
      <c r="FX807"/>
      <c r="FY807"/>
      <c r="FZ807"/>
      <c r="GA807"/>
      <c r="GB807"/>
      <c r="GC807"/>
      <c r="GD807"/>
      <c r="GE807"/>
      <c r="GF807"/>
      <c r="GG807"/>
      <c r="GH807"/>
      <c r="GI807"/>
      <c r="GJ807"/>
      <c r="GK807"/>
      <c r="GL807"/>
      <c r="GM807"/>
      <c r="GN807"/>
      <c r="GO807"/>
      <c r="GP807"/>
      <c r="GQ807"/>
      <c r="GR807"/>
      <c r="GS807"/>
      <c r="GT807"/>
      <c r="GU807"/>
      <c r="GV807"/>
      <c r="GW807"/>
      <c r="GX807"/>
      <c r="GY807"/>
      <c r="GZ807"/>
      <c r="HA807"/>
      <c r="HB807"/>
      <c r="HC807"/>
      <c r="HD807"/>
      <c r="HE807"/>
      <c r="HF807"/>
      <c r="HG807"/>
      <c r="HH807"/>
      <c r="HI807"/>
      <c r="HJ807"/>
      <c r="HK807"/>
      <c r="HL807"/>
      <c r="HM807"/>
      <c r="HN807"/>
      <c r="HO807"/>
      <c r="HP807"/>
      <c r="HQ807"/>
      <c r="HR807"/>
      <c r="HS807"/>
      <c r="HT807"/>
      <c r="HU807"/>
      <c r="HV807"/>
      <c r="HW807"/>
      <c r="HX807"/>
      <c r="HY807"/>
      <c r="HZ807"/>
      <c r="IA807"/>
      <c r="IB807"/>
      <c r="IC807"/>
      <c r="ID807"/>
      <c r="IE807"/>
      <c r="IF807"/>
      <c r="IG807"/>
      <c r="IH807"/>
      <c r="II807"/>
      <c r="IJ807"/>
      <c r="IK807"/>
      <c r="IL807"/>
      <c r="IM807"/>
      <c r="IN807"/>
      <c r="IO807"/>
      <c r="IP807"/>
      <c r="IQ807"/>
      <c r="IR807"/>
      <c r="IS807"/>
      <c r="IT807"/>
      <c r="IU807"/>
      <c r="IV807"/>
      <c r="IW807"/>
      <c r="IX807"/>
      <c r="IY807"/>
      <c r="IZ807"/>
      <c r="JA807"/>
      <c r="JB807"/>
      <c r="JC807"/>
      <c r="JD807"/>
      <c r="JE807"/>
      <c r="JF807"/>
      <c r="JG807"/>
      <c r="JH807"/>
      <c r="JI807"/>
      <c r="JJ807"/>
      <c r="JK807"/>
      <c r="JL807"/>
      <c r="JM807"/>
      <c r="JN807"/>
      <c r="JO807"/>
      <c r="JP807"/>
      <c r="JQ807"/>
      <c r="JR807"/>
      <c r="JS807"/>
      <c r="JT807"/>
      <c r="JU807"/>
      <c r="JV807"/>
      <c r="JW807"/>
      <c r="JX807"/>
      <c r="JY807"/>
      <c r="JZ807"/>
      <c r="KA807"/>
      <c r="KB807"/>
      <c r="KC807"/>
      <c r="KD807"/>
      <c r="KE807"/>
      <c r="KF807"/>
      <c r="KG807"/>
      <c r="KH807"/>
      <c r="KI807"/>
      <c r="KJ807"/>
      <c r="KK807"/>
      <c r="KL807"/>
      <c r="KM807"/>
      <c r="KN807"/>
      <c r="KO807"/>
      <c r="KP807"/>
      <c r="KQ807"/>
      <c r="KR807"/>
      <c r="KS807"/>
      <c r="KT807"/>
      <c r="KU807"/>
      <c r="KV807"/>
      <c r="KW807"/>
      <c r="KX807"/>
      <c r="KY807"/>
      <c r="KZ807"/>
      <c r="LA807"/>
      <c r="LB807"/>
      <c r="LC807"/>
      <c r="LD807"/>
      <c r="LE807"/>
      <c r="LF807"/>
      <c r="LG807"/>
      <c r="LH807"/>
      <c r="LI807"/>
      <c r="LJ807"/>
      <c r="LK807"/>
      <c r="LL807"/>
      <c r="LM807"/>
      <c r="LN807"/>
      <c r="LO807"/>
      <c r="LP807"/>
      <c r="LQ807"/>
      <c r="LR807"/>
      <c r="LS807"/>
      <c r="LT807"/>
      <c r="LU807"/>
      <c r="LV807"/>
      <c r="LW807"/>
      <c r="LX807"/>
      <c r="LY807"/>
      <c r="LZ807"/>
      <c r="MA807"/>
      <c r="MB807"/>
      <c r="MC807"/>
      <c r="MD807"/>
      <c r="ME807"/>
      <c r="MF807"/>
      <c r="MG807"/>
      <c r="MH807"/>
      <c r="MI807"/>
      <c r="MJ807"/>
      <c r="MK807"/>
      <c r="ML807"/>
      <c r="MM807"/>
      <c r="MN807"/>
      <c r="MO807"/>
      <c r="MP807"/>
      <c r="MQ807"/>
      <c r="MR807"/>
      <c r="MS807"/>
      <c r="MT807"/>
      <c r="MU807"/>
      <c r="MV807"/>
      <c r="MW807"/>
      <c r="MX807"/>
      <c r="MY807"/>
      <c r="MZ807"/>
      <c r="NA807"/>
      <c r="NB807"/>
      <c r="NC807"/>
      <c r="ND807"/>
      <c r="NE807"/>
      <c r="NF807"/>
      <c r="NG807"/>
      <c r="NH807"/>
      <c r="NI807"/>
      <c r="NJ807"/>
      <c r="NK807"/>
      <c r="NL807"/>
      <c r="NM807"/>
      <c r="NN807"/>
      <c r="NO807"/>
      <c r="NP807"/>
      <c r="NQ807"/>
      <c r="NR807"/>
      <c r="NS807"/>
      <c r="NT807"/>
      <c r="NU807"/>
      <c r="NV807"/>
      <c r="NW807"/>
      <c r="NX807"/>
      <c r="NY807"/>
      <c r="NZ807"/>
      <c r="OA807"/>
      <c r="OB807"/>
      <c r="OC807"/>
      <c r="OD807"/>
      <c r="OE807"/>
      <c r="OF807"/>
      <c r="OG807"/>
      <c r="OH807"/>
      <c r="OI807"/>
      <c r="OJ807"/>
      <c r="OK807"/>
      <c r="OL807"/>
      <c r="OM807"/>
      <c r="ON807"/>
      <c r="OO807"/>
      <c r="OP807"/>
      <c r="OQ807"/>
      <c r="OR807"/>
      <c r="OS807"/>
      <c r="OT807"/>
      <c r="OU807"/>
      <c r="OV807"/>
      <c r="OW807"/>
      <c r="OX807"/>
      <c r="OY807"/>
      <c r="OZ807"/>
      <c r="PA807"/>
      <c r="PB807"/>
      <c r="PC807"/>
      <c r="PD807"/>
      <c r="PE807"/>
      <c r="PF807"/>
      <c r="PG807"/>
      <c r="PH807"/>
      <c r="PI807"/>
      <c r="PJ807"/>
      <c r="PK807"/>
      <c r="PL807"/>
      <c r="PM807"/>
      <c r="PN807"/>
      <c r="PO807"/>
      <c r="PP807"/>
      <c r="PQ807"/>
      <c r="PR807"/>
      <c r="PS807"/>
      <c r="PT807"/>
      <c r="PU807"/>
      <c r="PV807"/>
      <c r="PW807"/>
      <c r="PX807"/>
      <c r="PY807"/>
      <c r="PZ807"/>
      <c r="QA807"/>
      <c r="QB807"/>
      <c r="QC807"/>
      <c r="QD807"/>
      <c r="QE807"/>
      <c r="QF807"/>
      <c r="QG807"/>
      <c r="QH807"/>
      <c r="QI807"/>
      <c r="QJ807"/>
      <c r="QK807"/>
      <c r="QL807"/>
      <c r="QM807"/>
      <c r="QN807"/>
      <c r="QO807"/>
      <c r="QP807"/>
      <c r="QQ807"/>
      <c r="QR807"/>
      <c r="QS807"/>
      <c r="QT807"/>
      <c r="QU807"/>
      <c r="QV807"/>
      <c r="QW807"/>
      <c r="QX807"/>
      <c r="QY807"/>
      <c r="QZ807"/>
      <c r="RA807"/>
      <c r="RB807"/>
      <c r="RC807"/>
      <c r="RD807"/>
      <c r="RE807"/>
      <c r="RF807"/>
      <c r="RG807"/>
      <c r="RH807"/>
      <c r="RI807"/>
      <c r="RJ807"/>
      <c r="RK807"/>
      <c r="RL807"/>
      <c r="RM807"/>
      <c r="RN807"/>
      <c r="RO807"/>
      <c r="RP807"/>
      <c r="RQ807"/>
      <c r="RR807"/>
      <c r="RS807"/>
      <c r="RT807"/>
      <c r="RU807"/>
      <c r="RV807"/>
      <c r="RW807"/>
      <c r="RX807"/>
      <c r="RY807"/>
      <c r="RZ807"/>
      <c r="SA807"/>
      <c r="SB807"/>
      <c r="SC807"/>
      <c r="SD807"/>
      <c r="SE807"/>
      <c r="SF807"/>
      <c r="SG807"/>
      <c r="SH807"/>
      <c r="SI807"/>
      <c r="SJ807"/>
      <c r="SK807"/>
      <c r="SL807"/>
      <c r="SM807"/>
      <c r="SN807"/>
      <c r="SO807"/>
      <c r="SP807"/>
      <c r="SQ807"/>
      <c r="SR807"/>
      <c r="SS807"/>
      <c r="ST807"/>
      <c r="SU807"/>
      <c r="SV807"/>
      <c r="SW807"/>
      <c r="SX807"/>
      <c r="SY807"/>
      <c r="SZ807"/>
      <c r="TA807"/>
      <c r="TB807"/>
      <c r="TC807"/>
      <c r="TD807"/>
      <c r="TE807"/>
      <c r="TF807"/>
      <c r="TG807"/>
      <c r="TH807"/>
      <c r="TI807"/>
      <c r="TJ807"/>
      <c r="TK807"/>
      <c r="TL807"/>
      <c r="TM807"/>
      <c r="TN807"/>
      <c r="TO807"/>
      <c r="TP807"/>
      <c r="TQ807"/>
      <c r="TR807"/>
      <c r="TS807"/>
      <c r="TT807"/>
      <c r="TU807"/>
      <c r="TV807"/>
      <c r="TW807"/>
      <c r="TX807"/>
      <c r="TY807"/>
      <c r="TZ807"/>
      <c r="UA807"/>
      <c r="UB807"/>
      <c r="UC807"/>
      <c r="UD807"/>
      <c r="UE807"/>
      <c r="UF807"/>
      <c r="UG807"/>
      <c r="UH807"/>
      <c r="UI807"/>
      <c r="UJ807"/>
      <c r="UK807"/>
      <c r="UL807"/>
      <c r="UM807"/>
      <c r="UN807"/>
      <c r="UO807"/>
      <c r="UP807"/>
      <c r="UQ807"/>
      <c r="UR807"/>
      <c r="US807"/>
      <c r="UT807"/>
      <c r="UU807"/>
      <c r="UV807"/>
      <c r="UW807"/>
      <c r="UX807"/>
      <c r="UY807"/>
      <c r="UZ807"/>
      <c r="VA807"/>
      <c r="VB807"/>
      <c r="VC807"/>
      <c r="VD807"/>
      <c r="VE807"/>
      <c r="VF807"/>
      <c r="VG807"/>
      <c r="VH807"/>
      <c r="VI807"/>
      <c r="VJ807"/>
      <c r="VK807"/>
      <c r="VL807"/>
      <c r="VM807"/>
      <c r="VN807"/>
      <c r="VO807"/>
      <c r="VP807"/>
      <c r="VQ807"/>
      <c r="VR807"/>
      <c r="VS807"/>
      <c r="VT807"/>
      <c r="VU807"/>
      <c r="VV807"/>
      <c r="VW807"/>
      <c r="VX807"/>
      <c r="VY807"/>
      <c r="VZ807"/>
      <c r="WA807"/>
      <c r="WB807"/>
      <c r="WC807"/>
      <c r="WD807"/>
      <c r="WE807"/>
      <c r="WF807"/>
      <c r="WG807"/>
      <c r="WH807"/>
      <c r="WI807"/>
      <c r="WJ807"/>
      <c r="WK807"/>
      <c r="WL807"/>
      <c r="WM807"/>
      <c r="WN807"/>
      <c r="WO807"/>
      <c r="WP807"/>
      <c r="WQ807"/>
      <c r="WR807"/>
      <c r="WS807"/>
      <c r="WT807"/>
      <c r="WU807"/>
      <c r="WV807"/>
      <c r="WW807"/>
      <c r="WX807"/>
      <c r="WY807"/>
      <c r="WZ807"/>
      <c r="XA807"/>
      <c r="XB807"/>
      <c r="XC807"/>
      <c r="XD807"/>
      <c r="XE807"/>
      <c r="XF807"/>
      <c r="XG807"/>
      <c r="XH807"/>
      <c r="XI807"/>
      <c r="XJ807"/>
      <c r="XK807"/>
      <c r="XL807"/>
      <c r="XM807"/>
      <c r="XN807"/>
      <c r="XO807"/>
      <c r="XP807"/>
      <c r="XQ807"/>
      <c r="XR807"/>
      <c r="XS807"/>
      <c r="XT807"/>
      <c r="XU807"/>
      <c r="XV807"/>
      <c r="XW807"/>
      <c r="XX807"/>
      <c r="XY807"/>
      <c r="XZ807"/>
      <c r="YA807"/>
      <c r="YB807"/>
      <c r="YC807"/>
      <c r="YD807"/>
      <c r="YE807"/>
      <c r="YF807"/>
      <c r="YG807"/>
      <c r="YH807"/>
      <c r="YI807"/>
      <c r="YJ807"/>
      <c r="YK807"/>
      <c r="YL807"/>
      <c r="YM807"/>
      <c r="YN807"/>
      <c r="YO807"/>
      <c r="YP807"/>
      <c r="YQ807"/>
      <c r="YR807"/>
      <c r="YS807"/>
      <c r="YT807"/>
      <c r="YU807"/>
      <c r="YV807"/>
      <c r="YW807"/>
      <c r="YX807"/>
      <c r="YY807"/>
      <c r="YZ807"/>
      <c r="ZA807"/>
      <c r="ZB807"/>
      <c r="ZC807"/>
      <c r="ZD807"/>
      <c r="ZE807"/>
      <c r="ZF807"/>
      <c r="ZG807"/>
      <c r="ZH807"/>
      <c r="ZI807"/>
      <c r="ZJ807"/>
      <c r="ZK807"/>
      <c r="ZL807"/>
      <c r="ZM807"/>
      <c r="ZN807"/>
      <c r="ZO807"/>
      <c r="ZP807"/>
      <c r="ZQ807"/>
      <c r="ZR807"/>
      <c r="ZS807"/>
      <c r="ZT807"/>
      <c r="ZU807"/>
      <c r="ZV807"/>
      <c r="ZW807"/>
      <c r="ZX807"/>
      <c r="ZY807"/>
      <c r="ZZ807"/>
      <c r="AAA807"/>
      <c r="AAB807"/>
      <c r="AAC807"/>
      <c r="AAD807"/>
      <c r="AAE807"/>
      <c r="AAF807"/>
      <c r="AAG807"/>
      <c r="AAH807"/>
      <c r="AAI807"/>
      <c r="AAJ807"/>
      <c r="AAK807"/>
      <c r="AAL807"/>
      <c r="AAM807"/>
      <c r="AAN807"/>
      <c r="AAO807"/>
      <c r="AAP807"/>
      <c r="AAQ807"/>
      <c r="AAR807"/>
      <c r="AAS807"/>
      <c r="AAT807"/>
      <c r="AAU807"/>
      <c r="AAV807"/>
      <c r="AAW807"/>
      <c r="AAX807"/>
      <c r="AAY807"/>
      <c r="AAZ807"/>
      <c r="ABA807"/>
      <c r="ABB807"/>
      <c r="ABC807"/>
      <c r="ABD807"/>
      <c r="ABE807"/>
      <c r="ABF807"/>
      <c r="ABG807"/>
      <c r="ABH807"/>
      <c r="ABI807"/>
      <c r="ABJ807"/>
      <c r="ABK807"/>
      <c r="ABL807"/>
      <c r="ABM807"/>
      <c r="ABN807"/>
      <c r="ABO807"/>
      <c r="ABP807"/>
      <c r="ABQ807"/>
      <c r="ABR807"/>
      <c r="ABS807"/>
      <c r="ABT807"/>
      <c r="ABU807"/>
      <c r="ABV807"/>
      <c r="ABW807"/>
      <c r="ABX807"/>
      <c r="ABY807"/>
      <c r="ABZ807"/>
      <c r="ACA807"/>
      <c r="ACB807"/>
      <c r="ACC807"/>
      <c r="ACD807"/>
      <c r="ACE807"/>
      <c r="ACF807"/>
      <c r="ACG807"/>
      <c r="ACH807"/>
      <c r="ACI807"/>
      <c r="ACJ807"/>
      <c r="ACK807"/>
      <c r="ACL807"/>
      <c r="ACM807"/>
      <c r="ACN807"/>
      <c r="ACO807"/>
      <c r="ACP807"/>
      <c r="ACQ807"/>
      <c r="ACR807"/>
      <c r="ACS807"/>
      <c r="ACT807"/>
      <c r="ACU807"/>
      <c r="ACV807"/>
      <c r="ACW807"/>
      <c r="ACX807"/>
      <c r="ACY807"/>
      <c r="ACZ807"/>
      <c r="ADA807"/>
      <c r="ADB807"/>
      <c r="ADC807"/>
      <c r="ADD807"/>
      <c r="ADE807"/>
      <c r="ADF807"/>
      <c r="ADG807"/>
      <c r="ADH807"/>
      <c r="ADI807"/>
      <c r="ADJ807"/>
      <c r="ADK807"/>
      <c r="ADL807"/>
      <c r="ADM807"/>
      <c r="ADN807"/>
      <c r="ADO807"/>
      <c r="ADP807"/>
      <c r="ADQ807"/>
      <c r="ADR807"/>
      <c r="ADS807"/>
      <c r="ADT807"/>
      <c r="ADU807"/>
      <c r="ADV807"/>
      <c r="ADW807"/>
      <c r="ADX807"/>
      <c r="ADY807"/>
      <c r="ADZ807"/>
      <c r="AEA807"/>
      <c r="AEB807"/>
      <c r="AEC807"/>
      <c r="AED807"/>
      <c r="AEE807"/>
      <c r="AEF807"/>
      <c r="AEG807"/>
      <c r="AEH807"/>
      <c r="AEI807"/>
      <c r="AEJ807"/>
      <c r="AEK807"/>
      <c r="AEL807"/>
      <c r="AEM807"/>
      <c r="AEN807"/>
      <c r="AEO807"/>
      <c r="AEP807"/>
      <c r="AEQ807"/>
      <c r="AER807"/>
      <c r="AES807"/>
      <c r="AET807"/>
      <c r="AEU807"/>
      <c r="AEV807"/>
      <c r="AEW807"/>
      <c r="AEX807"/>
      <c r="AEY807"/>
      <c r="AEZ807"/>
      <c r="AFA807"/>
      <c r="AFB807"/>
      <c r="AFC807"/>
      <c r="AFD807"/>
      <c r="AFE807"/>
      <c r="AFF807"/>
      <c r="AFG807"/>
      <c r="AFH807"/>
      <c r="AFI807"/>
      <c r="AFJ807"/>
      <c r="AFK807"/>
      <c r="AFL807"/>
      <c r="AFM807"/>
      <c r="AFN807"/>
      <c r="AFO807"/>
      <c r="AFP807"/>
      <c r="AFQ807"/>
      <c r="AFR807"/>
      <c r="AFS807"/>
      <c r="AFT807"/>
      <c r="AFU807"/>
      <c r="AFV807"/>
      <c r="AFW807"/>
      <c r="AFX807"/>
      <c r="AFY807"/>
      <c r="AFZ807"/>
      <c r="AGA807"/>
      <c r="AGB807"/>
      <c r="AGC807"/>
      <c r="AGD807"/>
      <c r="AGE807"/>
      <c r="AGF807"/>
      <c r="AGG807"/>
      <c r="AGH807"/>
      <c r="AGI807"/>
      <c r="AGJ807"/>
      <c r="AGK807"/>
      <c r="AGL807"/>
      <c r="AGM807"/>
      <c r="AGN807"/>
      <c r="AGO807"/>
      <c r="AGP807"/>
      <c r="AGQ807"/>
      <c r="AGR807"/>
      <c r="AGS807"/>
      <c r="AGT807"/>
      <c r="AGU807"/>
      <c r="AGV807"/>
      <c r="AGW807"/>
      <c r="AGX807"/>
      <c r="AGY807"/>
      <c r="AGZ807"/>
      <c r="AHA807"/>
      <c r="AHB807"/>
      <c r="AHC807"/>
      <c r="AHD807"/>
      <c r="AHE807"/>
      <c r="AHF807"/>
      <c r="AHG807"/>
      <c r="AHH807"/>
      <c r="AHI807"/>
      <c r="AHJ807"/>
      <c r="AHK807"/>
      <c r="AHL807"/>
      <c r="AHM807"/>
      <c r="AHN807"/>
      <c r="AHO807"/>
      <c r="AHP807"/>
      <c r="AHQ807"/>
      <c r="AHR807"/>
      <c r="AHS807"/>
      <c r="AHT807"/>
      <c r="AHU807"/>
      <c r="AHV807"/>
      <c r="AHW807"/>
      <c r="AHX807"/>
      <c r="AHY807"/>
      <c r="AHZ807"/>
      <c r="AIA807"/>
      <c r="AIB807"/>
      <c r="AIC807"/>
      <c r="AID807"/>
      <c r="AIE807"/>
      <c r="AIF807"/>
      <c r="AIG807"/>
      <c r="AIH807"/>
      <c r="AII807"/>
      <c r="AIJ807"/>
      <c r="AIK807"/>
      <c r="AIL807"/>
      <c r="AIM807"/>
      <c r="AIN807"/>
      <c r="AIO807"/>
      <c r="AIP807"/>
      <c r="AIQ807"/>
      <c r="AIR807"/>
      <c r="AIS807"/>
      <c r="AIT807"/>
      <c r="AIU807"/>
      <c r="AIV807"/>
      <c r="AIW807"/>
      <c r="AIX807"/>
      <c r="AIY807"/>
      <c r="AIZ807"/>
      <c r="AJA807"/>
      <c r="AJB807"/>
      <c r="AJC807"/>
      <c r="AJD807"/>
      <c r="AJE807"/>
      <c r="AJF807"/>
      <c r="AJG807"/>
      <c r="AJH807"/>
      <c r="AJI807"/>
      <c r="AJJ807"/>
      <c r="AJK807"/>
      <c r="AJL807"/>
      <c r="AJM807"/>
      <c r="AJN807"/>
      <c r="AJO807"/>
      <c r="AJP807"/>
      <c r="AJQ807"/>
      <c r="AJR807"/>
      <c r="AJS807"/>
      <c r="AJT807"/>
      <c r="AJU807"/>
      <c r="AJV807"/>
      <c r="AJW807"/>
      <c r="AJX807"/>
      <c r="AJY807"/>
      <c r="AJZ807"/>
      <c r="AKA807"/>
      <c r="AKB807"/>
      <c r="AKC807"/>
      <c r="AKD807"/>
      <c r="AKE807"/>
      <c r="AKF807"/>
      <c r="AKG807"/>
      <c r="AKH807"/>
      <c r="AKI807"/>
      <c r="AKJ807"/>
      <c r="AKK807"/>
      <c r="AKL807"/>
      <c r="AKM807"/>
      <c r="AKN807"/>
      <c r="AKO807"/>
      <c r="AKP807"/>
      <c r="AKQ807"/>
      <c r="AKR807"/>
      <c r="AKS807"/>
      <c r="AKT807"/>
      <c r="AKU807"/>
      <c r="AKV807"/>
      <c r="AKW807"/>
      <c r="AKX807"/>
      <c r="AKY807"/>
      <c r="AKZ807"/>
      <c r="ALA807"/>
      <c r="ALB807"/>
      <c r="ALC807"/>
      <c r="ALD807"/>
      <c r="ALE807"/>
      <c r="ALF807"/>
      <c r="ALG807"/>
      <c r="ALH807"/>
      <c r="ALI807"/>
      <c r="ALJ807"/>
      <c r="ALK807"/>
      <c r="ALL807"/>
      <c r="ALM807"/>
      <c r="ALN807"/>
      <c r="ALO807"/>
      <c r="ALP807"/>
      <c r="ALQ807"/>
      <c r="ALR807"/>
      <c r="ALS807"/>
      <c r="ALT807"/>
      <c r="ALU807"/>
      <c r="ALV807"/>
      <c r="ALW807"/>
      <c r="ALX807"/>
      <c r="ALY807"/>
      <c r="ALZ807"/>
      <c r="AMA807"/>
      <c r="AMB807"/>
      <c r="AMC807"/>
      <c r="AMD807"/>
      <c r="AME807"/>
      <c r="AMF807"/>
      <c r="AMG807"/>
      <c r="AMH807"/>
    </row>
    <row r="808" spans="1:1022" x14ac:dyDescent="0.15">
      <c r="A808" s="8" t="s">
        <v>2330</v>
      </c>
      <c r="B808" s="8" t="s">
        <v>210</v>
      </c>
      <c r="C808" s="8" t="str">
        <f t="shared" si="18"/>
        <v>att_quant_algorithm:directlfq</v>
      </c>
      <c r="D808" s="9" t="s">
        <v>17</v>
      </c>
      <c r="E808" s="8" t="s">
        <v>2331</v>
      </c>
      <c r="F808" s="9" t="s">
        <v>17</v>
      </c>
    </row>
    <row r="809" spans="1:1022" x14ac:dyDescent="0.15">
      <c r="A809" s="8" t="s">
        <v>2332</v>
      </c>
      <c r="B809" s="8" t="s">
        <v>210</v>
      </c>
      <c r="C809" s="8" t="str">
        <f t="shared" si="18"/>
        <v>att_quant_algorithm:maxlfq</v>
      </c>
      <c r="D809" s="9" t="s">
        <v>17</v>
      </c>
      <c r="E809" s="8" t="s">
        <v>2333</v>
      </c>
      <c r="F809" s="9" t="s">
        <v>17</v>
      </c>
    </row>
    <row r="810" spans="1:1022" x14ac:dyDescent="0.15">
      <c r="A810" s="8" t="s">
        <v>2334</v>
      </c>
      <c r="B810" s="8" t="s">
        <v>210</v>
      </c>
      <c r="C810" s="8" t="str">
        <f t="shared" si="18"/>
        <v>att_quant_algorithm:speccount</v>
      </c>
      <c r="D810" s="9" t="s">
        <v>17</v>
      </c>
      <c r="E810" s="8" t="s">
        <v>2335</v>
      </c>
      <c r="F810" s="9" t="s">
        <v>17</v>
      </c>
    </row>
    <row r="811" spans="1:1022" x14ac:dyDescent="0.15">
      <c r="A811" s="8" t="s">
        <v>2336</v>
      </c>
      <c r="B811" s="8" t="s">
        <v>211</v>
      </c>
      <c r="C811" s="8" t="str">
        <f t="shared" si="18"/>
        <v>att_quantification:isobaric</v>
      </c>
      <c r="D811" s="9" t="s">
        <v>17</v>
      </c>
      <c r="E811" s="8" t="s">
        <v>2336</v>
      </c>
      <c r="F811" s="8" t="s">
        <v>2337</v>
      </c>
    </row>
    <row r="812" spans="1:1022" x14ac:dyDescent="0.15">
      <c r="A812" s="8" t="s">
        <v>2338</v>
      </c>
      <c r="B812" s="8" t="s">
        <v>211</v>
      </c>
      <c r="C812" s="8" t="str">
        <f t="shared" si="18"/>
        <v>att_quantification:istopic</v>
      </c>
      <c r="D812" s="9" t="s">
        <v>17</v>
      </c>
      <c r="E812" s="8" t="s">
        <v>2338</v>
      </c>
      <c r="F812" s="8" t="s">
        <v>2339</v>
      </c>
    </row>
    <row r="813" spans="1:1022" x14ac:dyDescent="0.15">
      <c r="A813" s="8" t="s">
        <v>2340</v>
      </c>
      <c r="B813" s="8" t="s">
        <v>211</v>
      </c>
      <c r="C813" s="8" t="str">
        <f t="shared" si="18"/>
        <v>att_quantification:label_free</v>
      </c>
      <c r="D813" s="9" t="s">
        <v>17</v>
      </c>
      <c r="E813" s="8" t="s">
        <v>2341</v>
      </c>
      <c r="F813" s="8" t="s">
        <v>2342</v>
      </c>
    </row>
    <row r="814" spans="1:1022" x14ac:dyDescent="0.15">
      <c r="A814" s="8" t="s">
        <v>2343</v>
      </c>
      <c r="B814" s="8" t="s">
        <v>211</v>
      </c>
      <c r="C814" s="8" t="str">
        <f t="shared" si="18"/>
        <v>att_quantification:silac</v>
      </c>
      <c r="D814" s="9" t="s">
        <v>17</v>
      </c>
      <c r="E814" s="8" t="s">
        <v>2343</v>
      </c>
      <c r="F814" s="8" t="s">
        <v>2344</v>
      </c>
    </row>
    <row r="815" spans="1:1022" x14ac:dyDescent="0.15">
      <c r="A815" s="8" t="s">
        <v>2345</v>
      </c>
      <c r="B815" s="8" t="s">
        <v>214</v>
      </c>
      <c r="C815" s="8" t="str">
        <f t="shared" si="18"/>
        <v>att_reduction:dtt</v>
      </c>
      <c r="D815" s="9" t="s">
        <v>17</v>
      </c>
      <c r="E815" s="8" t="s">
        <v>2346</v>
      </c>
      <c r="F815" s="8" t="s">
        <v>2347</v>
      </c>
    </row>
    <row r="816" spans="1:1022" x14ac:dyDescent="0.15">
      <c r="A816" s="8" t="s">
        <v>342</v>
      </c>
      <c r="B816" s="8" t="s">
        <v>214</v>
      </c>
      <c r="C816" s="8" t="str">
        <f t="shared" si="18"/>
        <v>att_reduction:none</v>
      </c>
      <c r="D816" s="9" t="s">
        <v>17</v>
      </c>
      <c r="E816" s="8" t="s">
        <v>343</v>
      </c>
      <c r="F816" s="8" t="s">
        <v>2348</v>
      </c>
    </row>
    <row r="817" spans="1:6" x14ac:dyDescent="0.15">
      <c r="A817" s="8" t="s">
        <v>2349</v>
      </c>
      <c r="B817" s="8" t="s">
        <v>214</v>
      </c>
      <c r="C817" s="8" t="str">
        <f t="shared" si="18"/>
        <v>att_reduction:tcep</v>
      </c>
      <c r="D817" s="9" t="s">
        <v>17</v>
      </c>
      <c r="E817" s="8" t="s">
        <v>2350</v>
      </c>
      <c r="F817" s="8" t="s">
        <v>2351</v>
      </c>
    </row>
    <row r="818" spans="1:6" x14ac:dyDescent="0.15">
      <c r="A818" s="8" t="s">
        <v>1417</v>
      </c>
      <c r="B818" s="8" t="s">
        <v>2352</v>
      </c>
      <c r="C818" s="8" t="str">
        <f t="shared" si="18"/>
        <v>att_signalling:apoptosis</v>
      </c>
      <c r="D818" s="9" t="s">
        <v>17</v>
      </c>
      <c r="E818" s="8" t="s">
        <v>1418</v>
      </c>
      <c r="F818" s="8" t="s">
        <v>2353</v>
      </c>
    </row>
    <row r="819" spans="1:6" x14ac:dyDescent="0.15">
      <c r="A819" s="8" t="s">
        <v>2354</v>
      </c>
      <c r="B819" s="8" t="s">
        <v>2352</v>
      </c>
      <c r="C819" s="8" t="str">
        <f t="shared" si="18"/>
        <v>att_signalling:autocrine</v>
      </c>
      <c r="D819" s="9" t="s">
        <v>17</v>
      </c>
      <c r="E819" s="8" t="s">
        <v>2355</v>
      </c>
      <c r="F819" s="8" t="s">
        <v>2356</v>
      </c>
    </row>
    <row r="820" spans="1:6" x14ac:dyDescent="0.15">
      <c r="A820" s="8" t="s">
        <v>2357</v>
      </c>
      <c r="B820" s="8" t="s">
        <v>2352</v>
      </c>
      <c r="C820" s="8" t="str">
        <f t="shared" si="18"/>
        <v>att_signalling:complement</v>
      </c>
      <c r="D820" s="9" t="s">
        <v>17</v>
      </c>
      <c r="E820" s="8" t="s">
        <v>2358</v>
      </c>
      <c r="F820" s="8" t="s">
        <v>2359</v>
      </c>
    </row>
    <row r="821" spans="1:6" x14ac:dyDescent="0.15">
      <c r="A821" s="8" t="s">
        <v>2360</v>
      </c>
      <c r="B821" s="8" t="s">
        <v>2352</v>
      </c>
      <c r="C821" s="8" t="str">
        <f t="shared" si="18"/>
        <v>att_signalling:cytokines</v>
      </c>
      <c r="D821" s="9" t="s">
        <v>17</v>
      </c>
      <c r="E821" s="8" t="s">
        <v>2361</v>
      </c>
      <c r="F821" s="8" t="s">
        <v>2362</v>
      </c>
    </row>
    <row r="822" spans="1:6" x14ac:dyDescent="0.15">
      <c r="A822" s="8" t="s">
        <v>2363</v>
      </c>
      <c r="B822" s="8" t="s">
        <v>2352</v>
      </c>
      <c r="C822" s="8" t="str">
        <f t="shared" si="18"/>
        <v>att_signalling:inflammation</v>
      </c>
      <c r="D822" s="9" t="s">
        <v>17</v>
      </c>
      <c r="E822" s="8" t="s">
        <v>2364</v>
      </c>
      <c r="F822" s="8" t="s">
        <v>2365</v>
      </c>
    </row>
    <row r="823" spans="1:6" x14ac:dyDescent="0.15">
      <c r="A823" s="8" t="s">
        <v>2366</v>
      </c>
      <c r="B823" s="8" t="s">
        <v>2352</v>
      </c>
      <c r="C823" s="8" t="str">
        <f t="shared" si="18"/>
        <v>att_signalling:insulin</v>
      </c>
      <c r="D823" s="9" t="s">
        <v>17</v>
      </c>
      <c r="E823" s="8" t="s">
        <v>2367</v>
      </c>
      <c r="F823" s="8" t="s">
        <v>2368</v>
      </c>
    </row>
    <row r="824" spans="1:6" x14ac:dyDescent="0.15">
      <c r="A824" s="8" t="s">
        <v>2369</v>
      </c>
      <c r="B824" s="8" t="s">
        <v>2352</v>
      </c>
      <c r="C824" s="8" t="str">
        <f t="shared" si="18"/>
        <v>att_signalling:juxtacrine</v>
      </c>
      <c r="D824" s="9" t="s">
        <v>17</v>
      </c>
      <c r="E824" s="8" t="s">
        <v>2370</v>
      </c>
      <c r="F824" s="8" t="s">
        <v>2371</v>
      </c>
    </row>
    <row r="825" spans="1:6" x14ac:dyDescent="0.15">
      <c r="A825" s="8" t="s">
        <v>2372</v>
      </c>
      <c r="B825" s="8" t="s">
        <v>2352</v>
      </c>
      <c r="C825" s="8" t="str">
        <f t="shared" si="18"/>
        <v>att_signalling:necrosis</v>
      </c>
      <c r="D825" s="9" t="s">
        <v>17</v>
      </c>
      <c r="E825" s="8" t="s">
        <v>2373</v>
      </c>
      <c r="F825" s="8" t="s">
        <v>2374</v>
      </c>
    </row>
    <row r="826" spans="1:6" x14ac:dyDescent="0.15">
      <c r="A826" s="8" t="s">
        <v>2375</v>
      </c>
      <c r="B826" s="8" t="s">
        <v>2352</v>
      </c>
      <c r="C826" s="8" t="str">
        <f t="shared" si="18"/>
        <v>att_signalling:paracrine</v>
      </c>
      <c r="D826" s="9" t="s">
        <v>17</v>
      </c>
      <c r="E826" s="8" t="s">
        <v>2376</v>
      </c>
      <c r="F826" s="8" t="s">
        <v>2377</v>
      </c>
    </row>
    <row r="827" spans="1:6" x14ac:dyDescent="0.15">
      <c r="A827" s="8" t="s">
        <v>1765</v>
      </c>
      <c r="B827" s="8" t="s">
        <v>2352</v>
      </c>
      <c r="C827" s="8" t="str">
        <f t="shared" si="18"/>
        <v>att_signalling:signaling</v>
      </c>
      <c r="D827" s="9" t="s">
        <v>17</v>
      </c>
      <c r="E827" s="8" t="s">
        <v>1766</v>
      </c>
      <c r="F827" s="8" t="s">
        <v>2378</v>
      </c>
    </row>
    <row r="828" spans="1:6" x14ac:dyDescent="0.15">
      <c r="A828" s="8" t="s">
        <v>2379</v>
      </c>
      <c r="B828" s="8" t="s">
        <v>31</v>
      </c>
      <c r="C828" s="8" t="str">
        <f t="shared" si="18"/>
        <v>att_software:diann</v>
      </c>
      <c r="D828" s="9" t="s">
        <v>17</v>
      </c>
      <c r="E828" s="8" t="s">
        <v>2380</v>
      </c>
      <c r="F828" s="8" t="s">
        <v>2381</v>
      </c>
    </row>
    <row r="829" spans="1:6" x14ac:dyDescent="0.15">
      <c r="A829" s="8" t="s">
        <v>2382</v>
      </c>
      <c r="B829" s="8" t="s">
        <v>31</v>
      </c>
      <c r="C829" s="8" t="str">
        <f t="shared" si="18"/>
        <v>att_software:maxquant</v>
      </c>
      <c r="D829" s="9" t="s">
        <v>17</v>
      </c>
      <c r="E829" s="8" t="s">
        <v>2383</v>
      </c>
      <c r="F829" s="8" t="s">
        <v>2384</v>
      </c>
    </row>
    <row r="830" spans="1:6" x14ac:dyDescent="0.15">
      <c r="A830" s="8" t="s">
        <v>2385</v>
      </c>
      <c r="B830" s="8" t="s">
        <v>31</v>
      </c>
      <c r="C830" s="8" t="str">
        <f t="shared" ref="C830:C901" si="20">B830&amp;":"&amp;A830</f>
        <v>att_software:metamorpheus</v>
      </c>
      <c r="D830" s="9" t="s">
        <v>17</v>
      </c>
      <c r="E830" s="8" t="s">
        <v>2386</v>
      </c>
      <c r="F830" s="8" t="s">
        <v>2387</v>
      </c>
    </row>
    <row r="831" spans="1:6" x14ac:dyDescent="0.15">
      <c r="A831" s="8" t="s">
        <v>2388</v>
      </c>
      <c r="B831" s="8" t="s">
        <v>31</v>
      </c>
      <c r="C831" s="8" t="str">
        <f t="shared" si="20"/>
        <v>att_software:minora</v>
      </c>
      <c r="D831" s="9" t="s">
        <v>17</v>
      </c>
      <c r="E831" s="8" t="s">
        <v>2389</v>
      </c>
      <c r="F831" s="8" t="s">
        <v>2390</v>
      </c>
    </row>
    <row r="832" spans="1:6" x14ac:dyDescent="0.15">
      <c r="A832" s="8" t="s">
        <v>2391</v>
      </c>
      <c r="B832" s="8" t="s">
        <v>31</v>
      </c>
      <c r="C832" s="8" t="str">
        <f t="shared" si="20"/>
        <v>att_software:msfragger</v>
      </c>
      <c r="D832" s="9" t="s">
        <v>17</v>
      </c>
      <c r="E832" s="8" t="s">
        <v>2392</v>
      </c>
      <c r="F832" s="8" t="s">
        <v>2393</v>
      </c>
    </row>
    <row r="833" spans="1:6" x14ac:dyDescent="0.15">
      <c r="A833" s="8" t="s">
        <v>2394</v>
      </c>
      <c r="B833" s="8" t="s">
        <v>31</v>
      </c>
      <c r="C833" s="8" t="str">
        <f t="shared" si="20"/>
        <v>att_software:msgf</v>
      </c>
      <c r="D833" s="9" t="s">
        <v>17</v>
      </c>
      <c r="E833" s="8" t="s">
        <v>2395</v>
      </c>
      <c r="F833" s="8" t="s">
        <v>2396</v>
      </c>
    </row>
    <row r="834" spans="1:6" x14ac:dyDescent="0.15">
      <c r="A834" s="8" t="s">
        <v>2397</v>
      </c>
      <c r="B834" s="8" t="s">
        <v>31</v>
      </c>
      <c r="C834" s="8" t="str">
        <f t="shared" si="20"/>
        <v>att_software:spectronaut</v>
      </c>
      <c r="D834" s="9" t="s">
        <v>17</v>
      </c>
      <c r="E834" s="8" t="s">
        <v>2398</v>
      </c>
      <c r="F834" s="8" t="s">
        <v>2399</v>
      </c>
    </row>
    <row r="835" spans="1:6" x14ac:dyDescent="0.15">
      <c r="A835" s="8" t="s">
        <v>2930</v>
      </c>
      <c r="B835" s="8" t="s">
        <v>2928</v>
      </c>
      <c r="C835" s="8" t="str">
        <f t="shared" si="20"/>
        <v>att_subcellular_compartment:wc</v>
      </c>
      <c r="D835" s="9" t="s">
        <v>17</v>
      </c>
      <c r="E835" s="8" t="s">
        <v>2931</v>
      </c>
      <c r="F835" s="8" t="s">
        <v>2932</v>
      </c>
    </row>
    <row r="836" spans="1:6" x14ac:dyDescent="0.15">
      <c r="A836" s="8" t="s">
        <v>2934</v>
      </c>
      <c r="B836" s="8" t="s">
        <v>2928</v>
      </c>
      <c r="C836" s="8" t="str">
        <f t="shared" si="20"/>
        <v>att_subcellular_compartment:membrane</v>
      </c>
      <c r="D836" s="9" t="s">
        <v>17</v>
      </c>
      <c r="E836" s="8" t="s">
        <v>2935</v>
      </c>
      <c r="F836" s="8" t="s">
        <v>2936</v>
      </c>
    </row>
    <row r="837" spans="1:6" x14ac:dyDescent="0.15">
      <c r="A837" s="8" t="s">
        <v>2933</v>
      </c>
      <c r="B837" s="8" t="s">
        <v>2928</v>
      </c>
      <c r="C837" s="8" t="str">
        <f t="shared" ref="C837" si="21">B837&amp;":"&amp;A837</f>
        <v>att_subcellular_compartment:mitochondria</v>
      </c>
      <c r="D837" s="9" t="s">
        <v>17</v>
      </c>
      <c r="E837" s="8" t="s">
        <v>2950</v>
      </c>
      <c r="F837" s="8" t="s">
        <v>2949</v>
      </c>
    </row>
    <row r="838" spans="1:6" x14ac:dyDescent="0.15">
      <c r="A838" s="8" t="s">
        <v>2963</v>
      </c>
      <c r="B838" s="8" t="s">
        <v>2928</v>
      </c>
      <c r="C838" s="8" t="str">
        <f t="shared" ref="C838" si="22">B838&amp;":"&amp;A838</f>
        <v>att_subcellular_compartment:mitochondriapk</v>
      </c>
      <c r="D838" s="9" t="s">
        <v>17</v>
      </c>
      <c r="E838" s="8" t="s">
        <v>2961</v>
      </c>
      <c r="F838" s="8" t="s">
        <v>2962</v>
      </c>
    </row>
    <row r="839" spans="1:6" x14ac:dyDescent="0.15">
      <c r="A839" s="8" t="s">
        <v>2937</v>
      </c>
      <c r="B839" s="8" t="s">
        <v>2928</v>
      </c>
      <c r="C839" s="8" t="str">
        <f t="shared" si="20"/>
        <v>att_subcellular_compartment:golgi</v>
      </c>
      <c r="D839" s="9" t="s">
        <v>17</v>
      </c>
      <c r="E839" s="8" t="s">
        <v>2938</v>
      </c>
      <c r="F839" s="8" t="s">
        <v>2939</v>
      </c>
    </row>
    <row r="840" spans="1:6" x14ac:dyDescent="0.15">
      <c r="A840" s="8" t="s">
        <v>2940</v>
      </c>
      <c r="B840" s="8" t="s">
        <v>2928</v>
      </c>
      <c r="C840" s="8" t="str">
        <f t="shared" ref="C840:C842" si="23">B840&amp;":"&amp;A840</f>
        <v>att_subcellular_compartment:plasmamembrane</v>
      </c>
      <c r="D840" s="9" t="s">
        <v>17</v>
      </c>
      <c r="E840" s="8" t="s">
        <v>2948</v>
      </c>
      <c r="F840" s="8" t="s">
        <v>2941</v>
      </c>
    </row>
    <row r="841" spans="1:6" x14ac:dyDescent="0.15">
      <c r="A841" s="8" t="s">
        <v>2942</v>
      </c>
      <c r="B841" s="8" t="s">
        <v>2928</v>
      </c>
      <c r="C841" s="8" t="str">
        <f t="shared" si="23"/>
        <v>att_subcellular_compartment:nucleus</v>
      </c>
      <c r="D841" s="9" t="s">
        <v>17</v>
      </c>
      <c r="E841" s="8" t="s">
        <v>2943</v>
      </c>
      <c r="F841" s="8" t="s">
        <v>2944</v>
      </c>
    </row>
    <row r="842" spans="1:6" x14ac:dyDescent="0.15">
      <c r="A842" s="8" t="s">
        <v>2945</v>
      </c>
      <c r="B842" s="8" t="s">
        <v>2928</v>
      </c>
      <c r="C842" s="8" t="str">
        <f t="shared" si="23"/>
        <v>att_subcellular_compartment:cytosol</v>
      </c>
      <c r="D842" s="9" t="s">
        <v>17</v>
      </c>
      <c r="E842" s="8" t="s">
        <v>2946</v>
      </c>
      <c r="F842" s="8" t="s">
        <v>2947</v>
      </c>
    </row>
    <row r="843" spans="1:6" x14ac:dyDescent="0.15">
      <c r="A843" s="8" t="s">
        <v>2400</v>
      </c>
      <c r="B843" s="8" t="s">
        <v>238</v>
      </c>
      <c r="C843" s="8" t="str">
        <f t="shared" si="20"/>
        <v>att_tissue:adipose</v>
      </c>
      <c r="D843" s="8" t="s">
        <v>2400</v>
      </c>
      <c r="E843" s="8" t="s">
        <v>2401</v>
      </c>
      <c r="F843" s="8" t="s">
        <v>2402</v>
      </c>
    </row>
    <row r="844" spans="1:6" x14ac:dyDescent="0.15">
      <c r="A844" s="8" t="s">
        <v>2403</v>
      </c>
      <c r="B844" s="8" t="s">
        <v>238</v>
      </c>
      <c r="C844" s="8" t="str">
        <f t="shared" si="20"/>
        <v>att_tissue:areolar</v>
      </c>
      <c r="D844" s="8" t="s">
        <v>2403</v>
      </c>
      <c r="E844" s="8" t="s">
        <v>2404</v>
      </c>
      <c r="F844" s="8" t="s">
        <v>2405</v>
      </c>
    </row>
    <row r="845" spans="1:6" x14ac:dyDescent="0.15">
      <c r="A845" s="8" t="s">
        <v>2406</v>
      </c>
      <c r="B845" s="8" t="s">
        <v>238</v>
      </c>
      <c r="C845" s="8" t="str">
        <f t="shared" si="20"/>
        <v>att_tissue:blood</v>
      </c>
      <c r="D845" s="8" t="s">
        <v>2406</v>
      </c>
      <c r="E845" s="8" t="s">
        <v>2407</v>
      </c>
      <c r="F845" s="8" t="s">
        <v>2407</v>
      </c>
    </row>
    <row r="846" spans="1:6" x14ac:dyDescent="0.15">
      <c r="A846" s="8" t="s">
        <v>2408</v>
      </c>
      <c r="B846" s="8" t="s">
        <v>238</v>
      </c>
      <c r="C846" s="8" t="str">
        <f t="shared" si="20"/>
        <v>att_tissue:connective</v>
      </c>
      <c r="D846" s="8" t="s">
        <v>2408</v>
      </c>
      <c r="E846" s="8" t="s">
        <v>2409</v>
      </c>
      <c r="F846" s="8" t="s">
        <v>2410</v>
      </c>
    </row>
    <row r="847" spans="1:6" x14ac:dyDescent="0.15">
      <c r="A847" s="8" t="s">
        <v>2411</v>
      </c>
      <c r="B847" s="8" t="s">
        <v>238</v>
      </c>
      <c r="C847" s="8" t="str">
        <f t="shared" si="20"/>
        <v>att_tissue:dermis</v>
      </c>
      <c r="D847" s="8" t="s">
        <v>2411</v>
      </c>
      <c r="E847" s="8" t="s">
        <v>2412</v>
      </c>
      <c r="F847" s="8" t="s">
        <v>2412</v>
      </c>
    </row>
    <row r="848" spans="1:6" x14ac:dyDescent="0.15">
      <c r="A848" s="8" t="s">
        <v>2413</v>
      </c>
      <c r="B848" s="8" t="s">
        <v>238</v>
      </c>
      <c r="C848" s="8" t="str">
        <f t="shared" si="20"/>
        <v>att_tissue:epidermis</v>
      </c>
      <c r="D848" s="8" t="s">
        <v>2413</v>
      </c>
      <c r="E848" s="8" t="s">
        <v>2414</v>
      </c>
      <c r="F848" s="8" t="s">
        <v>2414</v>
      </c>
    </row>
    <row r="849" spans="1:6" x14ac:dyDescent="0.15">
      <c r="A849" s="8" t="s">
        <v>2415</v>
      </c>
      <c r="B849" s="8" t="s">
        <v>238</v>
      </c>
      <c r="C849" s="8" t="str">
        <f t="shared" si="20"/>
        <v>att_tissue:epithelial</v>
      </c>
      <c r="D849" s="8" t="s">
        <v>2415</v>
      </c>
      <c r="E849" s="8" t="s">
        <v>2416</v>
      </c>
      <c r="F849" s="8" t="s">
        <v>2417</v>
      </c>
    </row>
    <row r="850" spans="1:6" x14ac:dyDescent="0.15">
      <c r="A850" s="8" t="s">
        <v>2418</v>
      </c>
      <c r="B850" s="8" t="s">
        <v>238</v>
      </c>
      <c r="C850" s="8" t="str">
        <f t="shared" si="20"/>
        <v>att_tissue:hypodermis</v>
      </c>
      <c r="D850" s="8" t="s">
        <v>2418</v>
      </c>
      <c r="E850" s="8" t="s">
        <v>2419</v>
      </c>
      <c r="F850" s="8" t="s">
        <v>2419</v>
      </c>
    </row>
    <row r="851" spans="1:6" x14ac:dyDescent="0.15">
      <c r="A851" s="8" t="s">
        <v>2420</v>
      </c>
      <c r="B851" s="8" t="s">
        <v>238</v>
      </c>
      <c r="C851" s="8" t="str">
        <f t="shared" si="20"/>
        <v>att_tissue:muscle</v>
      </c>
      <c r="D851" s="8" t="s">
        <v>2420</v>
      </c>
      <c r="E851" s="8" t="s">
        <v>2818</v>
      </c>
      <c r="F851" s="8" t="s">
        <v>2421</v>
      </c>
    </row>
    <row r="852" spans="1:6" x14ac:dyDescent="0.15">
      <c r="A852" s="8" t="s">
        <v>2422</v>
      </c>
      <c r="B852" s="8" t="s">
        <v>238</v>
      </c>
      <c r="C852" s="8" t="str">
        <f t="shared" si="20"/>
        <v>att_tissue:nervous</v>
      </c>
      <c r="D852" s="8" t="s">
        <v>2422</v>
      </c>
      <c r="E852" s="8" t="s">
        <v>2241</v>
      </c>
      <c r="F852" s="8" t="s">
        <v>2423</v>
      </c>
    </row>
    <row r="853" spans="1:6" x14ac:dyDescent="0.15">
      <c r="A853" s="8" t="s">
        <v>2424</v>
      </c>
      <c r="B853" s="8" t="s">
        <v>238</v>
      </c>
      <c r="C853" s="8" t="str">
        <f t="shared" si="20"/>
        <v>att_tissue:reticular</v>
      </c>
      <c r="D853" s="8" t="s">
        <v>2424</v>
      </c>
      <c r="E853" s="8" t="s">
        <v>2425</v>
      </c>
      <c r="F853" s="8" t="s">
        <v>2426</v>
      </c>
    </row>
    <row r="854" spans="1:6" x14ac:dyDescent="0.15">
      <c r="A854" s="8" t="s">
        <v>2427</v>
      </c>
      <c r="B854" s="8" t="s">
        <v>238</v>
      </c>
      <c r="C854" s="8" t="str">
        <f t="shared" si="20"/>
        <v>att_tissue:stromal</v>
      </c>
      <c r="D854" s="8" t="s">
        <v>2427</v>
      </c>
      <c r="E854" s="8" t="s">
        <v>2428</v>
      </c>
      <c r="F854" s="8" t="s">
        <v>2429</v>
      </c>
    </row>
    <row r="855" spans="1:6" x14ac:dyDescent="0.15">
      <c r="A855" s="8" t="s">
        <v>2430</v>
      </c>
      <c r="B855" s="8" t="s">
        <v>240</v>
      </c>
      <c r="C855" s="8" t="str">
        <f t="shared" si="20"/>
        <v>att_tmt_channel:tmt10_126</v>
      </c>
      <c r="D855" s="9" t="s">
        <v>17</v>
      </c>
      <c r="E855" s="8">
        <v>126</v>
      </c>
      <c r="F855" s="9" t="s">
        <v>17</v>
      </c>
    </row>
    <row r="856" spans="1:6" x14ac:dyDescent="0.15">
      <c r="A856" s="8" t="s">
        <v>2431</v>
      </c>
      <c r="B856" s="8" t="s">
        <v>240</v>
      </c>
      <c r="C856" s="8" t="str">
        <f t="shared" si="20"/>
        <v>att_tmt_channel:tmt10_127C</v>
      </c>
      <c r="D856" s="9" t="s">
        <v>17</v>
      </c>
      <c r="E856" s="8" t="s">
        <v>2432</v>
      </c>
      <c r="F856" s="9" t="s">
        <v>17</v>
      </c>
    </row>
    <row r="857" spans="1:6" x14ac:dyDescent="0.15">
      <c r="A857" s="8" t="s">
        <v>2433</v>
      </c>
      <c r="B857" s="8" t="s">
        <v>240</v>
      </c>
      <c r="C857" s="8" t="str">
        <f t="shared" si="20"/>
        <v>att_tmt_channel:tmt10_127N</v>
      </c>
      <c r="D857" s="9" t="s">
        <v>17</v>
      </c>
      <c r="E857" s="8" t="s">
        <v>2434</v>
      </c>
      <c r="F857" s="9" t="s">
        <v>17</v>
      </c>
    </row>
    <row r="858" spans="1:6" x14ac:dyDescent="0.15">
      <c r="A858" s="8" t="s">
        <v>2435</v>
      </c>
      <c r="B858" s="8" t="s">
        <v>240</v>
      </c>
      <c r="C858" s="8" t="str">
        <f t="shared" si="20"/>
        <v>att_tmt_channel:tmt10_128C</v>
      </c>
      <c r="D858" s="9" t="s">
        <v>17</v>
      </c>
      <c r="E858" s="8" t="s">
        <v>2436</v>
      </c>
      <c r="F858" s="9" t="s">
        <v>17</v>
      </c>
    </row>
    <row r="859" spans="1:6" x14ac:dyDescent="0.15">
      <c r="A859" s="8" t="s">
        <v>2437</v>
      </c>
      <c r="B859" s="8" t="s">
        <v>240</v>
      </c>
      <c r="C859" s="8" t="str">
        <f t="shared" si="20"/>
        <v>att_tmt_channel:tmt10_128N</v>
      </c>
      <c r="D859" s="9" t="s">
        <v>17</v>
      </c>
      <c r="E859" s="8" t="s">
        <v>2438</v>
      </c>
      <c r="F859" s="9" t="s">
        <v>17</v>
      </c>
    </row>
    <row r="860" spans="1:6" x14ac:dyDescent="0.15">
      <c r="A860" s="8" t="s">
        <v>2439</v>
      </c>
      <c r="B860" s="8" t="s">
        <v>240</v>
      </c>
      <c r="C860" s="8" t="str">
        <f t="shared" si="20"/>
        <v>att_tmt_channel:tmt10_129C</v>
      </c>
      <c r="D860" s="9" t="s">
        <v>17</v>
      </c>
      <c r="E860" s="8" t="s">
        <v>2440</v>
      </c>
      <c r="F860" s="9" t="s">
        <v>17</v>
      </c>
    </row>
    <row r="861" spans="1:6" x14ac:dyDescent="0.15">
      <c r="A861" s="8" t="s">
        <v>2441</v>
      </c>
      <c r="B861" s="8" t="s">
        <v>240</v>
      </c>
      <c r="C861" s="8" t="str">
        <f t="shared" si="20"/>
        <v>att_tmt_channel:tmt10_129N</v>
      </c>
      <c r="D861" s="9" t="s">
        <v>17</v>
      </c>
      <c r="E861" s="8" t="s">
        <v>2442</v>
      </c>
      <c r="F861" s="9" t="s">
        <v>17</v>
      </c>
    </row>
    <row r="862" spans="1:6" x14ac:dyDescent="0.15">
      <c r="A862" s="8" t="s">
        <v>2443</v>
      </c>
      <c r="B862" s="8" t="s">
        <v>240</v>
      </c>
      <c r="C862" s="8" t="str">
        <f t="shared" si="20"/>
        <v>att_tmt_channel:tmt10_130C</v>
      </c>
      <c r="D862" s="9" t="s">
        <v>17</v>
      </c>
      <c r="E862" s="8" t="s">
        <v>2444</v>
      </c>
      <c r="F862" s="9" t="s">
        <v>17</v>
      </c>
    </row>
    <row r="863" spans="1:6" x14ac:dyDescent="0.15">
      <c r="A863" s="8" t="s">
        <v>2445</v>
      </c>
      <c r="B863" s="8" t="s">
        <v>240</v>
      </c>
      <c r="C863" s="8" t="str">
        <f t="shared" si="20"/>
        <v>att_tmt_channel:tmt10_130N</v>
      </c>
      <c r="D863" s="9" t="s">
        <v>17</v>
      </c>
      <c r="E863" s="8" t="s">
        <v>2446</v>
      </c>
      <c r="F863" s="9" t="s">
        <v>17</v>
      </c>
    </row>
    <row r="864" spans="1:6" x14ac:dyDescent="0.15">
      <c r="A864" s="8" t="s">
        <v>2447</v>
      </c>
      <c r="B864" s="8" t="s">
        <v>240</v>
      </c>
      <c r="C864" s="8" t="str">
        <f t="shared" si="20"/>
        <v>att_tmt_channel:tmt10_131</v>
      </c>
      <c r="D864" s="9" t="s">
        <v>17</v>
      </c>
      <c r="E864" s="8">
        <v>131</v>
      </c>
      <c r="F864" s="9" t="s">
        <v>17</v>
      </c>
    </row>
    <row r="865" spans="1:6" x14ac:dyDescent="0.15">
      <c r="A865" s="8" t="s">
        <v>2448</v>
      </c>
      <c r="B865" s="8" t="s">
        <v>240</v>
      </c>
      <c r="C865" s="8" t="str">
        <f t="shared" si="20"/>
        <v>att_tmt_channel:tmt11_126</v>
      </c>
      <c r="D865" s="9" t="s">
        <v>17</v>
      </c>
      <c r="E865" s="8">
        <v>126</v>
      </c>
      <c r="F865" s="9" t="s">
        <v>17</v>
      </c>
    </row>
    <row r="866" spans="1:6" x14ac:dyDescent="0.15">
      <c r="A866" s="8" t="s">
        <v>2449</v>
      </c>
      <c r="B866" s="8" t="s">
        <v>240</v>
      </c>
      <c r="C866" s="8" t="str">
        <f t="shared" si="20"/>
        <v>att_tmt_channel:tmt11_127C</v>
      </c>
      <c r="D866" s="9" t="s">
        <v>17</v>
      </c>
      <c r="E866" s="8" t="s">
        <v>2432</v>
      </c>
      <c r="F866" s="9" t="s">
        <v>17</v>
      </c>
    </row>
    <row r="867" spans="1:6" x14ac:dyDescent="0.15">
      <c r="A867" s="8" t="s">
        <v>2450</v>
      </c>
      <c r="B867" s="8" t="s">
        <v>240</v>
      </c>
      <c r="C867" s="8" t="str">
        <f t="shared" si="20"/>
        <v>att_tmt_channel:tmt11_127N</v>
      </c>
      <c r="D867" s="9" t="s">
        <v>17</v>
      </c>
      <c r="E867" s="8" t="s">
        <v>2434</v>
      </c>
      <c r="F867" s="9" t="s">
        <v>17</v>
      </c>
    </row>
    <row r="868" spans="1:6" x14ac:dyDescent="0.15">
      <c r="A868" s="8" t="s">
        <v>2451</v>
      </c>
      <c r="B868" s="8" t="s">
        <v>240</v>
      </c>
      <c r="C868" s="8" t="str">
        <f t="shared" si="20"/>
        <v>att_tmt_channel:tmt11_128C</v>
      </c>
      <c r="D868" s="9" t="s">
        <v>17</v>
      </c>
      <c r="E868" s="8" t="s">
        <v>2436</v>
      </c>
      <c r="F868" s="9" t="s">
        <v>17</v>
      </c>
    </row>
    <row r="869" spans="1:6" x14ac:dyDescent="0.15">
      <c r="A869" s="8" t="s">
        <v>2452</v>
      </c>
      <c r="B869" s="8" t="s">
        <v>240</v>
      </c>
      <c r="C869" s="8" t="str">
        <f t="shared" si="20"/>
        <v>att_tmt_channel:tmt11_128N</v>
      </c>
      <c r="D869" s="9" t="s">
        <v>17</v>
      </c>
      <c r="E869" s="8" t="s">
        <v>2438</v>
      </c>
      <c r="F869" s="9" t="s">
        <v>17</v>
      </c>
    </row>
    <row r="870" spans="1:6" x14ac:dyDescent="0.15">
      <c r="A870" s="8" t="s">
        <v>2453</v>
      </c>
      <c r="B870" s="8" t="s">
        <v>240</v>
      </c>
      <c r="C870" s="8" t="str">
        <f t="shared" si="20"/>
        <v>att_tmt_channel:tmt11_129C</v>
      </c>
      <c r="D870" s="9" t="s">
        <v>17</v>
      </c>
      <c r="E870" s="8" t="s">
        <v>2440</v>
      </c>
      <c r="F870" s="9" t="s">
        <v>17</v>
      </c>
    </row>
    <row r="871" spans="1:6" x14ac:dyDescent="0.15">
      <c r="A871" s="8" t="s">
        <v>2454</v>
      </c>
      <c r="B871" s="8" t="s">
        <v>240</v>
      </c>
      <c r="C871" s="8" t="str">
        <f t="shared" si="20"/>
        <v>att_tmt_channel:tmt11_129N</v>
      </c>
      <c r="D871" s="9" t="s">
        <v>17</v>
      </c>
      <c r="E871" s="8" t="s">
        <v>2442</v>
      </c>
      <c r="F871" s="9" t="s">
        <v>17</v>
      </c>
    </row>
    <row r="872" spans="1:6" x14ac:dyDescent="0.15">
      <c r="A872" s="8" t="s">
        <v>2455</v>
      </c>
      <c r="B872" s="8" t="s">
        <v>240</v>
      </c>
      <c r="C872" s="8" t="str">
        <f t="shared" si="20"/>
        <v>att_tmt_channel:tmt11_130C</v>
      </c>
      <c r="D872" s="9" t="s">
        <v>17</v>
      </c>
      <c r="E872" s="8" t="s">
        <v>2444</v>
      </c>
      <c r="F872" s="9" t="s">
        <v>17</v>
      </c>
    </row>
    <row r="873" spans="1:6" x14ac:dyDescent="0.15">
      <c r="A873" s="8" t="s">
        <v>2456</v>
      </c>
      <c r="B873" s="8" t="s">
        <v>240</v>
      </c>
      <c r="C873" s="8" t="str">
        <f t="shared" si="20"/>
        <v>att_tmt_channel:tmt11_130N</v>
      </c>
      <c r="D873" s="9" t="s">
        <v>17</v>
      </c>
      <c r="E873" s="8" t="s">
        <v>2446</v>
      </c>
      <c r="F873" s="9" t="s">
        <v>17</v>
      </c>
    </row>
    <row r="874" spans="1:6" x14ac:dyDescent="0.15">
      <c r="A874" s="8" t="s">
        <v>2457</v>
      </c>
      <c r="B874" s="8" t="s">
        <v>240</v>
      </c>
      <c r="C874" s="8" t="str">
        <f t="shared" si="20"/>
        <v>att_tmt_channel:tmt11_131C</v>
      </c>
      <c r="D874" s="9" t="s">
        <v>17</v>
      </c>
      <c r="E874" s="8" t="s">
        <v>2458</v>
      </c>
      <c r="F874" s="9" t="s">
        <v>17</v>
      </c>
    </row>
    <row r="875" spans="1:6" x14ac:dyDescent="0.15">
      <c r="A875" s="8" t="s">
        <v>2459</v>
      </c>
      <c r="B875" s="8" t="s">
        <v>240</v>
      </c>
      <c r="C875" s="8" t="str">
        <f t="shared" si="20"/>
        <v>att_tmt_channel:tmt11_131N</v>
      </c>
      <c r="D875" s="9" t="s">
        <v>17</v>
      </c>
      <c r="E875" s="8" t="s">
        <v>2460</v>
      </c>
      <c r="F875" s="9" t="s">
        <v>17</v>
      </c>
    </row>
    <row r="876" spans="1:6" x14ac:dyDescent="0.15">
      <c r="A876" s="8" t="s">
        <v>2461</v>
      </c>
      <c r="B876" s="8" t="s">
        <v>240</v>
      </c>
      <c r="C876" s="8" t="str">
        <f t="shared" si="20"/>
        <v>att_tmt_channel:tmt18_126</v>
      </c>
      <c r="D876" s="9" t="s">
        <v>17</v>
      </c>
      <c r="E876" s="8">
        <v>126</v>
      </c>
      <c r="F876" s="9" t="s">
        <v>17</v>
      </c>
    </row>
    <row r="877" spans="1:6" x14ac:dyDescent="0.15">
      <c r="A877" s="8" t="s">
        <v>2462</v>
      </c>
      <c r="B877" s="8" t="s">
        <v>240</v>
      </c>
      <c r="C877" s="8" t="str">
        <f t="shared" si="20"/>
        <v>att_tmt_channel:tmt18_127C</v>
      </c>
      <c r="D877" s="9" t="s">
        <v>17</v>
      </c>
      <c r="E877" s="8" t="s">
        <v>2432</v>
      </c>
      <c r="F877" s="9" t="s">
        <v>17</v>
      </c>
    </row>
    <row r="878" spans="1:6" x14ac:dyDescent="0.15">
      <c r="A878" s="8" t="s">
        <v>2463</v>
      </c>
      <c r="B878" s="8" t="s">
        <v>240</v>
      </c>
      <c r="C878" s="8" t="str">
        <f t="shared" si="20"/>
        <v>att_tmt_channel:tmt18_127N</v>
      </c>
      <c r="D878" s="9" t="s">
        <v>17</v>
      </c>
      <c r="E878" s="8" t="s">
        <v>2434</v>
      </c>
      <c r="F878" s="9" t="s">
        <v>17</v>
      </c>
    </row>
    <row r="879" spans="1:6" x14ac:dyDescent="0.15">
      <c r="A879" s="8" t="s">
        <v>2464</v>
      </c>
      <c r="B879" s="8" t="s">
        <v>240</v>
      </c>
      <c r="C879" s="8" t="str">
        <f t="shared" si="20"/>
        <v>att_tmt_channel:tmt18_128C</v>
      </c>
      <c r="D879" s="9" t="s">
        <v>17</v>
      </c>
      <c r="E879" s="8" t="s">
        <v>2436</v>
      </c>
      <c r="F879" s="9" t="s">
        <v>17</v>
      </c>
    </row>
    <row r="880" spans="1:6" x14ac:dyDescent="0.15">
      <c r="A880" s="8" t="s">
        <v>2465</v>
      </c>
      <c r="B880" s="8" t="s">
        <v>240</v>
      </c>
      <c r="C880" s="8" t="str">
        <f t="shared" si="20"/>
        <v>att_tmt_channel:tmt18_128N</v>
      </c>
      <c r="D880" s="9" t="s">
        <v>17</v>
      </c>
      <c r="E880" s="8" t="s">
        <v>2438</v>
      </c>
      <c r="F880" s="9" t="s">
        <v>17</v>
      </c>
    </row>
    <row r="881" spans="1:6" x14ac:dyDescent="0.15">
      <c r="A881" s="8" t="s">
        <v>2466</v>
      </c>
      <c r="B881" s="8" t="s">
        <v>240</v>
      </c>
      <c r="C881" s="8" t="str">
        <f t="shared" si="20"/>
        <v>att_tmt_channel:tmt18_129C</v>
      </c>
      <c r="D881" s="9" t="s">
        <v>17</v>
      </c>
      <c r="E881" s="8" t="s">
        <v>2440</v>
      </c>
      <c r="F881" s="9" t="s">
        <v>17</v>
      </c>
    </row>
    <row r="882" spans="1:6" x14ac:dyDescent="0.15">
      <c r="A882" s="8" t="s">
        <v>2467</v>
      </c>
      <c r="B882" s="8" t="s">
        <v>240</v>
      </c>
      <c r="C882" s="8" t="str">
        <f t="shared" si="20"/>
        <v>att_tmt_channel:tmt18_129N</v>
      </c>
      <c r="D882" s="9" t="s">
        <v>17</v>
      </c>
      <c r="E882" s="8" t="s">
        <v>2442</v>
      </c>
      <c r="F882" s="9" t="s">
        <v>17</v>
      </c>
    </row>
    <row r="883" spans="1:6" x14ac:dyDescent="0.15">
      <c r="A883" s="8" t="s">
        <v>2468</v>
      </c>
      <c r="B883" s="8" t="s">
        <v>240</v>
      </c>
      <c r="C883" s="8" t="str">
        <f t="shared" si="20"/>
        <v>att_tmt_channel:tmt18_130C</v>
      </c>
      <c r="D883" s="9" t="s">
        <v>17</v>
      </c>
      <c r="E883" s="8" t="s">
        <v>2444</v>
      </c>
      <c r="F883" s="9" t="s">
        <v>17</v>
      </c>
    </row>
    <row r="884" spans="1:6" x14ac:dyDescent="0.15">
      <c r="A884" s="8" t="s">
        <v>2469</v>
      </c>
      <c r="B884" s="8" t="s">
        <v>240</v>
      </c>
      <c r="C884" s="8" t="str">
        <f t="shared" si="20"/>
        <v>att_tmt_channel:tmt18_130N</v>
      </c>
      <c r="D884" s="9" t="s">
        <v>17</v>
      </c>
      <c r="E884" s="8" t="s">
        <v>2446</v>
      </c>
      <c r="F884" s="9" t="s">
        <v>17</v>
      </c>
    </row>
    <row r="885" spans="1:6" x14ac:dyDescent="0.15">
      <c r="A885" s="8" t="s">
        <v>2470</v>
      </c>
      <c r="B885" s="8" t="s">
        <v>240</v>
      </c>
      <c r="C885" s="8" t="str">
        <f t="shared" si="20"/>
        <v>att_tmt_channel:tmt18_131C</v>
      </c>
      <c r="D885" s="9" t="s">
        <v>17</v>
      </c>
      <c r="E885" s="8" t="s">
        <v>2458</v>
      </c>
      <c r="F885" s="9" t="s">
        <v>17</v>
      </c>
    </row>
    <row r="886" spans="1:6" x14ac:dyDescent="0.15">
      <c r="A886" s="8" t="s">
        <v>2471</v>
      </c>
      <c r="B886" s="8" t="s">
        <v>240</v>
      </c>
      <c r="C886" s="8" t="str">
        <f t="shared" si="20"/>
        <v>att_tmt_channel:tmt18_131N</v>
      </c>
      <c r="D886" s="9" t="s">
        <v>17</v>
      </c>
      <c r="E886" s="8" t="s">
        <v>2460</v>
      </c>
      <c r="F886" s="9" t="s">
        <v>17</v>
      </c>
    </row>
    <row r="887" spans="1:6" x14ac:dyDescent="0.15">
      <c r="A887" s="8" t="s">
        <v>2472</v>
      </c>
      <c r="B887" s="8" t="s">
        <v>240</v>
      </c>
      <c r="C887" s="8" t="str">
        <f t="shared" si="20"/>
        <v>att_tmt_channel:tmt18_132C</v>
      </c>
      <c r="D887" s="9" t="s">
        <v>17</v>
      </c>
      <c r="E887" s="8" t="s">
        <v>2473</v>
      </c>
      <c r="F887" s="9" t="s">
        <v>17</v>
      </c>
    </row>
    <row r="888" spans="1:6" x14ac:dyDescent="0.15">
      <c r="A888" s="8" t="s">
        <v>2474</v>
      </c>
      <c r="B888" s="8" t="s">
        <v>240</v>
      </c>
      <c r="C888" s="8" t="str">
        <f t="shared" si="20"/>
        <v>att_tmt_channel:tmt18_132N</v>
      </c>
      <c r="D888" s="9" t="s">
        <v>17</v>
      </c>
      <c r="E888" s="8" t="s">
        <v>2475</v>
      </c>
      <c r="F888" s="9" t="s">
        <v>17</v>
      </c>
    </row>
    <row r="889" spans="1:6" x14ac:dyDescent="0.15">
      <c r="A889" s="8" t="s">
        <v>2476</v>
      </c>
      <c r="B889" s="8" t="s">
        <v>240</v>
      </c>
      <c r="C889" s="8" t="str">
        <f t="shared" si="20"/>
        <v>att_tmt_channel:tmt18_133C</v>
      </c>
      <c r="D889" s="9" t="s">
        <v>17</v>
      </c>
      <c r="E889" s="8" t="s">
        <v>2477</v>
      </c>
      <c r="F889" s="9" t="s">
        <v>17</v>
      </c>
    </row>
    <row r="890" spans="1:6" x14ac:dyDescent="0.15">
      <c r="A890" s="8" t="s">
        <v>2478</v>
      </c>
      <c r="B890" s="8" t="s">
        <v>240</v>
      </c>
      <c r="C890" s="8" t="str">
        <f t="shared" si="20"/>
        <v>att_tmt_channel:tmt18_133N</v>
      </c>
      <c r="D890" s="9" t="s">
        <v>17</v>
      </c>
      <c r="E890" s="8" t="s">
        <v>2479</v>
      </c>
      <c r="F890" s="9" t="s">
        <v>17</v>
      </c>
    </row>
    <row r="891" spans="1:6" x14ac:dyDescent="0.15">
      <c r="A891" s="8" t="s">
        <v>2480</v>
      </c>
      <c r="B891" s="8" t="s">
        <v>240</v>
      </c>
      <c r="C891" s="8" t="str">
        <f t="shared" si="20"/>
        <v>att_tmt_channel:tmt18_134C</v>
      </c>
      <c r="D891" s="9" t="s">
        <v>17</v>
      </c>
      <c r="E891" s="8" t="s">
        <v>2481</v>
      </c>
      <c r="F891" s="9" t="s">
        <v>17</v>
      </c>
    </row>
    <row r="892" spans="1:6" x14ac:dyDescent="0.15">
      <c r="A892" s="8" t="s">
        <v>2482</v>
      </c>
      <c r="B892" s="8" t="s">
        <v>240</v>
      </c>
      <c r="C892" s="8" t="str">
        <f t="shared" si="20"/>
        <v>att_tmt_channel:tmt18_134N</v>
      </c>
      <c r="D892" s="9" t="s">
        <v>17</v>
      </c>
      <c r="E892" s="8" t="s">
        <v>2483</v>
      </c>
      <c r="F892" s="9" t="s">
        <v>17</v>
      </c>
    </row>
    <row r="893" spans="1:6" x14ac:dyDescent="0.15">
      <c r="A893" s="8" t="s">
        <v>2484</v>
      </c>
      <c r="B893" s="8" t="s">
        <v>240</v>
      </c>
      <c r="C893" s="8" t="str">
        <f t="shared" si="20"/>
        <v>att_tmt_channel:tmt18_135N</v>
      </c>
      <c r="D893" s="9" t="s">
        <v>17</v>
      </c>
      <c r="E893" s="8" t="s">
        <v>2485</v>
      </c>
      <c r="F893" s="9" t="s">
        <v>17</v>
      </c>
    </row>
    <row r="894" spans="1:6" x14ac:dyDescent="0.15">
      <c r="A894" s="8" t="s">
        <v>2486</v>
      </c>
      <c r="B894" s="8" t="s">
        <v>240</v>
      </c>
      <c r="C894" s="8" t="str">
        <f t="shared" si="20"/>
        <v>att_tmt_channel:tmt6_126</v>
      </c>
      <c r="D894" s="9" t="s">
        <v>17</v>
      </c>
      <c r="E894" s="8">
        <v>126</v>
      </c>
      <c r="F894" s="9" t="s">
        <v>17</v>
      </c>
    </row>
    <row r="895" spans="1:6" x14ac:dyDescent="0.15">
      <c r="A895" s="8" t="s">
        <v>2487</v>
      </c>
      <c r="B895" s="8" t="s">
        <v>240</v>
      </c>
      <c r="C895" s="8" t="str">
        <f t="shared" si="20"/>
        <v>att_tmt_channel:tmt6_127</v>
      </c>
      <c r="D895" s="9" t="s">
        <v>17</v>
      </c>
      <c r="E895" s="8">
        <v>127</v>
      </c>
      <c r="F895" s="9" t="s">
        <v>17</v>
      </c>
    </row>
    <row r="896" spans="1:6" x14ac:dyDescent="0.15">
      <c r="A896" s="8" t="s">
        <v>2488</v>
      </c>
      <c r="B896" s="8" t="s">
        <v>240</v>
      </c>
      <c r="C896" s="8" t="str">
        <f t="shared" si="20"/>
        <v>att_tmt_channel:tmt6_128</v>
      </c>
      <c r="D896" s="9" t="s">
        <v>17</v>
      </c>
      <c r="E896" s="8">
        <v>128</v>
      </c>
      <c r="F896" s="9" t="s">
        <v>17</v>
      </c>
    </row>
    <row r="897" spans="1:6" x14ac:dyDescent="0.15">
      <c r="A897" s="8" t="s">
        <v>2489</v>
      </c>
      <c r="B897" s="8" t="s">
        <v>240</v>
      </c>
      <c r="C897" s="8" t="str">
        <f t="shared" si="20"/>
        <v>att_tmt_channel:tmt6_129</v>
      </c>
      <c r="D897" s="9" t="s">
        <v>17</v>
      </c>
      <c r="E897" s="8">
        <v>129</v>
      </c>
      <c r="F897" s="9" t="s">
        <v>17</v>
      </c>
    </row>
    <row r="898" spans="1:6" x14ac:dyDescent="0.15">
      <c r="A898" s="8" t="s">
        <v>2490</v>
      </c>
      <c r="B898" s="8" t="s">
        <v>240</v>
      </c>
      <c r="C898" s="8" t="str">
        <f t="shared" si="20"/>
        <v>att_tmt_channel:tmt6_130</v>
      </c>
      <c r="D898" s="9" t="s">
        <v>17</v>
      </c>
      <c r="E898" s="8">
        <v>130</v>
      </c>
      <c r="F898" s="9" t="s">
        <v>17</v>
      </c>
    </row>
    <row r="899" spans="1:6" x14ac:dyDescent="0.15">
      <c r="A899" s="8" t="s">
        <v>2491</v>
      </c>
      <c r="B899" s="8" t="s">
        <v>240</v>
      </c>
      <c r="C899" s="8" t="str">
        <f t="shared" si="20"/>
        <v>att_tmt_channel:tmt6_131</v>
      </c>
      <c r="D899" s="9" t="s">
        <v>17</v>
      </c>
      <c r="E899" s="8">
        <v>131</v>
      </c>
      <c r="F899" s="9" t="s">
        <v>17</v>
      </c>
    </row>
    <row r="900" spans="1:6" x14ac:dyDescent="0.15">
      <c r="A900" s="8" t="s">
        <v>2492</v>
      </c>
      <c r="B900" s="8" t="s">
        <v>248</v>
      </c>
      <c r="C900" s="8" t="str">
        <f t="shared" si="20"/>
        <v>att_user_institute:biochem</v>
      </c>
      <c r="D900" s="9" t="s">
        <v>17</v>
      </c>
      <c r="E900" s="8" t="s">
        <v>2493</v>
      </c>
      <c r="F900" s="8" t="s">
        <v>2494</v>
      </c>
    </row>
    <row r="901" spans="1:6" x14ac:dyDescent="0.15">
      <c r="A901" s="8" t="s">
        <v>2495</v>
      </c>
      <c r="B901" s="8" t="s">
        <v>248</v>
      </c>
      <c r="C901" s="8" t="str">
        <f t="shared" si="20"/>
        <v>att_user_institute:cecad</v>
      </c>
      <c r="D901" s="9" t="s">
        <v>17</v>
      </c>
      <c r="E901" s="8" t="s">
        <v>2496</v>
      </c>
      <c r="F901" s="8" t="s">
        <v>2497</v>
      </c>
    </row>
    <row r="902" spans="1:6" x14ac:dyDescent="0.15">
      <c r="A902" s="8" t="s">
        <v>2498</v>
      </c>
      <c r="B902" s="8" t="s">
        <v>248</v>
      </c>
      <c r="C902" s="8" t="str">
        <f t="shared" ref="C902:C942" si="24">B902&amp;":"&amp;A902</f>
        <v>att_user_institute:mpiage</v>
      </c>
      <c r="D902" s="9" t="s">
        <v>17</v>
      </c>
      <c r="E902" s="8" t="s">
        <v>2499</v>
      </c>
      <c r="F902" s="8" t="s">
        <v>2500</v>
      </c>
    </row>
    <row r="903" spans="1:6" x14ac:dyDescent="0.15">
      <c r="A903" s="8" t="s">
        <v>2501</v>
      </c>
      <c r="B903" s="8" t="s">
        <v>248</v>
      </c>
      <c r="C903" s="8" t="str">
        <f t="shared" si="24"/>
        <v>att_user_institute:mpimetab</v>
      </c>
      <c r="D903" s="9" t="s">
        <v>17</v>
      </c>
      <c r="E903" s="8" t="s">
        <v>2502</v>
      </c>
      <c r="F903" s="8" t="s">
        <v>2503</v>
      </c>
    </row>
    <row r="904" spans="1:6" x14ac:dyDescent="0.15">
      <c r="A904" s="8" t="s">
        <v>2504</v>
      </c>
      <c r="B904" s="8" t="s">
        <v>252</v>
      </c>
      <c r="C904" s="8" t="str">
        <f t="shared" si="24"/>
        <v>att_user_research_group:mitoprotea</v>
      </c>
      <c r="D904" s="8" t="s">
        <v>17</v>
      </c>
      <c r="E904" s="8" t="s">
        <v>2505</v>
      </c>
      <c r="F904" s="8" t="s">
        <v>2506</v>
      </c>
    </row>
    <row r="905" spans="1:6" x14ac:dyDescent="0.15">
      <c r="A905" s="8" t="s">
        <v>2507</v>
      </c>
      <c r="B905" s="8" t="s">
        <v>252</v>
      </c>
      <c r="C905" s="8" t="str">
        <f t="shared" si="24"/>
        <v>att_user_research_group:molageing</v>
      </c>
      <c r="D905" s="8" t="s">
        <v>17</v>
      </c>
      <c r="E905" s="8" t="s">
        <v>2508</v>
      </c>
      <c r="F905" s="8" t="s">
        <v>2509</v>
      </c>
    </row>
    <row r="906" spans="1:6" x14ac:dyDescent="0.15">
      <c r="A906" s="8" t="s">
        <v>2872</v>
      </c>
      <c r="B906" s="8" t="s">
        <v>252</v>
      </c>
      <c r="C906" s="8" t="str">
        <f t="shared" si="24"/>
        <v>att_user_research_group:ProtFa</v>
      </c>
      <c r="D906" s="8" t="s">
        <v>17</v>
      </c>
      <c r="E906" s="8" t="s">
        <v>2873</v>
      </c>
      <c r="F906" s="8" t="s">
        <v>2874</v>
      </c>
    </row>
    <row r="907" spans="1:6" x14ac:dyDescent="0.15">
      <c r="A907" s="8" t="s">
        <v>2875</v>
      </c>
      <c r="B907" s="8" t="s">
        <v>252</v>
      </c>
      <c r="C907" s="8" t="str">
        <f t="shared" si="24"/>
        <v>att_user_research_group:frezza</v>
      </c>
      <c r="D907" s="8" t="s">
        <v>17</v>
      </c>
      <c r="E907" s="8" t="s">
        <v>2876</v>
      </c>
      <c r="F907" s="8" t="s">
        <v>2877</v>
      </c>
    </row>
    <row r="908" spans="1:6" x14ac:dyDescent="0.15">
      <c r="A908" s="8" t="s">
        <v>2878</v>
      </c>
      <c r="B908" s="8" t="s">
        <v>252</v>
      </c>
      <c r="C908" s="8" t="str">
        <f t="shared" si="24"/>
        <v>att_user_research_group:krueger</v>
      </c>
      <c r="D908" s="8" t="s">
        <v>17</v>
      </c>
      <c r="E908" s="8" t="s">
        <v>2879</v>
      </c>
      <c r="F908" s="8" t="s">
        <v>2880</v>
      </c>
    </row>
    <row r="909" spans="1:6" x14ac:dyDescent="0.15">
      <c r="A909" s="8" t="s">
        <v>2881</v>
      </c>
      <c r="B909" s="8" t="s">
        <v>252</v>
      </c>
      <c r="C909" s="8" t="str">
        <f t="shared" si="24"/>
        <v>att_user_research_group:rugarli</v>
      </c>
      <c r="D909" s="8" t="s">
        <v>17</v>
      </c>
      <c r="E909" s="8" t="s">
        <v>2882</v>
      </c>
      <c r="F909" s="8" t="s">
        <v>2880</v>
      </c>
    </row>
    <row r="910" spans="1:6" x14ac:dyDescent="0.15">
      <c r="A910" s="8" t="s">
        <v>2883</v>
      </c>
      <c r="B910" s="8" t="s">
        <v>252</v>
      </c>
      <c r="C910" s="8" t="str">
        <f t="shared" si="24"/>
        <v>att_user_research_group:trifunovic</v>
      </c>
      <c r="D910" s="8" t="s">
        <v>17</v>
      </c>
      <c r="E910" s="8" t="s">
        <v>2884</v>
      </c>
      <c r="F910" s="8" t="s">
        <v>2885</v>
      </c>
    </row>
    <row r="911" spans="1:6" x14ac:dyDescent="0.15">
      <c r="A911" s="8" t="s">
        <v>2886</v>
      </c>
      <c r="B911" s="8" t="s">
        <v>252</v>
      </c>
      <c r="C911" s="8" t="str">
        <f t="shared" si="24"/>
        <v>att_user_research_group:niessen</v>
      </c>
      <c r="D911" s="8" t="s">
        <v>17</v>
      </c>
      <c r="E911" s="8" t="s">
        <v>2887</v>
      </c>
      <c r="F911" s="8" t="s">
        <v>2496</v>
      </c>
    </row>
    <row r="912" spans="1:6" x14ac:dyDescent="0.15">
      <c r="A912" s="8" t="s">
        <v>2888</v>
      </c>
      <c r="B912" s="8" t="s">
        <v>252</v>
      </c>
      <c r="C912" s="8" t="str">
        <f t="shared" si="24"/>
        <v>att_user_research_group:gloeckner</v>
      </c>
      <c r="D912" s="8" t="s">
        <v>17</v>
      </c>
      <c r="E912" s="8" t="s">
        <v>2889</v>
      </c>
      <c r="F912" s="8" t="s">
        <v>2890</v>
      </c>
    </row>
    <row r="913" spans="1:6" x14ac:dyDescent="0.15">
      <c r="A913" s="8" t="s">
        <v>2891</v>
      </c>
      <c r="B913" s="8" t="s">
        <v>252</v>
      </c>
      <c r="C913" s="8" t="str">
        <f t="shared" si="24"/>
        <v>att_user_research_group:bazzi</v>
      </c>
      <c r="D913" s="8" t="s">
        <v>17</v>
      </c>
      <c r="E913" s="8" t="s">
        <v>2892</v>
      </c>
      <c r="F913" s="8" t="s">
        <v>2893</v>
      </c>
    </row>
    <row r="914" spans="1:6" x14ac:dyDescent="0.15">
      <c r="A914" s="8" t="s">
        <v>2894</v>
      </c>
      <c r="B914" s="8" t="s">
        <v>252</v>
      </c>
      <c r="C914" s="8" t="str">
        <f t="shared" si="24"/>
        <v>att_user_research_group:hallek</v>
      </c>
      <c r="D914" s="8" t="s">
        <v>17</v>
      </c>
      <c r="E914" s="8" t="s">
        <v>2895</v>
      </c>
      <c r="F914" s="8" t="s">
        <v>2896</v>
      </c>
    </row>
    <row r="915" spans="1:6" x14ac:dyDescent="0.15">
      <c r="A915" s="8" t="s">
        <v>2897</v>
      </c>
      <c r="B915" s="8" t="s">
        <v>252</v>
      </c>
      <c r="C915" s="8" t="str">
        <f t="shared" si="24"/>
        <v>att_user_research_group:benzing</v>
      </c>
      <c r="D915" s="8" t="s">
        <v>17</v>
      </c>
      <c r="E915" s="8" t="s">
        <v>2898</v>
      </c>
      <c r="F915" s="8" t="s">
        <v>2899</v>
      </c>
    </row>
    <row r="916" spans="1:6" x14ac:dyDescent="0.15">
      <c r="A916" s="8" t="s">
        <v>2900</v>
      </c>
      <c r="B916" s="8" t="s">
        <v>252</v>
      </c>
      <c r="C916" s="8" t="str">
        <f t="shared" si="24"/>
        <v>att_user_research_group:hennies</v>
      </c>
      <c r="D916" s="8" t="s">
        <v>17</v>
      </c>
      <c r="E916" s="8" t="s">
        <v>2901</v>
      </c>
      <c r="F916" s="8" t="s">
        <v>2902</v>
      </c>
    </row>
    <row r="917" spans="1:6" x14ac:dyDescent="0.15">
      <c r="A917" s="8" t="s">
        <v>2903</v>
      </c>
      <c r="B917" s="8" t="s">
        <v>252</v>
      </c>
      <c r="C917" s="8" t="str">
        <f t="shared" si="24"/>
        <v>att_user_research_group:vonkarstedt</v>
      </c>
      <c r="D917" s="8" t="s">
        <v>17</v>
      </c>
      <c r="E917" s="8" t="s">
        <v>2904</v>
      </c>
      <c r="F917" s="8" t="s">
        <v>2905</v>
      </c>
    </row>
    <row r="918" spans="1:6" x14ac:dyDescent="0.15">
      <c r="A918" s="8" t="s">
        <v>2906</v>
      </c>
      <c r="B918" s="8" t="s">
        <v>252</v>
      </c>
      <c r="C918" s="8" t="str">
        <f t="shared" si="24"/>
        <v>att_user_research_group:laessig</v>
      </c>
      <c r="D918" s="8" t="s">
        <v>17</v>
      </c>
      <c r="E918" s="8" t="s">
        <v>2907</v>
      </c>
      <c r="F918" s="8" t="s">
        <v>2908</v>
      </c>
    </row>
    <row r="919" spans="1:6" x14ac:dyDescent="0.15">
      <c r="A919" s="8" t="s">
        <v>2909</v>
      </c>
      <c r="B919" s="8" t="s">
        <v>252</v>
      </c>
      <c r="C919" s="8" t="str">
        <f t="shared" si="24"/>
        <v>att_user_research_group:hoppe</v>
      </c>
      <c r="D919" s="8" t="s">
        <v>17</v>
      </c>
      <c r="E919" s="8" t="s">
        <v>2910</v>
      </c>
      <c r="F919" s="8" t="s">
        <v>2911</v>
      </c>
    </row>
    <row r="920" spans="1:6" x14ac:dyDescent="0.15">
      <c r="A920" s="8" t="s">
        <v>2912</v>
      </c>
      <c r="B920" s="8" t="s">
        <v>252</v>
      </c>
      <c r="C920" s="8" t="str">
        <f t="shared" si="24"/>
        <v>att_user_research_group:garcia</v>
      </c>
      <c r="D920" s="8" t="s">
        <v>17</v>
      </c>
      <c r="E920" s="8" t="s">
        <v>2913</v>
      </c>
      <c r="F920" s="8" t="s">
        <v>2911</v>
      </c>
    </row>
    <row r="921" spans="1:6" x14ac:dyDescent="0.15">
      <c r="A921" s="8" t="s">
        <v>2914</v>
      </c>
      <c r="B921" s="8" t="s">
        <v>252</v>
      </c>
      <c r="C921" s="8" t="str">
        <f t="shared" si="24"/>
        <v>att_user_research_group:khaskar</v>
      </c>
      <c r="D921" s="8" t="s">
        <v>17</v>
      </c>
      <c r="E921" s="8" t="s">
        <v>2915</v>
      </c>
      <c r="F921" s="8" t="s">
        <v>2916</v>
      </c>
    </row>
    <row r="922" spans="1:6" x14ac:dyDescent="0.15">
      <c r="A922" s="8" t="s">
        <v>2917</v>
      </c>
      <c r="B922" s="8" t="s">
        <v>252</v>
      </c>
      <c r="C922" s="8" t="str">
        <f t="shared" si="24"/>
        <v>att_user_research_group:krieg</v>
      </c>
      <c r="D922" s="8" t="s">
        <v>17</v>
      </c>
      <c r="E922" s="8" t="s">
        <v>2918</v>
      </c>
      <c r="F922" s="8" t="s">
        <v>2919</v>
      </c>
    </row>
    <row r="923" spans="1:6" x14ac:dyDescent="0.15">
      <c r="A923" s="8" t="s">
        <v>2823</v>
      </c>
      <c r="B923" s="22" t="s">
        <v>2819</v>
      </c>
      <c r="C923" s="8" t="str">
        <f t="shared" si="24"/>
        <v>att_diet:wd</v>
      </c>
      <c r="D923" s="8" t="s">
        <v>17</v>
      </c>
      <c r="E923" s="8" t="s">
        <v>2822</v>
      </c>
      <c r="F923" s="8" t="s">
        <v>2821</v>
      </c>
    </row>
    <row r="924" spans="1:6" x14ac:dyDescent="0.15">
      <c r="A924" s="8" t="s">
        <v>2824</v>
      </c>
      <c r="B924" s="22" t="s">
        <v>2819</v>
      </c>
      <c r="C924" s="8" t="str">
        <f t="shared" si="24"/>
        <v>att_diet:sd</v>
      </c>
      <c r="D924" s="8" t="s">
        <v>17</v>
      </c>
      <c r="E924" s="8" t="s">
        <v>2825</v>
      </c>
    </row>
    <row r="925" spans="1:6" x14ac:dyDescent="0.15">
      <c r="A925" s="8" t="s">
        <v>2826</v>
      </c>
      <c r="B925" s="22" t="s">
        <v>2819</v>
      </c>
      <c r="C925" s="8" t="str">
        <f t="shared" si="24"/>
        <v>att_diet:veg</v>
      </c>
      <c r="D925" s="8" t="s">
        <v>17</v>
      </c>
      <c r="E925" s="8" t="s">
        <v>2827</v>
      </c>
      <c r="F925" s="8" t="s">
        <v>2828</v>
      </c>
    </row>
    <row r="926" spans="1:6" x14ac:dyDescent="0.15">
      <c r="A926" s="8" t="s">
        <v>2831</v>
      </c>
      <c r="B926" s="22" t="s">
        <v>2819</v>
      </c>
      <c r="C926" s="8" t="str">
        <f t="shared" si="24"/>
        <v>att_diet:hg</v>
      </c>
      <c r="D926" s="8" t="s">
        <v>17</v>
      </c>
      <c r="E926" s="8" t="s">
        <v>2829</v>
      </c>
      <c r="F926" s="8" t="s">
        <v>2830</v>
      </c>
    </row>
    <row r="927" spans="1:6" x14ac:dyDescent="0.15">
      <c r="A927" s="8" t="s">
        <v>2834</v>
      </c>
      <c r="B927" s="8" t="s">
        <v>2819</v>
      </c>
      <c r="C927" s="8" t="str">
        <f t="shared" si="24"/>
        <v>att_diet:hfd</v>
      </c>
      <c r="D927" s="8" t="s">
        <v>17</v>
      </c>
      <c r="E927" s="8" t="s">
        <v>2832</v>
      </c>
      <c r="F927" s="8" t="s">
        <v>2833</v>
      </c>
    </row>
    <row r="928" spans="1:6" x14ac:dyDescent="0.15">
      <c r="A928" s="8" t="s">
        <v>2564</v>
      </c>
      <c r="B928" s="8" t="s">
        <v>69</v>
      </c>
      <c r="C928" s="8" t="str">
        <f t="shared" si="24"/>
        <v>att_compound:lps</v>
      </c>
      <c r="D928" s="8" t="s">
        <v>17</v>
      </c>
      <c r="E928" s="8" t="s">
        <v>2565</v>
      </c>
      <c r="F928" s="8" t="s">
        <v>2566</v>
      </c>
    </row>
    <row r="929" spans="1:6" x14ac:dyDescent="0.15">
      <c r="A929" s="8" t="s">
        <v>2575</v>
      </c>
      <c r="B929" s="8" t="s">
        <v>69</v>
      </c>
      <c r="C929" s="8" t="str">
        <f t="shared" si="24"/>
        <v>att_compound:r848</v>
      </c>
      <c r="D929" s="8" t="s">
        <v>17</v>
      </c>
      <c r="E929" s="8" t="s">
        <v>2576</v>
      </c>
      <c r="F929" s="8" t="s">
        <v>2990</v>
      </c>
    </row>
    <row r="930" spans="1:6" x14ac:dyDescent="0.15">
      <c r="A930" s="8" t="s">
        <v>2991</v>
      </c>
      <c r="B930" s="8" t="s">
        <v>40</v>
      </c>
      <c r="C930" s="8" t="str">
        <f t="shared" si="24"/>
        <v>att_cell:mdc</v>
      </c>
      <c r="D930" s="8" t="s">
        <v>17</v>
      </c>
      <c r="E930" s="8" t="s">
        <v>3012</v>
      </c>
      <c r="F930" s="8" t="s">
        <v>3011</v>
      </c>
    </row>
    <row r="931" spans="1:6" x14ac:dyDescent="0.15">
      <c r="A931" s="8" t="s">
        <v>2992</v>
      </c>
      <c r="B931" s="8" t="s">
        <v>40</v>
      </c>
      <c r="C931" s="8" t="str">
        <f t="shared" si="24"/>
        <v>att_cell:mtregs</v>
      </c>
      <c r="D931" s="8" t="s">
        <v>17</v>
      </c>
      <c r="E931" s="8" t="s">
        <v>3010</v>
      </c>
      <c r="F931" s="8" t="s">
        <v>3009</v>
      </c>
    </row>
    <row r="932" spans="1:6" x14ac:dyDescent="0.15">
      <c r="A932" s="8" t="s">
        <v>2993</v>
      </c>
      <c r="B932" s="8" t="s">
        <v>40</v>
      </c>
      <c r="C932" s="8" t="str">
        <f t="shared" si="24"/>
        <v>att_cell:pdc</v>
      </c>
      <c r="D932" s="8" t="s">
        <v>17</v>
      </c>
      <c r="E932" s="8" t="s">
        <v>3013</v>
      </c>
      <c r="F932" s="8" t="s">
        <v>3008</v>
      </c>
    </row>
    <row r="933" spans="1:6" x14ac:dyDescent="0.15">
      <c r="A933" s="8" t="s">
        <v>2994</v>
      </c>
      <c r="B933" s="8" t="s">
        <v>40</v>
      </c>
      <c r="C933" s="8" t="str">
        <f t="shared" si="24"/>
        <v>att_cell:attregs</v>
      </c>
      <c r="D933" s="8" t="s">
        <v>17</v>
      </c>
      <c r="E933" s="8" t="s">
        <v>3007</v>
      </c>
      <c r="F933" s="8" t="s">
        <v>3014</v>
      </c>
    </row>
    <row r="934" spans="1:6" x14ac:dyDescent="0.15">
      <c r="A934" s="8" t="s">
        <v>2995</v>
      </c>
      <c r="B934" s="8" t="s">
        <v>40</v>
      </c>
      <c r="C934" s="8" t="str">
        <f t="shared" si="24"/>
        <v>att_cell:infdc</v>
      </c>
      <c r="D934" s="8" t="s">
        <v>17</v>
      </c>
      <c r="E934" s="8" t="s">
        <v>3006</v>
      </c>
      <c r="F934" s="8" t="s">
        <v>3005</v>
      </c>
    </row>
    <row r="935" spans="1:6" x14ac:dyDescent="0.15">
      <c r="A935" s="8" t="s">
        <v>2996</v>
      </c>
      <c r="B935" s="8" t="s">
        <v>40</v>
      </c>
      <c r="C935" s="8" t="str">
        <f t="shared" si="24"/>
        <v>att_cell:itgres</v>
      </c>
      <c r="D935" s="8" t="s">
        <v>17</v>
      </c>
      <c r="E935" s="8" t="s">
        <v>3004</v>
      </c>
      <c r="F935" s="8" t="s">
        <v>3003</v>
      </c>
    </row>
    <row r="936" spans="1:6" x14ac:dyDescent="0.15">
      <c r="A936" s="8" t="s">
        <v>2997</v>
      </c>
      <c r="B936" s="8" t="s">
        <v>40</v>
      </c>
      <c r="C936" s="8" t="str">
        <f t="shared" si="24"/>
        <v>att_cell:dendritic</v>
      </c>
      <c r="D936" s="8" t="s">
        <v>17</v>
      </c>
      <c r="E936" s="8" t="s">
        <v>3002</v>
      </c>
      <c r="F936" s="8" t="s">
        <v>3001</v>
      </c>
    </row>
    <row r="937" spans="1:6" x14ac:dyDescent="0.15">
      <c r="A937" s="8" t="s">
        <v>2998</v>
      </c>
      <c r="B937" s="8" t="s">
        <v>40</v>
      </c>
      <c r="C937" s="8" t="str">
        <f t="shared" si="24"/>
        <v>att_cell:ememcell</v>
      </c>
      <c r="D937" s="8" t="s">
        <v>17</v>
      </c>
      <c r="E937" s="8" t="s">
        <v>3000</v>
      </c>
      <c r="F937" s="8" t="s">
        <v>2999</v>
      </c>
    </row>
    <row r="938" spans="1:6" x14ac:dyDescent="0.15">
      <c r="A938" s="8" t="s">
        <v>3015</v>
      </c>
      <c r="B938" s="8" t="s">
        <v>2928</v>
      </c>
      <c r="C938" s="8" t="str">
        <f t="shared" si="24"/>
        <v>att_subcellular_compartment:supernatant</v>
      </c>
      <c r="D938" s="8" t="s">
        <v>17</v>
      </c>
      <c r="E938" s="8" t="s">
        <v>3016</v>
      </c>
      <c r="F938" s="8" t="s">
        <v>3017</v>
      </c>
    </row>
    <row r="939" spans="1:6" x14ac:dyDescent="0.15">
      <c r="A939" s="8" t="s">
        <v>3020</v>
      </c>
      <c r="B939" s="8" t="s">
        <v>3018</v>
      </c>
      <c r="C939" s="8" t="str">
        <f t="shared" si="24"/>
        <v>att_heart:leftatrium</v>
      </c>
      <c r="D939" s="8" t="s">
        <v>17</v>
      </c>
      <c r="E939" s="8" t="s">
        <v>3021</v>
      </c>
      <c r="F939" s="8" t="s">
        <v>3022</v>
      </c>
    </row>
    <row r="940" spans="1:6" x14ac:dyDescent="0.15">
      <c r="A940" s="8" t="s">
        <v>3023</v>
      </c>
      <c r="B940" s="8" t="s">
        <v>3018</v>
      </c>
      <c r="C940" s="8" t="str">
        <f t="shared" si="24"/>
        <v>att_heart:rightatrium</v>
      </c>
      <c r="D940" s="8" t="s">
        <v>17</v>
      </c>
      <c r="E940" s="8" t="s">
        <v>3024</v>
      </c>
      <c r="F940" s="8" t="s">
        <v>3025</v>
      </c>
    </row>
    <row r="941" spans="1:6" x14ac:dyDescent="0.15">
      <c r="A941" s="8" t="s">
        <v>3043</v>
      </c>
      <c r="B941" s="8" t="s">
        <v>3018</v>
      </c>
      <c r="C941" s="8" t="str">
        <f t="shared" si="24"/>
        <v>att_heart:leftventri</v>
      </c>
      <c r="D941" s="8" t="s">
        <v>17</v>
      </c>
      <c r="E941" s="8" t="s">
        <v>3041</v>
      </c>
      <c r="F941" s="8" t="s">
        <v>3026</v>
      </c>
    </row>
    <row r="942" spans="1:6" x14ac:dyDescent="0.15">
      <c r="A942" s="8" t="s">
        <v>3044</v>
      </c>
      <c r="B942" s="8" t="s">
        <v>3018</v>
      </c>
      <c r="C942" s="8" t="str">
        <f t="shared" si="24"/>
        <v>att_heart:rightventri</v>
      </c>
      <c r="D942" s="8" t="s">
        <v>17</v>
      </c>
      <c r="E942" s="8" t="s">
        <v>3042</v>
      </c>
      <c r="F942" s="8" t="s">
        <v>3026</v>
      </c>
    </row>
    <row r="951" spans="2:2" ht="16" x14ac:dyDescent="0.2">
      <c r="B951" s="24"/>
    </row>
    <row r="952" spans="2:2" ht="16" x14ac:dyDescent="0.2">
      <c r="B952" s="25"/>
    </row>
    <row r="953" spans="2:2" ht="16" x14ac:dyDescent="0.2">
      <c r="B953" s="25"/>
    </row>
    <row r="954" spans="2:2" ht="16" x14ac:dyDescent="0.2">
      <c r="B954" s="25"/>
    </row>
    <row r="955" spans="2:2" ht="16" x14ac:dyDescent="0.2">
      <c r="B955" s="25"/>
    </row>
    <row r="956" spans="2:2" ht="16" x14ac:dyDescent="0.2">
      <c r="B956" s="25"/>
    </row>
    <row r="957" spans="2:2" ht="16" x14ac:dyDescent="0.2">
      <c r="B957" s="25"/>
    </row>
    <row r="958" spans="2:2" ht="16" x14ac:dyDescent="0.2">
      <c r="B958" s="25"/>
    </row>
    <row r="959" spans="2:2" ht="16" x14ac:dyDescent="0.2">
      <c r="B959" s="25"/>
    </row>
    <row r="960" spans="2:2" ht="16" x14ac:dyDescent="0.2">
      <c r="B960" s="24"/>
    </row>
    <row r="961" spans="2:2" ht="16" x14ac:dyDescent="0.2">
      <c r="B961" s="24"/>
    </row>
    <row r="962" spans="2:2" ht="16" x14ac:dyDescent="0.2">
      <c r="B962" s="25"/>
    </row>
    <row r="963" spans="2:2" ht="16" x14ac:dyDescent="0.2">
      <c r="B963" s="25"/>
    </row>
    <row r="964" spans="2:2" ht="16" x14ac:dyDescent="0.2">
      <c r="B964" s="25"/>
    </row>
    <row r="965" spans="2:2" ht="16" x14ac:dyDescent="0.2">
      <c r="B965" s="25"/>
    </row>
    <row r="966" spans="2:2" ht="16" x14ac:dyDescent="0.2">
      <c r="B966" s="25"/>
    </row>
    <row r="967" spans="2:2" ht="16" x14ac:dyDescent="0.2">
      <c r="B967" s="25"/>
    </row>
    <row r="968" spans="2:2" ht="16" x14ac:dyDescent="0.2">
      <c r="B968" s="25"/>
    </row>
    <row r="969" spans="2:2" ht="16" x14ac:dyDescent="0.2">
      <c r="B969" s="25"/>
    </row>
    <row r="970" spans="2:2" ht="16" x14ac:dyDescent="0.2">
      <c r="B970" s="24"/>
    </row>
    <row r="971" spans="2:2" ht="16" x14ac:dyDescent="0.2">
      <c r="B971" s="24"/>
    </row>
    <row r="972" spans="2:2" ht="16" x14ac:dyDescent="0.2">
      <c r="B972" s="25"/>
    </row>
    <row r="973" spans="2:2" ht="16" x14ac:dyDescent="0.2">
      <c r="B973" s="25"/>
    </row>
    <row r="974" spans="2:2" ht="16" x14ac:dyDescent="0.2">
      <c r="B974" s="25"/>
    </row>
    <row r="975" spans="2:2" ht="16" x14ac:dyDescent="0.2">
      <c r="B975" s="25"/>
    </row>
    <row r="976" spans="2:2" ht="16" x14ac:dyDescent="0.2">
      <c r="B976" s="25"/>
    </row>
    <row r="977" spans="2:2" ht="16" x14ac:dyDescent="0.2">
      <c r="B977" s="25"/>
    </row>
    <row r="978" spans="2:2" ht="16" x14ac:dyDescent="0.2">
      <c r="B978" s="25"/>
    </row>
    <row r="979" spans="2:2" ht="16" x14ac:dyDescent="0.2">
      <c r="B979" s="25"/>
    </row>
    <row r="980" spans="2:2" ht="16" x14ac:dyDescent="0.2">
      <c r="B980" s="24"/>
    </row>
    <row r="981" spans="2:2" ht="16" x14ac:dyDescent="0.2">
      <c r="B981" s="24"/>
    </row>
    <row r="982" spans="2:2" ht="16" x14ac:dyDescent="0.2">
      <c r="B982" s="25"/>
    </row>
    <row r="983" spans="2:2" ht="16" x14ac:dyDescent="0.2">
      <c r="B983" s="25"/>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4"/>
    </row>
    <row r="991" spans="2:2" ht="16" x14ac:dyDescent="0.2">
      <c r="B991" s="24"/>
    </row>
    <row r="992" spans="2:2"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4"/>
    </row>
    <row r="1001" spans="2:2" ht="16" x14ac:dyDescent="0.2">
      <c r="B1001" s="24"/>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2024-02-28T13:39:33Z</dcterms:modified>
  <dc:language>en-GB</dc:language>
</cp:coreProperties>
</file>