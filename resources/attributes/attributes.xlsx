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B485382F-62E6-2547-9BAE-2ACE2C8B726C}" xr6:coauthVersionLast="47" xr6:coauthVersionMax="47" xr10:uidLastSave="{00000000-0000-0000-0000-000000000000}"/>
  <bookViews>
    <workbookView xWindow="1360" yWindow="880" windowWidth="38400" windowHeight="19340" tabRatio="500"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attributes!$A$1:$ALX$126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396" i="2" l="1"/>
  <c r="C397" i="2"/>
  <c r="C395" i="2"/>
  <c r="C641" i="2"/>
  <c r="A1365" i="2"/>
  <c r="A1364" i="2"/>
  <c r="A1363" i="2"/>
  <c r="A1362" i="2"/>
  <c r="A1361" i="2"/>
  <c r="A1360" i="2"/>
  <c r="A1359" i="2"/>
  <c r="A1358" i="2"/>
  <c r="A1357" i="2"/>
  <c r="A1356" i="2"/>
  <c r="A1355" i="2"/>
  <c r="A1354" i="2"/>
  <c r="A1353" i="2"/>
  <c r="A1352" i="2"/>
  <c r="A1351" i="2"/>
  <c r="A1350" i="2"/>
  <c r="A1349" i="2"/>
  <c r="A1348" i="2"/>
  <c r="A1347" i="2"/>
  <c r="A1346" i="2"/>
  <c r="A1345" i="2"/>
  <c r="A1344" i="2"/>
  <c r="A1343" i="2"/>
  <c r="A1342" i="2"/>
  <c r="A1341" i="2"/>
  <c r="A1340" i="2"/>
  <c r="A1339" i="2"/>
  <c r="A1338" i="2"/>
  <c r="A1337" i="2"/>
  <c r="C803" i="2"/>
  <c r="C859" i="2"/>
  <c r="C858" i="2"/>
  <c r="C852" i="2"/>
  <c r="C857" i="2"/>
  <c r="C359" i="2"/>
  <c r="C771" i="2" l="1"/>
  <c r="C821" i="2"/>
  <c r="C461" i="2"/>
  <c r="C1001" i="2"/>
  <c r="C1000" i="2"/>
  <c r="C999" i="2"/>
  <c r="C998" i="2"/>
  <c r="C996" i="2"/>
  <c r="C420" i="2"/>
  <c r="C371" i="2"/>
  <c r="C126" i="2"/>
  <c r="C226" i="2"/>
  <c r="C955" i="2"/>
  <c r="C954" i="2"/>
  <c r="C953" i="2"/>
  <c r="C952" i="2"/>
  <c r="C951" i="2"/>
  <c r="C188" i="2"/>
  <c r="C995" i="2"/>
  <c r="C994" i="2"/>
  <c r="C993" i="2"/>
  <c r="C992" i="2"/>
  <c r="C991" i="2"/>
  <c r="C990"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4" i="2"/>
  <c r="C205" i="2"/>
  <c r="C206" i="2"/>
  <c r="C207" i="2"/>
  <c r="C208" i="2"/>
  <c r="C209" i="2"/>
  <c r="C210" i="2"/>
  <c r="C211" i="2"/>
  <c r="C212" i="2"/>
  <c r="C213" i="2"/>
  <c r="C214" i="2"/>
  <c r="C215" i="2"/>
  <c r="C216" i="2"/>
  <c r="C217" i="2"/>
  <c r="C218" i="2"/>
  <c r="C219" i="2"/>
  <c r="C220" i="2"/>
  <c r="C221" i="2"/>
  <c r="C222" i="2"/>
  <c r="C223" i="2"/>
  <c r="C224" i="2"/>
  <c r="C225"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60" i="2"/>
  <c r="C361" i="2"/>
  <c r="C362" i="2"/>
  <c r="C363" i="2"/>
  <c r="C364" i="2"/>
  <c r="C365" i="2"/>
  <c r="C366" i="2"/>
  <c r="C367" i="2"/>
  <c r="C368" i="2"/>
  <c r="C369" i="2"/>
  <c r="C370" i="2"/>
  <c r="C373" i="2"/>
  <c r="C374" i="2"/>
  <c r="C375" i="2"/>
  <c r="C376" i="2"/>
  <c r="C377" i="2"/>
  <c r="C378" i="2"/>
  <c r="C379" i="2"/>
  <c r="C380" i="2"/>
  <c r="C381" i="2"/>
  <c r="C382" i="2"/>
  <c r="C383" i="2"/>
  <c r="C384" i="2"/>
  <c r="C385" i="2"/>
  <c r="C386" i="2"/>
  <c r="C387" i="2"/>
  <c r="C388" i="2"/>
  <c r="C389" i="2"/>
  <c r="C390" i="2"/>
  <c r="C391" i="2"/>
  <c r="C392" i="2"/>
  <c r="C393" i="2"/>
  <c r="C394" i="2"/>
  <c r="C401" i="2"/>
  <c r="C402" i="2"/>
  <c r="C403" i="2"/>
  <c r="C404" i="2"/>
  <c r="C405" i="2"/>
  <c r="C406" i="2"/>
  <c r="C407" i="2"/>
  <c r="C408" i="2"/>
  <c r="C409" i="2"/>
  <c r="C410" i="2"/>
  <c r="C411" i="2"/>
  <c r="C412" i="2"/>
  <c r="C413" i="2"/>
  <c r="C414" i="2"/>
  <c r="C415" i="2"/>
  <c r="C416" i="2"/>
  <c r="C417" i="2"/>
  <c r="C418" i="2"/>
  <c r="C419"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4" i="2"/>
  <c r="C805" i="2"/>
  <c r="C806" i="2"/>
  <c r="C807" i="2"/>
  <c r="C808" i="2"/>
  <c r="C809" i="2"/>
  <c r="C810" i="2"/>
  <c r="C811" i="2"/>
  <c r="C812" i="2"/>
  <c r="C813" i="2"/>
  <c r="C814" i="2"/>
  <c r="C815" i="2"/>
  <c r="C816" i="2"/>
  <c r="C817" i="2"/>
  <c r="C818" i="2"/>
  <c r="C819" i="2"/>
  <c r="C820"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3" i="2"/>
  <c r="C854" i="2"/>
  <c r="C855" i="2"/>
  <c r="C856"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<sst xmlns="http://schemas.openxmlformats.org/spreadsheetml/2006/main" count="13821" uniqueCount="4509">
  <si>
    <t>tag</t>
  </si>
  <si>
    <t>text</t>
  </si>
  <si>
    <t>priority</t>
  </si>
  <si>
    <t>has_features_value</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</si>
  <si>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</si>
  <si>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</si>
  <si>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</si>
  <si>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</si>
  <si>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</si>
  <si>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</si>
  <si>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</si>
  <si>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</si>
  <si>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</si>
  <si>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</si>
  <si>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</si>
  <si>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</si>
  <si>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</si>
  <si>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</si>
  <si>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</si>
  <si>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</si>
  <si>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</si>
  <si>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</si>
  <si>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</si>
  <si>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</si>
  <si>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</si>
  <si>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</si>
  <si>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</si>
  <si>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</si>
  <si>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</si>
  <si>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</si>
  <si>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</si>
  <si>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</si>
  <si>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</si>
  <si>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</si>
  <si>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</si>
  <si>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</si>
  <si>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</si>
  <si>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</si>
  <si>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</si>
  <si>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</si>
  <si>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</si>
  <si>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sample_prep</t>
  </si>
  <si>
    <t>att_centr_supernatant</t>
  </si>
  <si>
    <t>att_collision_energy</t>
  </si>
  <si>
    <t>Collision Energy [%]</t>
  </si>
  <si>
    <t>att_column_type</t>
  </si>
  <si>
    <t>lc</t>
  </si>
  <si>
    <t>att_column_outer_diameter</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</si>
  <si>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</si>
  <si>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</si>
  <si>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</si>
  <si>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</si>
  <si>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</si>
  <si>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</si>
  <si>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</si>
  <si>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</si>
  <si>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</si>
  <si>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</si>
  <si>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</si>
  <si>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</si>
  <si>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</si>
  <si>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</si>
  <si>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</si>
  <si>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</si>
  <si>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</si>
  <si>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</si>
  <si>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</si>
  <si>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</si>
  <si>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</si>
  <si>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</si>
  <si>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</si>
  <si>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</si>
  <si>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</si>
  <si>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</si>
  <si>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</si>
  <si>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</si>
  <si>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</si>
  <si>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</si>
  <si>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</si>
  <si>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</si>
  <si>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</si>
  <si>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</si>
  <si>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</si>
  <si>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</si>
  <si>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</si>
  <si>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</si>
  <si>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</si>
  <si>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</si>
  <si>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</si>
  <si>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</si>
  <si>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</si>
  <si>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</si>
  <si>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</si>
  <si>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</si>
  <si>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</si>
  <si>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</si>
  <si>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</si>
  <si>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</si>
  <si>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</si>
  <si>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</si>
  <si>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</si>
  <si>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</si>
  <si>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</si>
  <si>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</si>
  <si>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</si>
  <si>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</si>
  <si>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</si>
  <si>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</si>
  <si>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</si>
  <si>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</si>
  <si>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</si>
  <si>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</si>
  <si>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</si>
  <si>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</si>
  <si>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</si>
  <si>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</si>
  <si>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</si>
  <si>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</si>
  <si>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</si>
  <si>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</si>
  <si>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</si>
  <si>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</si>
  <si>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</si>
  <si>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att_ms2_mz_end</t>
  </si>
  <si>
    <t>att_ms2_resolution</t>
  </si>
  <si>
    <t>att_ms2_mz_start</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</si>
  <si>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</si>
  <si>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</si>
  <si>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</si>
  <si>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</si>
  <si>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</si>
  <si>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</si>
  <si>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</si>
  <si>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</si>
  <si>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</si>
  <si>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</si>
  <si>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</si>
  <si>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</si>
  <si>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</si>
  <si>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</si>
  <si>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</si>
  <si>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</si>
  <si>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</si>
  <si>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</si>
  <si>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</si>
  <si>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</si>
  <si>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</si>
  <si>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</si>
  <si>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</si>
  <si>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</si>
  <si>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</si>
  <si>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</si>
  <si>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</si>
  <si>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</si>
  <si>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</si>
  <si>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</si>
  <si>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</si>
  <si>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</si>
  <si>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</si>
  <si>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</si>
  <si>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</si>
  <si>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</si>
  <si>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</si>
  <si>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</si>
  <si>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</si>
  <si>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</si>
  <si>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</si>
  <si>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</si>
  <si>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</si>
  <si>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</si>
  <si>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</si>
  <si>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</si>
  <si>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</si>
  <si>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</si>
  <si>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</si>
  <si>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</si>
  <si>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</si>
  <si>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</si>
  <si>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</si>
  <si>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</si>
  <si>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</si>
  <si>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</si>
  <si>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</si>
  <si>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</si>
  <si>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</si>
  <si>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</si>
  <si>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</si>
  <si>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</si>
  <si>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</si>
  <si>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</si>
  <si>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</si>
  <si>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</si>
  <si>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</si>
  <si>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</si>
  <si>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</si>
  <si>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</si>
  <si>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</si>
  <si>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</si>
  <si>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</si>
  <si>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</si>
  <si>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</si>
  <si>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</si>
  <si>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</si>
  <si>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</si>
  <si>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</si>
  <si>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</si>
  <si>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</si>
  <si>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</si>
  <si>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</si>
  <si>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</si>
  <si>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</si>
  <si>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</si>
  <si>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</si>
  <si>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</si>
  <si>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</si>
  <si>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</si>
  <si>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</si>
  <si>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</si>
  <si>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</si>
  <si>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</si>
  <si>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</si>
  <si>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</si>
  <si>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</si>
  <si>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</si>
  <si>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</si>
  <si>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</si>
  <si>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</si>
  <si>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</si>
  <si>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</si>
  <si>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</si>
  <si>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</si>
  <si>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</si>
  <si>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</si>
  <si>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</si>
  <si>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</si>
  <si>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</si>
  <si>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</si>
  <si>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</si>
  <si>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</si>
  <si>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</si>
  <si>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</si>
  <si>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</si>
  <si>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</si>
  <si>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</si>
  <si>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</si>
  <si>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</si>
  <si>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</si>
  <si>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</si>
  <si>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</si>
  <si>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</si>
  <si>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</si>
  <si>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</si>
  <si>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</si>
  <si>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</si>
  <si>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</si>
  <si>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</si>
  <si>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</si>
  <si>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</si>
  <si>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</si>
  <si>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</si>
  <si>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</si>
  <si>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</si>
  <si>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</si>
  <si>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</si>
  <si>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</si>
  <si>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</si>
  <si>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</si>
  <si>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</si>
  <si>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</si>
  <si>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</si>
  <si>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</si>
  <si>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</si>
  <si>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</si>
  <si>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</si>
  <si>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</si>
  <si>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</si>
  <si>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</si>
  <si>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</si>
  <si>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</si>
  <si>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</si>
  <si>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</si>
  <si>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</si>
  <si>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</si>
  <si>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</si>
  <si>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</si>
  <si>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</si>
  <si>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</si>
  <si>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</si>
  <si>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</si>
  <si>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</si>
  <si>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</si>
  <si>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</si>
  <si>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</si>
  <si>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</si>
  <si>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</si>
  <si>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</si>
  <si>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</si>
  <si>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</si>
  <si>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</si>
  <si>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</si>
  <si>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</si>
  <si>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</si>
  <si>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</si>
  <si>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</si>
  <si>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</si>
  <si>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</si>
  <si>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</si>
  <si>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</si>
  <si>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</si>
  <si>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</si>
  <si>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</si>
  <si>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</si>
  <si>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</si>
  <si>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</si>
  <si>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</si>
  <si>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</si>
  <si>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</si>
  <si>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</si>
  <si>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</si>
  <si>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</si>
  <si>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</si>
  <si>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</si>
  <si>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</si>
  <si>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</si>
  <si>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</si>
  <si>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</si>
  <si>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</si>
  <si>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</si>
  <si>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</si>
  <si>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</si>
  <si>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</si>
  <si>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</si>
  <si>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</si>
  <si>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</si>
  <si>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</si>
  <si>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</si>
  <si>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</si>
  <si>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</si>
  <si>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</si>
  <si>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</si>
  <si>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</si>
  <si>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</si>
  <si>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</si>
  <si>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</si>
  <si>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</si>
  <si>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</si>
  <si>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</si>
  <si>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</si>
  <si>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</si>
  <si>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</si>
  <si>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</si>
  <si>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</si>
  <si>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</si>
  <si>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</si>
  <si>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</si>
  <si>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</si>
  <si>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</si>
  <si>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</si>
  <si>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</si>
  <si>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</si>
  <si>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</si>
  <si>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</si>
  <si>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</si>
  <si>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</si>
  <si>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</si>
  <si>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</si>
  <si>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</si>
  <si>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</si>
  <si>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</si>
  <si>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</si>
  <si>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</si>
  <si>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</si>
  <si>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</si>
  <si>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</si>
  <si>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</si>
  <si>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</si>
  <si>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</si>
  <si>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</si>
  <si>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</si>
  <si>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</si>
  <si>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</si>
  <si>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</si>
  <si>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</si>
  <si>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</si>
  <si>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</si>
  <si>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</si>
  <si>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</si>
  <si>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</si>
  <si>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</si>
  <si>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</si>
  <si>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</si>
  <si>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</si>
  <si>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</si>
  <si>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</si>
  <si>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</si>
  <si>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</si>
  <si>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</si>
  <si>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</si>
  <si>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</si>
  <si>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</si>
  <si>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</si>
  <si>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</si>
  <si>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</si>
  <si>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</si>
  <si>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</si>
  <si>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</si>
  <si>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</si>
  <si>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</si>
  <si>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</si>
  <si>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</si>
  <si>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</si>
  <si>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</si>
  <si>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</si>
  <si>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</si>
  <si>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</si>
  <si>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</si>
  <si>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</si>
  <si>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</si>
  <si>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</si>
  <si>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</si>
  <si>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</si>
  <si>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</si>
  <si>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</si>
  <si>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</si>
  <si>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</si>
  <si>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</si>
  <si>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</si>
  <si>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</si>
  <si>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</si>
  <si>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</si>
  <si>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</si>
  <si>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</si>
  <si>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</si>
  <si>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</si>
  <si>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</si>
  <si>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</si>
  <si>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</si>
  <si>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</si>
  <si>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</si>
  <si>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</si>
  <si>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</si>
  <si>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</si>
  <si>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</si>
  <si>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</si>
  <si>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</si>
  <si>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</si>
  <si>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</si>
  <si>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</si>
  <si>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</si>
  <si>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</si>
  <si>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</si>
  <si>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</si>
  <si>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</si>
  <si>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</si>
  <si>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</si>
  <si>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</si>
  <si>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</si>
  <si>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</si>
  <si>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</si>
  <si>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</si>
  <si>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</si>
  <si>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</si>
  <si>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</si>
  <si>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</si>
  <si>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</si>
  <si>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</si>
  <si>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</si>
  <si>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</si>
  <si>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</si>
  <si>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</si>
  <si>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</si>
  <si>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</si>
  <si>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</si>
  <si>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</si>
  <si>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</si>
  <si>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</si>
  <si>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</si>
  <si>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</si>
  <si>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</si>
  <si>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</si>
  <si>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</si>
  <si>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</si>
  <si>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</si>
  <si>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</si>
  <si>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</si>
  <si>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</si>
  <si>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</si>
  <si>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</si>
  <si>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</si>
  <si>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</si>
  <si>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</si>
  <si>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</si>
  <si>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</si>
  <si>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</si>
  <si>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</si>
  <si>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</si>
  <si>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</si>
  <si>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</si>
  <si>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</si>
  <si>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</si>
  <si>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</si>
  <si>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</si>
  <si>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</si>
  <si>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</si>
  <si>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</si>
  <si>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</si>
  <si>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</si>
  <si>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</si>
  <si>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</si>
  <si>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</si>
  <si>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</si>
  <si>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</si>
  <si>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</si>
  <si>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</si>
  <si>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</si>
  <si>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</si>
  <si>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</si>
  <si>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</si>
  <si>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</si>
  <si>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</si>
  <si>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</si>
  <si>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</si>
  <si>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</si>
  <si>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</si>
  <si>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</si>
  <si>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</si>
  <si>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</si>
  <si>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</si>
  <si>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</si>
  <si>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</si>
  <si>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</si>
  <si>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</si>
  <si>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</si>
  <si>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</si>
  <si>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</si>
  <si>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</si>
  <si>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</si>
  <si>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</si>
  <si>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</si>
  <si>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</si>
  <si>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</si>
  <si>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</si>
  <si>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</si>
  <si>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</si>
  <si>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</si>
  <si>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</si>
  <si>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</si>
  <si>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</si>
  <si>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</si>
  <si>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</si>
  <si>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</si>
  <si>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</si>
  <si>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</si>
  <si>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</si>
  <si>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</si>
  <si>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</si>
  <si>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</si>
  <si>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</si>
  <si>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</si>
  <si>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</si>
  <si>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</si>
  <si>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</si>
  <si>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</si>
  <si>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</si>
  <si>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</si>
  <si>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</si>
  <si>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</si>
  <si>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</si>
  <si>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</si>
  <si>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</si>
  <si>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</si>
  <si>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</si>
  <si>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</si>
  <si>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</si>
  <si>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</si>
  <si>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</si>
  <si>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</si>
  <si>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</si>
  <si>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</si>
  <si>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</si>
  <si>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</si>
  <si>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</si>
  <si>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</si>
  <si>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</si>
  <si>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</si>
  <si>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</si>
  <si>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</si>
  <si>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</si>
  <si>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</si>
  <si>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</si>
  <si>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</si>
  <si>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</si>
  <si>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</si>
  <si>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</si>
  <si>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</si>
  <si>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</si>
  <si>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</si>
  <si>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</si>
  <si>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</si>
  <si>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</si>
  <si>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</si>
  <si>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</si>
  <si>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</si>
  <si>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</si>
  <si>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</si>
  <si>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</si>
  <si>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</si>
  <si>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15cm</t>
  </si>
  <si>
    <t>30cm</t>
  </si>
  <si>
    <t>50cm</t>
  </si>
  <si>
    <t>c18</t>
  </si>
  <si>
    <t>C18 stationary phase</t>
  </si>
  <si>
    <t>c8</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</si>
  <si>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</si>
  <si>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</si>
  <si>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</si>
  <si>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</si>
  <si>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</si>
  <si>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</si>
  <si>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</si>
  <si>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</si>
  <si>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</si>
  <si>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</si>
  <si>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</si>
  <si>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</si>
  <si>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</si>
  <si>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</si>
  <si>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</si>
  <si>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</si>
  <si>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</si>
  <si>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</si>
  <si>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</si>
  <si>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</si>
  <si>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</si>
  <si>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</si>
  <si>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</si>
  <si>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</si>
  <si>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</si>
  <si>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</si>
  <si>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</si>
  <si>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</si>
  <si>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</si>
  <si>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</si>
  <si>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</si>
  <si>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</si>
  <si>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</si>
  <si>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</si>
  <si>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</si>
  <si>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</si>
  <si>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</si>
  <si>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</si>
  <si>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</si>
  <si>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</si>
  <si>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</si>
  <si>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</si>
  <si>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</si>
  <si>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</si>
  <si>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</si>
  <si>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</si>
  <si>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</si>
  <si>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</si>
  <si>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</si>
  <si>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</si>
  <si>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</si>
  <si>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</si>
  <si>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</si>
  <si>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</si>
  <si>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</si>
  <si>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</si>
  <si>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</si>
  <si>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</si>
  <si>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</si>
  <si>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</si>
  <si>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</si>
  <si>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</si>
  <si>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</si>
  <si>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</si>
  <si>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</si>
  <si>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</si>
  <si>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</si>
  <si>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</si>
  <si>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</si>
  <si>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</si>
  <si>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</si>
  <si>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</si>
  <si>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</si>
  <si>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</si>
  <si>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</si>
  <si>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</si>
  <si>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</si>
  <si>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</si>
  <si>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</si>
  <si>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</si>
  <si>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</si>
  <si>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</si>
  <si>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</si>
  <si>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</si>
  <si>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</si>
  <si>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</si>
  <si>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</si>
  <si>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</si>
  <si>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</si>
  <si>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</si>
  <si>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</si>
  <si>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</si>
  <si>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</si>
  <si>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</si>
  <si>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</si>
  <si>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</si>
  <si>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</si>
  <si>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</si>
  <si>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</si>
  <si>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</si>
  <si>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</si>
  <si>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</si>
  <si>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</si>
  <si>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</si>
  <si>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</si>
  <si>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</si>
  <si>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</si>
  <si>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</si>
  <si>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</si>
  <si>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</si>
  <si>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</si>
  <si>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</si>
  <si>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</si>
  <si>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</si>
  <si>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</si>
  <si>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</si>
  <si>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</si>
  <si>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</si>
  <si>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</si>
  <si>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</si>
  <si>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</si>
  <si>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</si>
  <si>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</si>
  <si>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</si>
  <si>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</si>
  <si>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</si>
  <si>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</si>
  <si>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</si>
  <si>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</si>
  <si>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</si>
  <si>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</si>
  <si>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</si>
  <si>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</si>
  <si>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</si>
  <si>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</si>
  <si>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</si>
  <si>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</si>
  <si>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</si>
  <si>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</si>
  <si>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</si>
  <si>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</si>
  <si>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</si>
  <si>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</si>
  <si>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</si>
  <si>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</si>
  <si>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</si>
  <si>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</si>
  <si>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</si>
  <si>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</si>
  <si>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</si>
  <si>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</si>
  <si>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</si>
  <si>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</si>
  <si>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</si>
  <si>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</si>
  <si>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</si>
  <si>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</si>
  <si>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</si>
  <si>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</si>
  <si>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</si>
  <si>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</si>
  <si>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</si>
  <si>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</si>
  <si>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</si>
  <si>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</si>
  <si>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</si>
  <si>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</si>
  <si>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</si>
  <si>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</si>
  <si>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</si>
  <si>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</si>
  <si>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</si>
  <si>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</si>
  <si>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</si>
  <si>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</si>
  <si>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</si>
  <si>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</si>
  <si>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</si>
  <si>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</si>
  <si>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</si>
  <si>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</si>
  <si>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</si>
  <si>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</si>
  <si>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</si>
  <si>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</si>
  <si>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</si>
  <si>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</si>
  <si>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</si>
  <si>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</si>
  <si>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</si>
  <si>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</si>
  <si>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</si>
  <si>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</si>
  <si>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</si>
  <si>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</si>
  <si>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</si>
  <si>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</si>
  <si>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</si>
  <si>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</si>
  <si>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</si>
  <si>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</si>
  <si>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</si>
  <si>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</si>
  <si>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</si>
  <si>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</si>
  <si>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</si>
  <si>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</si>
  <si>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</si>
  <si>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</si>
  <si>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</si>
  <si>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</si>
  <si>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</si>
  <si>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</si>
  <si>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</si>
  <si>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</si>
  <si>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</si>
  <si>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</si>
  <si>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</si>
  <si>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</si>
  <si>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</si>
  <si>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</si>
  <si>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</si>
  <si>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</si>
  <si>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</si>
  <si>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</si>
  <si>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</si>
  <si>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</si>
  <si>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</si>
  <si>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</si>
  <si>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</si>
  <si>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</si>
  <si>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</si>
  <si>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</si>
  <si>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</si>
  <si>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</si>
  <si>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</si>
  <si>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</si>
  <si>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</si>
  <si>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</si>
  <si>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</si>
  <si>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</si>
  <si>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</si>
  <si>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</si>
  <si>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</si>
  <si>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</si>
  <si>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</si>
  <si>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</si>
  <si>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</si>
  <si>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</si>
  <si>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</si>
  <si>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</si>
  <si>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</si>
  <si>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</si>
  <si>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</si>
  <si>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</si>
  <si>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</si>
  <si>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</si>
  <si>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</si>
  <si>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</si>
  <si>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</si>
  <si>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</si>
  <si>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</si>
  <si>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</si>
  <si>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</si>
  <si>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</si>
  <si>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</si>
  <si>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</si>
  <si>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</si>
  <si>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</si>
  <si>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</si>
  <si>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</si>
  <si>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</si>
  <si>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</si>
  <si>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</si>
  <si>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</si>
  <si>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</si>
  <si>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</si>
  <si>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</si>
  <si>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</si>
  <si>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</si>
  <si>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</si>
  <si>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</si>
  <si>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</si>
  <si>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</si>
  <si>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</si>
  <si>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</si>
  <si>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</si>
  <si>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</si>
  <si>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</si>
  <si>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</si>
  <si>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</si>
  <si>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</si>
  <si>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</si>
  <si>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</si>
  <si>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</si>
  <si>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</si>
  <si>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</si>
  <si>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</si>
  <si>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</si>
  <si>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</si>
  <si>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</si>
  <si>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</si>
  <si>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</si>
  <si>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</si>
  <si>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</si>
  <si>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</si>
  <si>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</si>
  <si>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</si>
  <si>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</si>
  <si>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</si>
  <si>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</si>
  <si>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</si>
  <si>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</si>
  <si>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</si>
  <si>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</si>
  <si>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</si>
  <si>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</si>
  <si>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</si>
  <si>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</si>
  <si>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</si>
  <si>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</si>
  <si>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</si>
  <si>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</si>
  <si>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</si>
  <si>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</si>
  <si>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</si>
  <si>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</si>
  <si>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</si>
  <si>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</si>
  <si>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</si>
  <si>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</si>
  <si>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</si>
  <si>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</si>
  <si>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</si>
  <si>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</si>
  <si>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</si>
  <si>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</si>
  <si>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</si>
  <si>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</si>
  <si>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</si>
  <si>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</si>
  <si>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</si>
  <si>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</si>
  <si>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</si>
  <si>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</si>
  <si>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</si>
  <si>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</si>
  <si>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</si>
  <si>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</si>
  <si>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</si>
  <si>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</si>
  <si>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</si>
  <si>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</si>
  <si>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</si>
  <si>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</si>
  <si>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</si>
  <si>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</si>
  <si>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</si>
  <si>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</si>
  <si>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</si>
  <si>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</si>
  <si>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</si>
  <si>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</si>
  <si>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</si>
  <si>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</si>
  <si>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</si>
  <si>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</si>
  <si>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</si>
  <si>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</si>
  <si>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</si>
  <si>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</si>
  <si>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</si>
  <si>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</si>
  <si>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</si>
  <si>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</si>
  <si>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</si>
  <si>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</si>
  <si>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</si>
  <si>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</si>
  <si>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</si>
  <si>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</si>
  <si>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</si>
  <si>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</si>
  <si>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</si>
  <si>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</si>
  <si>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</si>
  <si>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</si>
  <si>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</si>
  <si>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</si>
  <si>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</si>
  <si>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</si>
  <si>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</si>
  <si>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</si>
  <si>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</si>
  <si>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</si>
  <si>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</si>
  <si>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</si>
  <si>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</si>
  <si>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</si>
  <si>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</si>
  <si>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</si>
  <si>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</si>
  <si>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</si>
  <si>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</si>
  <si>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</si>
  <si>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</si>
  <si>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</si>
  <si>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</si>
  <si>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</si>
  <si>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</si>
  <si>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</si>
  <si>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</si>
  <si>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</si>
  <si>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</si>
  <si>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</si>
  <si>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</si>
  <si>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</si>
  <si>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</si>
  <si>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</si>
  <si>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</si>
  <si>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</si>
  <si>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</si>
  <si>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</si>
  <si>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</si>
  <si>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</si>
  <si>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</si>
  <si>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</si>
  <si>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</si>
  <si>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</si>
  <si>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</si>
  <si>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</si>
  <si>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</si>
  <si>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</si>
  <si>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</si>
  <si>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</si>
  <si>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</si>
  <si>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</si>
  <si>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</si>
  <si>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</si>
  <si>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</si>
  <si>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</si>
  <si>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</si>
  <si>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</si>
  <si>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</si>
  <si>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</si>
  <si>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</si>
  <si>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</si>
  <si>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</si>
  <si>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</si>
  <si>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</si>
  <si>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</si>
  <si>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</si>
  <si>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</si>
  <si>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</si>
  <si>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</si>
  <si>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</si>
  <si>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</si>
  <si>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</si>
  <si>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</si>
  <si>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</si>
  <si>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</si>
  <si>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</si>
  <si>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</si>
  <si>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</si>
  <si>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</si>
  <si>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</si>
  <si>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</si>
  <si>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</si>
  <si>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</si>
  <si>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</si>
  <si>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</si>
  <si>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</si>
  <si>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</si>
  <si>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</si>
  <si>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</si>
  <si>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</si>
  <si>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</si>
  <si>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</si>
  <si>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</si>
  <si>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</si>
  <si>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</si>
  <si>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</si>
  <si>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</si>
  <si>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</si>
  <si>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</si>
  <si>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</si>
  <si>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</si>
  <si>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</si>
  <si>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</si>
  <si>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</si>
  <si>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</si>
  <si>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</si>
  <si>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</si>
  <si>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</si>
  <si>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</si>
  <si>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</si>
  <si>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</si>
  <si>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</si>
  <si>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</si>
  <si>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</si>
  <si>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</si>
  <si>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</si>
  <si>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</si>
  <si>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</si>
  <si>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</si>
  <si>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</si>
  <si>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</si>
  <si>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</si>
  <si>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</si>
  <si>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</si>
  <si>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</si>
  <si>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</si>
  <si>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</si>
  <si>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</si>
  <si>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</si>
  <si>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</si>
  <si>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</si>
  <si>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</si>
  <si>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</si>
  <si>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</si>
  <si>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</si>
  <si>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</si>
  <si>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</si>
  <si>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</si>
  <si>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</si>
  <si>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</si>
  <si>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</si>
  <si>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</si>
  <si>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</si>
  <si>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</si>
  <si>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</si>
  <si>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</si>
  <si>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</si>
  <si>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</si>
  <si>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</si>
  <si>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</si>
  <si>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</si>
  <si>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</si>
  <si>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</si>
  <si>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</si>
  <si>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</si>
  <si>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</si>
  <si>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</si>
  <si>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</si>
  <si>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</si>
  <si>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</si>
  <si>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</si>
  <si>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</si>
  <si>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</si>
  <si>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</si>
  <si>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</si>
  <si>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</si>
  <si>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</si>
  <si>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</si>
  <si>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</si>
  <si>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</si>
  <si>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</si>
  <si>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</si>
  <si>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</si>
  <si>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</si>
  <si>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</si>
  <si>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</si>
  <si>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</si>
  <si>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</si>
  <si>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</si>
  <si>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</si>
  <si>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</si>
  <si>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</si>
  <si>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</si>
  <si>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</si>
  <si>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</si>
  <si>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</si>
  <si>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</si>
  <si>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</si>
  <si>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</si>
  <si>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</si>
  <si>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</si>
  <si>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</si>
  <si>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</si>
  <si>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</si>
  <si>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</si>
  <si>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</si>
  <si>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</si>
  <si>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</si>
  <si>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</si>
  <si>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</si>
  <si>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</si>
  <si>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</si>
  <si>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</si>
  <si>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</si>
  <si>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</si>
  <si>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</si>
  <si>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</si>
  <si>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</si>
  <si>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</si>
  <si>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</si>
  <si>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</si>
  <si>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</si>
  <si>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</si>
  <si>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</si>
  <si>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</si>
  <si>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</si>
  <si>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</si>
  <si>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</si>
  <si>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</si>
  <si>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</si>
  <si>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</si>
  <si>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</si>
  <si>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</si>
  <si>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</si>
  <si>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</si>
  <si>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</si>
  <si>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</si>
  <si>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</si>
  <si>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</si>
  <si>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</si>
  <si>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</si>
  <si>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</si>
  <si>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</si>
  <si>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</si>
  <si>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</si>
  <si>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</si>
  <si>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</si>
  <si>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</si>
  <si>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</si>
  <si>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</si>
  <si>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</si>
  <si>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</si>
  <si>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</si>
  <si>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</si>
  <si>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</si>
  <si>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</si>
  <si>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</si>
  <si>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</si>
  <si>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</si>
  <si>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</si>
  <si>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</si>
  <si>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</si>
  <si>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</si>
  <si>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</si>
  <si>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</si>
  <si>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</si>
  <si>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</si>
  <si>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</si>
  <si>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</si>
  <si>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</si>
  <si>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</si>
  <si>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</si>
  <si>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</si>
  <si>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</si>
  <si>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</si>
  <si>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</si>
  <si>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</si>
  <si>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</si>
  <si>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</si>
  <si>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</si>
  <si>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</si>
  <si>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</si>
  <si>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</si>
  <si>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</si>
  <si>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</si>
  <si>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</si>
  <si>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</si>
  <si>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</si>
  <si>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</si>
  <si>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</si>
  <si>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</si>
  <si>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</si>
  <si>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</si>
  <si>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</si>
  <si>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</si>
  <si>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</si>
  <si>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</si>
  <si>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</si>
  <si>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</si>
  <si>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</si>
  <si>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</si>
  <si>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</si>
  <si>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</si>
  <si>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</si>
  <si>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</si>
  <si>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</si>
  <si>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</si>
  <si>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</si>
  <si>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</si>
  <si>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</si>
  <si>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</si>
  <si>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</si>
  <si>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</si>
  <si>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</si>
  <si>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</si>
  <si>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</si>
  <si>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</si>
  <si>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</si>
  <si>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</si>
  <si>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</si>
  <si>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</si>
  <si>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</si>
  <si>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</si>
  <si>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</si>
  <si>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</si>
  <si>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</si>
  <si>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</si>
  <si>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</si>
  <si>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</si>
  <si>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</si>
  <si>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</si>
  <si>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</si>
  <si>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</si>
  <si>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</si>
  <si>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</si>
  <si>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</si>
  <si>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</si>
  <si>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</si>
  <si>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</si>
  <si>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</si>
  <si>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</si>
  <si>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</si>
  <si>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</si>
  <si>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</si>
  <si>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</si>
  <si>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</si>
  <si>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</si>
  <si>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</si>
  <si>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</si>
  <si>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</si>
  <si>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</si>
  <si>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</si>
  <si>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</si>
  <si>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</si>
  <si>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</si>
  <si>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</si>
  <si>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</si>
  <si>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</si>
  <si>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</si>
  <si>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</si>
  <si>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</si>
  <si>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</si>
  <si>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</si>
  <si>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</si>
  <si>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</si>
  <si>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</si>
  <si>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</si>
  <si>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</si>
  <si>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</si>
  <si>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</si>
  <si>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</si>
  <si>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</si>
  <si>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</si>
  <si>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</si>
  <si>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</si>
  <si>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</si>
  <si>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</si>
  <si>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</si>
  <si>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</si>
  <si>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</si>
  <si>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</si>
  <si>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</si>
  <si>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</si>
  <si>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</si>
  <si>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</si>
  <si>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</si>
  <si>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</si>
  <si>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</si>
  <si>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</si>
  <si>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</si>
  <si>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</si>
  <si>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</si>
  <si>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</si>
  <si>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</si>
  <si>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</si>
  <si>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</si>
  <si>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</si>
  <si>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</si>
  <si>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</si>
  <si>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</si>
  <si>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</si>
  <si>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</si>
  <si>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</si>
  <si>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</si>
  <si>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</si>
  <si>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</si>
  <si>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</si>
  <si>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</si>
  <si>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</si>
  <si>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</si>
  <si>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</si>
  <si>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</si>
  <si>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</si>
  <si>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</si>
  <si>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</si>
  <si>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</si>
  <si>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</si>
  <si>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</si>
  <si>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</si>
  <si>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</si>
  <si>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</si>
  <si>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</si>
  <si>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</si>
  <si>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</si>
  <si>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</si>
  <si>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</si>
  <si>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</si>
  <si>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</si>
  <si>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</si>
  <si>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</si>
  <si>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</si>
  <si>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</si>
  <si>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</si>
  <si>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</si>
  <si>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</si>
  <si>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</si>
  <si>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</si>
  <si>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</si>
  <si>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</si>
  <si>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</si>
  <si>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</si>
  <si>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</si>
  <si>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</si>
  <si>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</si>
  <si>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</si>
  <si>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</si>
  <si>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</si>
  <si>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</si>
  <si>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</si>
  <si>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</si>
  <si>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</si>
  <si>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</si>
  <si>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</si>
  <si>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</si>
  <si>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</si>
  <si>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</si>
  <si>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</si>
  <si>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</si>
  <si>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</si>
  <si>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</si>
  <si>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</si>
  <si>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</si>
  <si>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</si>
  <si>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</si>
  <si>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</si>
  <si>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</si>
  <si>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</si>
  <si>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</si>
  <si>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</si>
  <si>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</si>
  <si>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</si>
  <si>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</si>
  <si>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</si>
  <si>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</si>
  <si>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</si>
  <si>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</si>
  <si>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</si>
  <si>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</si>
  <si>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</si>
  <si>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</si>
  <si>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</si>
  <si>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</si>
  <si>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</si>
  <si>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</si>
  <si>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</si>
  <si>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</si>
  <si>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</si>
  <si>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</si>
  <si>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</si>
  <si>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</si>
  <si>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</si>
  <si>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</si>
  <si>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</si>
  <si>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</si>
  <si>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</si>
  <si>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</si>
  <si>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</si>
  <si>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</si>
  <si>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</si>
  <si>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</si>
  <si>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</si>
  <si>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</si>
  <si>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</si>
  <si>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</si>
  <si>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</si>
  <si>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</si>
  <si>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</si>
  <si>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</si>
  <si>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</si>
  <si>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</si>
  <si>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</si>
  <si>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</si>
  <si>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</si>
  <si>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</si>
  <si>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</si>
  <si>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</si>
  <si>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</si>
  <si>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</si>
  <si>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</si>
  <si>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</si>
  <si>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</si>
  <si>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</si>
  <si>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</si>
  <si>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</si>
  <si>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</si>
  <si>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</si>
  <si>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</si>
  <si>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</si>
  <si>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</si>
  <si>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</si>
  <si>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</si>
  <si>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</si>
  <si>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</si>
  <si>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</si>
  <si>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</si>
  <si>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</si>
  <si>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</si>
  <si>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</si>
  <si>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</si>
  <si>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</si>
  <si>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</si>
  <si>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</si>
  <si>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</si>
  <si>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</si>
  <si>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</si>
  <si>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</si>
  <si>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</si>
  <si>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</si>
  <si>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</si>
  <si>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</si>
  <si>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</si>
  <si>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</si>
  <si>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</si>
  <si>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</si>
  <si>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</si>
  <si>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</si>
  <si>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</si>
  <si>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</si>
  <si>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</si>
  <si>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</si>
  <si>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</si>
  <si>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</si>
  <si>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</si>
  <si>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</si>
  <si>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</si>
  <si>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</si>
  <si>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</si>
  <si>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</si>
  <si>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</si>
  <si>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</si>
  <si>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</si>
  <si>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</si>
  <si>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</si>
  <si>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</si>
  <si>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</si>
  <si>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</si>
  <si>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</si>
  <si>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</si>
  <si>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</si>
  <si>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</si>
  <si>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</si>
  <si>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</si>
  <si>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</si>
  <si>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</si>
  <si>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</si>
  <si>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</si>
  <si>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</si>
  <si>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</si>
  <si>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</si>
  <si>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</si>
  <si>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</si>
  <si>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</si>
  <si>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</si>
  <si>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</si>
  <si>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</si>
  <si>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</si>
  <si>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</si>
  <si>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</si>
  <si>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</si>
  <si>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</si>
  <si>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</si>
  <si>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</si>
  <si>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</si>
  <si>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</si>
  <si>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</si>
  <si>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</si>
  <si>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</si>
  <si>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</si>
  <si>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</si>
  <si>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</si>
  <si>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</si>
  <si>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</si>
  <si>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</si>
  <si>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</si>
  <si>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</si>
  <si>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</si>
  <si>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</si>
  <si>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</si>
  <si>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</si>
  <si>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</si>
  <si>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</si>
  <si>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</si>
  <si>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</si>
  <si>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</si>
  <si>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</si>
  <si>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</si>
  <si>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</si>
  <si>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</si>
  <si>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</si>
  <si>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</si>
  <si>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</si>
  <si>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</si>
  <si>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</si>
  <si>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</si>
  <si>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</si>
  <si>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</si>
  <si>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</si>
  <si>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</si>
  <si>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</si>
  <si>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</si>
  <si>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</si>
  <si>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</si>
  <si>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</si>
  <si>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</si>
  <si>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</si>
  <si>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</si>
  <si>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</si>
  <si>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</si>
  <si>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</si>
  <si>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</si>
  <si>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</si>
  <si>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</si>
  <si>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</si>
  <si>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</si>
  <si>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</si>
  <si>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</si>
  <si>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</si>
  <si>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</si>
  <si>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</si>
  <si>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</si>
  <si>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</si>
  <si>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</si>
  <si>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</si>
  <si>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</si>
  <si>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</si>
  <si>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</si>
  <si>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</si>
  <si>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</si>
  <si>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</si>
  <si>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</si>
  <si>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</si>
  <si>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</si>
  <si>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</si>
  <si>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</si>
  <si>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</si>
  <si>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</si>
  <si>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</si>
  <si>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</si>
  <si>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</si>
  <si>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</si>
  <si>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</si>
  <si>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</si>
  <si>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</si>
  <si>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</si>
  <si>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</si>
  <si>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</si>
  <si>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</si>
  <si>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</si>
  <si>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</si>
  <si>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</si>
  <si>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</si>
  <si>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</si>
  <si>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</si>
  <si>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</si>
  <si>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</si>
  <si>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</si>
  <si>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</si>
  <si>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</si>
  <si>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</si>
  <si>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</si>
  <si>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</si>
  <si>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</si>
  <si>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</si>
  <si>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</si>
  <si>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</si>
  <si>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</si>
  <si>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</si>
  <si>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</si>
  <si>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</si>
  <si>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</si>
  <si>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</si>
  <si>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</si>
  <si>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</si>
  <si>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</si>
  <si>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</si>
  <si>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</si>
  <si>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</si>
  <si>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</si>
  <si>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</si>
  <si>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</si>
  <si>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</si>
  <si>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</si>
  <si>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</si>
  <si>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</si>
  <si>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</si>
  <si>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</si>
  <si>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</si>
  <si>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</si>
  <si>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</si>
  <si>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</si>
  <si>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</si>
  <si>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</si>
  <si>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</si>
  <si>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</si>
  <si>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</si>
  <si>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</si>
  <si>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</si>
  <si>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</si>
  <si>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</si>
  <si>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</si>
  <si>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</si>
  <si>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</si>
  <si>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</si>
  <si>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</si>
  <si>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</si>
  <si>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</si>
  <si>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</si>
  <si>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</si>
  <si>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</si>
  <si>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</si>
  <si>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</si>
  <si>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</si>
  <si>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</si>
  <si>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</si>
  <si>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</si>
  <si>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</si>
  <si>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</si>
  <si>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</si>
  <si>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</si>
  <si>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</si>
  <si>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</si>
  <si>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</si>
  <si>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</si>
  <si>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</si>
  <si>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</si>
  <si>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</si>
  <si>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</si>
  <si>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</si>
  <si>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</si>
  <si>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</si>
  <si>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</si>
  <si>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</si>
  <si>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</si>
  <si>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</si>
  <si>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</si>
  <si>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</si>
  <si>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</si>
  <si>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</si>
  <si>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</si>
  <si>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</si>
  <si>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</si>
  <si>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</si>
  <si>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</si>
  <si>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</si>
  <si>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</si>
  <si>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</si>
  <si>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</si>
  <si>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</si>
  <si>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</si>
  <si>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</si>
  <si>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</si>
  <si>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</si>
  <si>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</si>
  <si>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</si>
  <si>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</si>
  <si>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</si>
  <si>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</si>
  <si>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</si>
  <si>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</si>
  <si>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</si>
  <si>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</si>
  <si>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</si>
  <si>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</si>
  <si>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</si>
  <si>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</si>
  <si>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</si>
  <si>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</si>
  <si>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</si>
  <si>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</si>
  <si>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</si>
  <si>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</si>
  <si>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</si>
  <si>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</si>
  <si>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</si>
  <si>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</si>
  <si>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</si>
  <si>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</si>
  <si>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</si>
  <si>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</si>
  <si>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</si>
  <si>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</si>
  <si>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</si>
  <si>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</si>
  <si>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</si>
  <si>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</si>
  <si>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</si>
  <si>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</si>
  <si>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</si>
  <si>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</si>
  <si>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</si>
  <si>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</si>
  <si>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</si>
  <si>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</si>
  <si>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</si>
  <si>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</si>
  <si>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</si>
  <si>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</si>
  <si>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</si>
  <si>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</si>
  <si>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</si>
  <si>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</si>
  <si>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</si>
  <si>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</si>
  <si>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</si>
  <si>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</si>
  <si>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</si>
  <si>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</si>
  <si>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</si>
  <si>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</si>
  <si>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</si>
  <si>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</si>
  <si>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</si>
  <si>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</si>
  <si>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</si>
  <si>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</si>
  <si>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</si>
  <si>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</si>
  <si>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</si>
  <si>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</si>
  <si>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</si>
  <si>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</si>
  <si>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</si>
  <si>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</si>
  <si>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</si>
  <si>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</si>
  <si>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</si>
  <si>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</si>
  <si>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</si>
  <si>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</si>
  <si>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</si>
  <si>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</si>
  <si>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</si>
  <si>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</si>
  <si>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</si>
  <si>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</si>
  <si>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</si>
  <si>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</si>
  <si>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</si>
  <si>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</si>
  <si>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</si>
  <si>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</si>
  <si>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</si>
  <si>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</si>
  <si>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</si>
  <si>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</si>
  <si>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</si>
  <si>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</si>
  <si>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</si>
  <si>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</si>
  <si>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</si>
  <si>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</si>
  <si>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</si>
  <si>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</si>
  <si>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</si>
  <si>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</si>
  <si>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</si>
  <si>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</si>
  <si>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</si>
  <si>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</si>
  <si>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</si>
  <si>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</si>
  <si>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</si>
  <si>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</si>
  <si>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</si>
  <si>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</si>
  <si>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</si>
  <si>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</si>
  <si>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</si>
  <si>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</si>
  <si>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</si>
  <si>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</si>
  <si>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</si>
  <si>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</si>
  <si>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</si>
  <si>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</si>
  <si>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</si>
  <si>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</si>
  <si>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</si>
  <si>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</si>
  <si>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</si>
  <si>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</si>
  <si>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</si>
  <si>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</si>
  <si>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</si>
  <si>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</si>
  <si>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</si>
  <si>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</si>
  <si>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</si>
  <si>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</si>
  <si>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</si>
  <si>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</si>
  <si>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</si>
  <si>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</si>
  <si>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</si>
  <si>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</si>
  <si>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</si>
  <si>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</si>
  <si>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</si>
  <si>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</si>
  <si>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</si>
  <si>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</si>
  <si>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</si>
  <si>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</si>
  <si>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</si>
  <si>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</si>
  <si>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</si>
  <si>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</si>
  <si>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</si>
  <si>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</si>
  <si>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</si>
  <si>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</si>
  <si>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</si>
  <si>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</si>
  <si>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</si>
  <si>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</si>
  <si>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</si>
  <si>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</si>
  <si>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</si>
  <si>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</si>
  <si>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</si>
  <si>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</si>
  <si>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</si>
  <si>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</si>
  <si>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</si>
  <si>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</si>
  <si>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</si>
  <si>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</si>
  <si>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</si>
  <si>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</si>
  <si>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</si>
  <si>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</si>
  <si>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</si>
  <si>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</si>
  <si>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</si>
  <si>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</si>
  <si>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</si>
  <si>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</si>
  <si>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</si>
  <si>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</si>
  <si>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</si>
  <si>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</si>
  <si>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</si>
  <si>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</si>
  <si>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</si>
  <si>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</si>
  <si>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</si>
  <si>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</si>
  <si>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</si>
  <si>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</si>
  <si>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</si>
  <si>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</si>
  <si>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</si>
  <si>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</si>
  <si>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</si>
  <si>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</si>
  <si>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</si>
  <si>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</si>
  <si>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</si>
  <si>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</si>
  <si>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</si>
  <si>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</si>
  <si>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</si>
  <si>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</si>
  <si>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</si>
  <si>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</si>
  <si>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</si>
  <si>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</si>
  <si>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</si>
  <si>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</si>
  <si>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</si>
  <si>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</si>
  <si>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</si>
  <si>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</si>
  <si>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</si>
  <si>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</si>
  <si>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</si>
  <si>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</si>
  <si>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</si>
  <si>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</si>
  <si>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</si>
  <si>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</si>
  <si>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</si>
  <si>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</si>
  <si>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</si>
  <si>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</si>
  <si>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</si>
  <si>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</si>
  <si>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</si>
  <si>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</si>
  <si>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</si>
  <si>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</si>
  <si>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</si>
  <si>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</si>
  <si>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</si>
  <si>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</si>
  <si>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</si>
  <si>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</si>
  <si>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</si>
  <si>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</si>
  <si>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</si>
  <si>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</si>
  <si>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</si>
  <si>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</si>
  <si>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</si>
  <si>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</si>
  <si>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</si>
  <si>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</si>
  <si>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</si>
  <si>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</si>
  <si>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</si>
  <si>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</si>
  <si>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</si>
  <si>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</si>
  <si>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</si>
  <si>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</si>
  <si>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</si>
  <si>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</si>
  <si>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</si>
  <si>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</si>
  <si>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</si>
  <si>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</si>
  <si>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</si>
  <si>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</si>
  <si>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</si>
  <si>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</si>
  <si>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</si>
  <si>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</si>
  <si>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</si>
  <si>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</si>
  <si>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</si>
  <si>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</si>
  <si>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</si>
  <si>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</si>
  <si>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</si>
  <si>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</si>
  <si>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</si>
  <si>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</si>
  <si>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</si>
  <si>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</si>
  <si>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</si>
  <si>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</si>
  <si>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</si>
  <si>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</si>
  <si>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</si>
  <si>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</si>
  <si>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</si>
  <si>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</si>
  <si>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</si>
  <si>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</si>
  <si>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</si>
  <si>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</si>
  <si>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</si>
  <si>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</si>
  <si>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</si>
  <si>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</si>
  <si>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</si>
  <si>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</si>
  <si>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</si>
  <si>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</si>
  <si>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</si>
  <si>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</si>
  <si>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</si>
  <si>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</si>
  <si>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</si>
  <si>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</si>
  <si>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</si>
  <si>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</si>
  <si>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</si>
  <si>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</si>
  <si>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</si>
  <si>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</si>
  <si>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</si>
  <si>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</si>
  <si>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</si>
  <si>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</si>
  <si>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</si>
  <si>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</si>
  <si>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</si>
  <si>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</si>
  <si>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</si>
  <si>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</si>
  <si>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</si>
  <si>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</si>
  <si>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</si>
  <si>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</si>
  <si>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</si>
  <si>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</si>
  <si>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</si>
  <si>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</si>
  <si>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</si>
  <si>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</si>
  <si>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</si>
  <si>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</si>
  <si>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</si>
  <si>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</si>
  <si>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</si>
  <si>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</si>
  <si>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</si>
  <si>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</si>
  <si>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</si>
  <si>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</si>
  <si>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</si>
  <si>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</si>
  <si>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</si>
  <si>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</si>
  <si>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</si>
  <si>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</si>
  <si>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</si>
  <si>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</si>
  <si>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</si>
  <si>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</si>
  <si>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</si>
  <si>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</si>
  <si>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</si>
  <si>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</si>
  <si>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</si>
  <si>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</si>
  <si>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</si>
  <si>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</si>
  <si>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</si>
  <si>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</si>
  <si>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</si>
  <si>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</si>
  <si>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</si>
  <si>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</si>
  <si>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</si>
  <si>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</si>
  <si>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</si>
  <si>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</si>
  <si>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</si>
  <si>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</si>
  <si>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</si>
  <si>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</si>
  <si>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</si>
  <si>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</si>
  <si>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</si>
  <si>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</si>
  <si>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</si>
  <si>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</si>
  <si>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</si>
  <si>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</si>
  <si>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</si>
  <si>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</si>
  <si>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</si>
  <si>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</si>
  <si>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</si>
  <si>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</si>
  <si>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</si>
  <si>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</si>
  <si>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</si>
  <si>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</si>
  <si>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</si>
  <si>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</si>
  <si>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</si>
  <si>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</si>
  <si>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</si>
  <si>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</si>
  <si>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</si>
  <si>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</si>
  <si>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</si>
  <si>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</si>
  <si>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</si>
  <si>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</si>
  <si>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</si>
  <si>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</si>
  <si>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</si>
  <si>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</si>
  <si>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</si>
  <si>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</si>
  <si>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</si>
  <si>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</si>
  <si>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</si>
  <si>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</si>
  <si>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</si>
  <si>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</si>
  <si>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</si>
  <si>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</si>
  <si>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</si>
  <si>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</si>
  <si>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</si>
  <si>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</si>
  <si>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</si>
  <si>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</si>
  <si>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</si>
  <si>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</si>
  <si>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</si>
  <si>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</si>
  <si>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</si>
  <si>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</si>
  <si>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</si>
  <si>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</si>
  <si>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</si>
  <si>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</si>
  <si>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</si>
  <si>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</si>
  <si>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</si>
  <si>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</si>
  <si>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</si>
  <si>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</si>
  <si>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</si>
  <si>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</si>
  <si>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</si>
  <si>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</si>
  <si>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</si>
  <si>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</si>
  <si>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</si>
  <si>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</si>
  <si>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</si>
  <si>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</si>
  <si>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</si>
  <si>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</si>
  <si>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</si>
  <si>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</si>
  <si>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</si>
  <si>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</si>
  <si>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</si>
  <si>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</si>
  <si>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</si>
  <si>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</si>
  <si>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</si>
  <si>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</si>
  <si>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</si>
  <si>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</si>
  <si>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</si>
  <si>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</si>
  <si>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</si>
  <si>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</si>
  <si>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</si>
  <si>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</si>
  <si>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</si>
  <si>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</si>
  <si>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</si>
  <si>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</si>
  <si>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</si>
  <si>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</si>
  <si>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</si>
  <si>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</si>
  <si>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</si>
  <si>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</si>
  <si>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</si>
  <si>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</si>
  <si>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</si>
  <si>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</si>
  <si>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</si>
  <si>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</si>
  <si>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</si>
  <si>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</si>
  <si>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</si>
  <si>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</si>
  <si>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</si>
  <si>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</si>
  <si>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</si>
  <si>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</si>
  <si>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</si>
  <si>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</si>
  <si>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</si>
  <si>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</si>
  <si>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</si>
  <si>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</si>
  <si>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</si>
  <si>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</si>
  <si>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</si>
  <si>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</si>
  <si>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</si>
  <si>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</si>
  <si>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</si>
  <si>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</si>
  <si>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</si>
  <si>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</si>
  <si>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</si>
  <si>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</si>
  <si>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</si>
  <si>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</si>
  <si>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</si>
  <si>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</si>
  <si>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</si>
  <si>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</si>
  <si>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</si>
  <si>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</si>
  <si>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</si>
  <si>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</si>
  <si>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</si>
  <si>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</si>
  <si>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</si>
  <si>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</si>
  <si>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</si>
  <si>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</si>
  <si>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</si>
  <si>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</si>
  <si>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</si>
  <si>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</si>
  <si>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</si>
  <si>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</si>
  <si>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</si>
  <si>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</si>
  <si>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</si>
  <si>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</si>
  <si>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</si>
  <si>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</si>
  <si>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</si>
  <si>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</si>
  <si>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</si>
  <si>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</si>
  <si>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</si>
  <si>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</si>
  <si>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</si>
  <si>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</si>
  <si>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</si>
  <si>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</si>
  <si>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</si>
  <si>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</si>
  <si>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</si>
  <si>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</si>
  <si>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</si>
  <si>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</si>
  <si>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</si>
  <si>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</si>
  <si>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</si>
  <si>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</si>
  <si>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</si>
  <si>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</si>
  <si>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</si>
  <si>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</si>
  <si>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</si>
  <si>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</si>
  <si>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</si>
  <si>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</si>
  <si>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</si>
  <si>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</si>
  <si>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</si>
  <si>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</si>
  <si>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</si>
  <si>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</si>
  <si>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</si>
  <si>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</si>
  <si>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</si>
  <si>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</si>
  <si>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</si>
  <si>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</si>
  <si>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</si>
  <si>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</si>
  <si>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</si>
  <si>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</si>
  <si>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</si>
  <si>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</si>
  <si>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</si>
  <si>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</si>
  <si>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</si>
  <si>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</si>
  <si>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</si>
  <si>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</si>
  <si>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</si>
  <si>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</si>
  <si>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</si>
  <si>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</si>
  <si>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</si>
  <si>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</si>
  <si>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</si>
  <si>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</si>
  <si>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</si>
  <si>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</si>
  <si>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</si>
  <si>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</si>
  <si>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</si>
  <si>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</si>
  <si>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</si>
  <si>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</si>
  <si>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</si>
  <si>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</si>
  <si>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</si>
  <si>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</si>
  <si>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</si>
  <si>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</si>
  <si>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</si>
  <si>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</si>
  <si>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</si>
  <si>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</si>
  <si>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</si>
  <si>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</si>
  <si>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</si>
  <si>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</si>
  <si>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</si>
  <si>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</si>
  <si>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</si>
  <si>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</si>
  <si>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</si>
  <si>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</si>
  <si>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</si>
  <si>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</si>
  <si>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</si>
  <si>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</si>
  <si>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</si>
  <si>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</si>
  <si>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</si>
  <si>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</si>
  <si>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</si>
  <si>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</si>
  <si>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</si>
  <si>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</si>
  <si>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</si>
  <si>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</si>
  <si>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</si>
  <si>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</si>
  <si>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</si>
  <si>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</si>
  <si>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</si>
  <si>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</si>
  <si>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</si>
  <si>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</si>
  <si>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</si>
  <si>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</si>
  <si>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</si>
  <si>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</si>
  <si>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</si>
  <si>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</si>
  <si>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</si>
  <si>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</si>
  <si>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</si>
  <si>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</si>
  <si>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</si>
  <si>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</si>
  <si>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</si>
  <si>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</si>
  <si>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</si>
  <si>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</si>
  <si>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</si>
  <si>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</si>
  <si>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</si>
  <si>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</si>
  <si>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</si>
  <si>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</si>
  <si>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</si>
  <si>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</si>
  <si>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</si>
  <si>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</si>
  <si>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</si>
  <si>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</si>
  <si>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</si>
  <si>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</si>
  <si>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</si>
  <si>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</si>
  <si>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</si>
  <si>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</si>
  <si>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</si>
  <si>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</si>
  <si>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</si>
  <si>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</si>
  <si>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</si>
  <si>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</si>
  <si>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</si>
  <si>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</si>
  <si>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</si>
  <si>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</si>
  <si>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</si>
  <si>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</si>
  <si>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</si>
  <si>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</si>
  <si>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</si>
  <si>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</si>
  <si>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</si>
  <si>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</si>
  <si>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</si>
  <si>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</si>
  <si>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</si>
  <si>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</si>
  <si>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</si>
  <si>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</si>
  <si>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</si>
  <si>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</si>
  <si>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</si>
  <si>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</si>
  <si>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</si>
  <si>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</si>
  <si>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</si>
  <si>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</si>
  <si>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</si>
  <si>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</si>
  <si>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</si>
  <si>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</si>
  <si>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</si>
  <si>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</si>
  <si>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</si>
  <si>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</si>
  <si>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</si>
  <si>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</si>
  <si>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</si>
  <si>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</si>
  <si>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</si>
  <si>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</si>
  <si>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</si>
  <si>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</si>
  <si>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</si>
  <si>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</si>
  <si>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</si>
  <si>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</si>
  <si>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</si>
  <si>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</si>
  <si>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</si>
  <si>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</si>
  <si>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</si>
  <si>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</si>
  <si>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</si>
  <si>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</si>
  <si>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</si>
  <si>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</si>
  <si>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</si>
  <si>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</si>
  <si>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</si>
  <si>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</si>
  <si>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</si>
  <si>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</si>
  <si>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</si>
  <si>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</si>
  <si>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</si>
  <si>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</si>
  <si>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</si>
  <si>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</si>
  <si>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</si>
  <si>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</si>
  <si>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</si>
  <si>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</si>
  <si>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</si>
  <si>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</si>
  <si>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</si>
  <si>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</si>
  <si>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</si>
  <si>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</si>
  <si>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</si>
  <si>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</si>
  <si>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</si>
  <si>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</si>
  <si>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</si>
  <si>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</si>
  <si>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</si>
  <si>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</si>
  <si>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</si>
  <si>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</si>
  <si>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</si>
  <si>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</si>
  <si>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</si>
  <si>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</si>
  <si>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</si>
  <si>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</si>
  <si>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</si>
  <si>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</si>
  <si>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</si>
  <si>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</si>
  <si>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</si>
  <si>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</si>
  <si>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</si>
  <si>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</si>
  <si>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</si>
  <si>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</si>
  <si>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</si>
  <si>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</si>
  <si>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</si>
  <si>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</si>
  <si>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</si>
  <si>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</si>
  <si>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</si>
  <si>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</si>
  <si>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</si>
  <si>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</si>
  <si>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</si>
  <si>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</si>
  <si>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</si>
  <si>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</si>
  <si>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</si>
  <si>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</si>
  <si>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</si>
  <si>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</si>
  <si>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</si>
  <si>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</si>
  <si>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</si>
  <si>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</si>
  <si>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</si>
  <si>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</si>
  <si>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</si>
  <si>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</si>
  <si>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</si>
  <si>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</si>
  <si>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</si>
  <si>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</si>
  <si>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</si>
  <si>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</si>
  <si>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</si>
  <si>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</si>
  <si>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</si>
  <si>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</si>
  <si>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</si>
  <si>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</si>
  <si>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</si>
  <si>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</si>
  <si>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</si>
  <si>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</si>
  <si>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</si>
  <si>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</si>
  <si>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</si>
  <si>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</si>
  <si>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</si>
  <si>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</si>
  <si>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</si>
  <si>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</si>
  <si>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</si>
  <si>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</si>
  <si>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</si>
  <si>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</si>
  <si>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</si>
  <si>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</si>
  <si>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</si>
  <si>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</si>
  <si>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</si>
  <si>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</si>
  <si>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</si>
  <si>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</si>
  <si>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</si>
  <si>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</si>
  <si>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</si>
  <si>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</si>
  <si>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</si>
  <si>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</si>
  <si>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</si>
  <si>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</si>
  <si>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</si>
  <si>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</si>
  <si>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</si>
  <si>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</si>
  <si>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</si>
  <si>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</si>
  <si>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</si>
  <si>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</si>
  <si>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</si>
  <si>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</si>
  <si>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</si>
  <si>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</si>
  <si>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</si>
  <si>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</si>
  <si>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</si>
  <si>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</si>
  <si>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</si>
  <si>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</si>
  <si>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</si>
  <si>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</si>
  <si>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</si>
  <si>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</si>
  <si>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</si>
  <si>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</si>
  <si>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</si>
  <si>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</si>
  <si>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</si>
  <si>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</si>
  <si>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</si>
  <si>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</si>
  <si>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</si>
  <si>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</si>
  <si>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</si>
  <si>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</si>
  <si>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</si>
  <si>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</si>
  <si>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</si>
  <si>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</si>
  <si>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</si>
  <si>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</si>
  <si>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</si>
  <si>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</si>
  <si>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</si>
  <si>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</si>
  <si>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</si>
  <si>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</si>
  <si>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</si>
  <si>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</si>
  <si>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</si>
  <si>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</si>
  <si>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</si>
  <si>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</si>
  <si>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</si>
  <si>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</si>
  <si>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</si>
  <si>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</si>
  <si>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</si>
  <si>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</si>
  <si>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</si>
  <si>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</si>
  <si>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</si>
  <si>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</si>
  <si>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</si>
  <si>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</si>
  <si>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</si>
  <si>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</si>
  <si>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</si>
  <si>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</si>
  <si>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</si>
  <si>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</si>
  <si>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</si>
  <si>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</si>
  <si>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</si>
  <si>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</si>
  <si>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</si>
  <si>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</si>
  <si>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</si>
  <si>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</si>
  <si>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</si>
  <si>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</si>
  <si>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</si>
  <si>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</si>
  <si>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</si>
  <si>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</si>
  <si>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</si>
  <si>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</si>
  <si>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</si>
  <si>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</si>
  <si>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</si>
  <si>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</si>
  <si>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</si>
  <si>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</si>
  <si>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</si>
  <si>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</si>
  <si>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</si>
  <si>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</si>
  <si>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</si>
  <si>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</si>
  <si>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</si>
  <si>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</si>
  <si>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</si>
  <si>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</si>
  <si>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</si>
  <si>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</si>
  <si>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</si>
  <si>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</si>
  <si>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</si>
  <si>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</si>
  <si>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</si>
  <si>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</si>
  <si>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</si>
  <si>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</si>
  <si>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</si>
  <si>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</si>
  <si>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</si>
  <si>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</si>
  <si>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</si>
  <si>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</si>
  <si>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</si>
  <si>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</si>
  <si>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</si>
  <si>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</si>
  <si>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</si>
  <si>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</si>
  <si>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</si>
  <si>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</si>
  <si>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</si>
  <si>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</si>
  <si>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</si>
  <si>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</si>
  <si>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</si>
  <si>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</si>
  <si>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</si>
  <si>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</si>
  <si>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</si>
  <si>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</si>
  <si>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</si>
  <si>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</si>
  <si>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</si>
  <si>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</si>
  <si>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</si>
  <si>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</si>
  <si>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</si>
  <si>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</si>
  <si>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</si>
  <si>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</si>
  <si>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</si>
  <si>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</si>
  <si>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</si>
  <si>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</si>
  <si>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</si>
  <si>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</si>
  <si>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</si>
  <si>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</si>
  <si>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</si>
  <si>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</si>
  <si>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</si>
  <si>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</si>
  <si>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</si>
  <si>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</si>
  <si>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</si>
  <si>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</si>
  <si>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</si>
  <si>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</si>
  <si>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</si>
  <si>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</si>
  <si>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</si>
  <si>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</si>
  <si>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</si>
  <si>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</si>
  <si>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</si>
  <si>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</si>
  <si>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</si>
  <si>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</si>
  <si>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</si>
  <si>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</si>
  <si>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</si>
  <si>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</si>
  <si>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</si>
  <si>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</si>
  <si>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</si>
  <si>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</si>
  <si>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</si>
  <si>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</si>
  <si>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</si>
  <si>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</si>
  <si>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</si>
  <si>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</si>
  <si>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</si>
  <si>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</si>
  <si>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</si>
  <si>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</si>
  <si>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</si>
  <si>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</si>
  <si>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</si>
  <si>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</si>
  <si>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</si>
  <si>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</si>
  <si>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</si>
  <si>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</si>
  <si>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</si>
  <si>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</si>
  <si>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</si>
  <si>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</si>
  <si>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</si>
  <si>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</si>
  <si>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</si>
  <si>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</si>
  <si>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</si>
  <si>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</si>
  <si>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</si>
  <si>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</si>
  <si>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</si>
  <si>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</si>
  <si>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</si>
  <si>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</si>
  <si>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</si>
  <si>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</si>
  <si>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</si>
  <si>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</si>
  <si>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</si>
  <si>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</si>
  <si>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</si>
  <si>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</si>
  <si>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</si>
  <si>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</si>
  <si>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</si>
  <si>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</si>
  <si>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</si>
  <si>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</si>
  <si>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</si>
  <si>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</si>
  <si>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</si>
  <si>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</si>
  <si>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</si>
  <si>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</si>
  <si>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</si>
  <si>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</si>
  <si>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</si>
  <si>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</si>
  <si>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</si>
  <si>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</si>
  <si>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</si>
  <si>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</si>
  <si>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</si>
  <si>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</si>
  <si>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</si>
  <si>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</si>
  <si>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</si>
  <si>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</si>
  <si>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</si>
  <si>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</si>
  <si>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</si>
  <si>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</si>
  <si>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</si>
  <si>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</si>
  <si>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</si>
  <si>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</si>
  <si>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</si>
  <si>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</si>
  <si>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</si>
  <si>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</si>
  <si>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</si>
  <si>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</si>
  <si>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</si>
  <si>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</si>
  <si>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</si>
  <si>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</si>
  <si>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</si>
  <si>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</si>
  <si>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</si>
  <si>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</si>
  <si>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</si>
  <si>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</si>
  <si>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</si>
  <si>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</si>
  <si>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</si>
  <si>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</si>
  <si>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</si>
  <si>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</si>
  <si>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</si>
  <si>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</si>
  <si>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</si>
  <si>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</si>
  <si>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</si>
  <si>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</si>
  <si>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</si>
  <si>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</si>
  <si>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</si>
  <si>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</si>
  <si>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</si>
  <si>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</si>
  <si>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</si>
  <si>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</si>
  <si>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</si>
  <si>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</si>
  <si>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</si>
  <si>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</si>
  <si>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</si>
  <si>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</si>
  <si>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</si>
  <si>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</si>
  <si>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</si>
  <si>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</si>
  <si>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</si>
  <si>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</si>
  <si>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</si>
  <si>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</si>
  <si>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</si>
  <si>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</si>
  <si>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</si>
  <si>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</si>
  <si>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</si>
  <si>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</si>
  <si>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</si>
  <si>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</si>
  <si>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</si>
  <si>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</si>
  <si>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</si>
  <si>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</si>
  <si>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</si>
  <si>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</si>
  <si>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</si>
  <si>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</si>
  <si>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</si>
  <si>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</si>
  <si>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</si>
  <si>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</si>
  <si>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</si>
  <si>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</si>
  <si>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</si>
  <si>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</si>
  <si>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</si>
  <si>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</si>
  <si>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</si>
  <si>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</si>
  <si>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</si>
  <si>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</si>
  <si>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</si>
  <si>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</si>
  <si>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</si>
  <si>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</si>
  <si>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</si>
  <si>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</si>
  <si>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</si>
  <si>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</si>
  <si>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</si>
  <si>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</si>
  <si>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</si>
  <si>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</si>
  <si>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</si>
  <si>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</si>
  <si>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</si>
  <si>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</si>
  <si>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</si>
  <si>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</si>
  <si>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</si>
  <si>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</si>
  <si>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</si>
  <si>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</si>
  <si>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</si>
  <si>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</si>
  <si>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</si>
  <si>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</si>
  <si>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</si>
  <si>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</si>
  <si>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</si>
  <si>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</si>
  <si>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</si>
  <si>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</si>
  <si>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</si>
  <si>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</si>
  <si>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</si>
  <si>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</si>
  <si>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</si>
  <si>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</si>
  <si>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</si>
  <si>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</si>
  <si>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</si>
  <si>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</si>
  <si>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</si>
  <si>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</si>
  <si>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</si>
  <si>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</si>
  <si>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</si>
  <si>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</si>
  <si>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Proteome</t>
  </si>
  <si>
    <t>att_proteome</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</si>
  <si>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</si>
  <si>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</si>
  <si>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</si>
  <si>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</si>
  <si>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</si>
  <si>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</si>
  <si>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</si>
  <si>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</si>
  <si>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</si>
  <si>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</si>
  <si>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</si>
  <si>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</si>
  <si>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</si>
  <si>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</si>
  <si>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</si>
  <si>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</si>
  <si>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</si>
  <si>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</si>
  <si>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</si>
  <si>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</si>
  <si>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</si>
  <si>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</si>
  <si>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</si>
  <si>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</si>
  <si>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</si>
  <si>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</si>
  <si>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</si>
  <si>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</si>
  <si>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</si>
  <si>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</si>
  <si>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</si>
  <si>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</si>
  <si>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</si>
  <si>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</si>
  <si>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</si>
  <si>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</si>
  <si>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</si>
  <si>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</si>
  <si>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</si>
  <si>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</si>
  <si>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</si>
  <si>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</si>
  <si>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</si>
  <si>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</si>
  <si>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</si>
  <si>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</si>
  <si>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</si>
  <si>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</si>
  <si>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</si>
  <si>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</si>
  <si>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</si>
  <si>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</si>
  <si>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</si>
  <si>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</si>
  <si>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</si>
  <si>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</si>
  <si>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</si>
  <si>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</si>
  <si>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</si>
  <si>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</si>
  <si>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</si>
  <si>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</si>
  <si>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</si>
  <si>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</si>
  <si>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</si>
  <si>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</si>
  <si>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</si>
  <si>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</si>
  <si>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</si>
  <si>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</si>
  <si>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</si>
  <si>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</si>
  <si>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</si>
  <si>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</si>
  <si>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</si>
  <si>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</si>
  <si>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</si>
  <si>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</si>
  <si>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</si>
  <si>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</si>
  <si>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</si>
  <si>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</si>
  <si>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</si>
  <si>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</si>
  <si>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</si>
  <si>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</si>
  <si>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</si>
  <si>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</si>
  <si>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</si>
  <si>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</si>
  <si>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</si>
  <si>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</si>
  <si>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</si>
  <si>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</si>
  <si>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</si>
  <si>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</si>
  <si>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</si>
  <si>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</si>
  <si>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</si>
  <si>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</si>
  <si>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</si>
  <si>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</si>
  <si>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</si>
  <si>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</si>
  <si>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</si>
  <si>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</si>
  <si>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</si>
  <si>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</si>
  <si>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</si>
  <si>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</si>
  <si>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</si>
  <si>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</si>
  <si>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</si>
  <si>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</si>
  <si>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</si>
  <si>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</si>
  <si>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</si>
  <si>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</si>
  <si>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</si>
  <si>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</si>
  <si>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</si>
  <si>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</si>
  <si>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</si>
  <si>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</si>
  <si>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</si>
  <si>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</si>
  <si>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</si>
  <si>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</si>
  <si>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</si>
  <si>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</si>
  <si>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</si>
  <si>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</si>
  <si>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</si>
  <si>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</si>
  <si>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</si>
  <si>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</si>
  <si>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</si>
  <si>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</si>
  <si>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</si>
  <si>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</si>
  <si>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</si>
  <si>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</si>
  <si>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</si>
  <si>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</si>
  <si>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</si>
  <si>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</si>
  <si>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</si>
  <si>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</si>
  <si>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</si>
  <si>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</si>
  <si>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</si>
  <si>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</si>
  <si>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</si>
  <si>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</si>
  <si>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</si>
  <si>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</si>
  <si>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</si>
  <si>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</si>
  <si>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</si>
  <si>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</si>
  <si>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</si>
  <si>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</si>
  <si>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</si>
  <si>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</si>
  <si>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</si>
  <si>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</si>
  <si>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</si>
  <si>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</si>
  <si>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</si>
  <si>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</si>
  <si>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</si>
  <si>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</si>
  <si>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</si>
  <si>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</si>
  <si>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</si>
  <si>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</si>
  <si>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</si>
  <si>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</si>
  <si>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</si>
  <si>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</si>
  <si>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</si>
  <si>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</si>
  <si>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</si>
  <si>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</si>
  <si>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</si>
  <si>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</si>
  <si>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</si>
  <si>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</si>
  <si>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</si>
  <si>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</si>
  <si>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</si>
  <si>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</si>
  <si>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</si>
  <si>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</si>
  <si>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</si>
  <si>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</si>
  <si>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</si>
  <si>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</si>
  <si>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</si>
  <si>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</si>
  <si>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</si>
  <si>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</si>
  <si>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</si>
  <si>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</si>
  <si>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</si>
  <si>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</si>
  <si>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</si>
  <si>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</si>
  <si>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</si>
  <si>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</si>
  <si>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</si>
  <si>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</si>
  <si>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</si>
  <si>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</si>
  <si>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</si>
  <si>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</si>
  <si>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</si>
  <si>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</si>
  <si>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</si>
  <si>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</si>
  <si>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</si>
  <si>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</si>
  <si>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</si>
  <si>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</si>
  <si>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</si>
  <si>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</si>
  <si>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</si>
  <si>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</si>
  <si>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</si>
  <si>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</si>
  <si>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</si>
  <si>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</si>
  <si>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</si>
  <si>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</si>
  <si>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</si>
  <si>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</si>
  <si>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</si>
  <si>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</si>
  <si>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</si>
  <si>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</si>
  <si>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</si>
  <si>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</si>
  <si>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</si>
  <si>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</si>
  <si>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</si>
  <si>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</si>
  <si>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</si>
  <si>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</si>
  <si>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</si>
  <si>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</si>
  <si>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</si>
  <si>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</si>
  <si>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</si>
  <si>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</si>
  <si>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</si>
  <si>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</si>
  <si>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</si>
  <si>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</si>
  <si>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</si>
  <si>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</si>
  <si>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</si>
  <si>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</si>
  <si>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</si>
  <si>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</si>
  <si>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</si>
  <si>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</si>
  <si>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</si>
  <si>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</si>
  <si>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</si>
  <si>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</si>
  <si>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</si>
  <si>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</si>
  <si>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</si>
  <si>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</si>
  <si>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</si>
  <si>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</si>
  <si>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</si>
  <si>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</si>
  <si>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</si>
  <si>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</si>
  <si>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</si>
  <si>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</si>
  <si>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</si>
  <si>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</si>
  <si>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</si>
  <si>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</si>
  <si>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</si>
  <si>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</si>
  <si>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</si>
  <si>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</si>
  <si>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</si>
  <si>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</si>
  <si>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</si>
  <si>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</si>
  <si>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</si>
  <si>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</si>
  <si>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</si>
  <si>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</si>
  <si>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</si>
  <si>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</si>
  <si>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</si>
  <si>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</si>
  <si>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</si>
  <si>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</si>
  <si>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</si>
  <si>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</si>
  <si>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</si>
  <si>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</si>
  <si>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</si>
  <si>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</si>
  <si>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</si>
  <si>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</si>
  <si>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</si>
  <si>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</si>
  <si>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</si>
  <si>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</si>
  <si>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</si>
  <si>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</si>
  <si>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</si>
  <si>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</si>
  <si>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</si>
  <si>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</si>
  <si>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</si>
  <si>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</si>
  <si>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</si>
  <si>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</si>
  <si>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</si>
  <si>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</si>
  <si>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</si>
  <si>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</si>
  <si>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</si>
  <si>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</si>
  <si>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</si>
  <si>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</si>
  <si>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</si>
  <si>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</si>
  <si>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</si>
  <si>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</si>
  <si>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</si>
  <si>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</si>
  <si>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</si>
  <si>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</si>
  <si>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</si>
  <si>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</si>
  <si>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</si>
  <si>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</si>
  <si>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</si>
  <si>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</si>
  <si>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</si>
  <si>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</si>
  <si>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</si>
  <si>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</si>
  <si>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</si>
  <si>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</si>
  <si>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</si>
  <si>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</si>
  <si>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</si>
  <si>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</si>
  <si>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</si>
  <si>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</si>
  <si>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</si>
  <si>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</si>
  <si>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</si>
  <si>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</si>
  <si>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</si>
  <si>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</si>
  <si>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</si>
  <si>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</si>
  <si>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</si>
  <si>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</si>
  <si>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</si>
  <si>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</si>
  <si>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</si>
  <si>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</si>
  <si>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</si>
  <si>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</si>
  <si>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</si>
  <si>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</si>
  <si>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</si>
  <si>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</si>
  <si>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</si>
  <si>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</si>
  <si>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</si>
  <si>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</si>
  <si>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</si>
  <si>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</si>
  <si>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</si>
  <si>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</si>
  <si>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</si>
  <si>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</si>
  <si>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</si>
  <si>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</si>
  <si>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</si>
  <si>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</si>
  <si>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</si>
  <si>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</si>
  <si>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</si>
  <si>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</si>
  <si>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</si>
  <si>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</si>
  <si>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</si>
  <si>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</si>
  <si>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</si>
  <si>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</si>
  <si>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</si>
  <si>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</si>
  <si>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</si>
  <si>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</si>
  <si>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</si>
  <si>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</si>
  <si>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</si>
  <si>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</si>
  <si>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</si>
  <si>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</si>
  <si>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</si>
  <si>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</si>
  <si>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</si>
  <si>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</si>
  <si>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</si>
  <si>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</si>
  <si>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</si>
  <si>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</si>
  <si>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</si>
  <si>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</si>
  <si>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</si>
  <si>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</si>
  <si>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</si>
  <si>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</si>
  <si>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</si>
  <si>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</si>
  <si>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</si>
  <si>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</si>
  <si>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</si>
  <si>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</si>
  <si>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</si>
  <si>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</si>
  <si>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</si>
  <si>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</si>
  <si>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</si>
  <si>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</si>
  <si>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</si>
  <si>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</si>
  <si>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</si>
  <si>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</si>
  <si>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</si>
  <si>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</si>
  <si>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</si>
  <si>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</si>
  <si>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</si>
  <si>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</si>
  <si>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</si>
  <si>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</si>
  <si>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</si>
  <si>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</si>
  <si>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</si>
  <si>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</si>
  <si>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</si>
  <si>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</si>
  <si>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</si>
  <si>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</si>
  <si>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</si>
  <si>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</si>
  <si>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</si>
  <si>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</si>
  <si>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</si>
  <si>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</si>
  <si>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</si>
  <si>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</si>
  <si>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</si>
  <si>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</si>
  <si>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</si>
  <si>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</si>
  <si>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</si>
  <si>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</si>
  <si>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</si>
  <si>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</si>
  <si>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</si>
  <si>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</si>
  <si>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</si>
  <si>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</si>
  <si>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</si>
  <si>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</si>
  <si>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</si>
  <si>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</si>
  <si>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</si>
  <si>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</si>
  <si>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</si>
  <si>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</si>
  <si>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</si>
  <si>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</si>
  <si>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</si>
  <si>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</si>
  <si>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</si>
  <si>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</si>
  <si>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</si>
  <si>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</si>
  <si>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</si>
  <si>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</si>
  <si>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</si>
  <si>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</si>
  <si>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</si>
  <si>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</si>
  <si>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</si>
  <si>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</si>
  <si>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</si>
  <si>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</si>
  <si>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</si>
  <si>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</si>
  <si>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</si>
  <si>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</si>
  <si>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</si>
  <si>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</si>
  <si>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</si>
  <si>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</si>
  <si>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</si>
  <si>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</si>
  <si>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</si>
  <si>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</si>
  <si>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</si>
  <si>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</si>
  <si>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</si>
  <si>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</si>
  <si>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</si>
  <si>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</si>
  <si>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</si>
  <si>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</si>
  <si>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</si>
  <si>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</si>
  <si>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</si>
  <si>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</si>
  <si>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</si>
  <si>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</si>
  <si>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</si>
  <si>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</si>
  <si>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</si>
  <si>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</si>
  <si>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</si>
  <si>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</si>
  <si>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</si>
  <si>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</si>
  <si>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</si>
  <si>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</si>
  <si>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</si>
  <si>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</si>
  <si>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</si>
  <si>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</si>
  <si>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</si>
  <si>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</si>
  <si>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</si>
  <si>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</si>
  <si>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</si>
  <si>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</si>
  <si>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</si>
  <si>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</si>
  <si>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</si>
  <si>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</si>
  <si>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</si>
  <si>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</si>
  <si>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</si>
  <si>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</si>
  <si>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</si>
  <si>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</si>
  <si>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</si>
  <si>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</si>
  <si>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</si>
  <si>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</si>
  <si>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</si>
  <si>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</si>
  <si>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</si>
  <si>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</si>
  <si>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</si>
  <si>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</si>
  <si>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</si>
  <si>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</si>
  <si>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</si>
  <si>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</si>
  <si>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</si>
  <si>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</si>
  <si>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</si>
  <si>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</si>
  <si>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</si>
  <si>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</si>
  <si>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</si>
  <si>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</si>
  <si>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</si>
  <si>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</si>
  <si>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</si>
  <si>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</si>
  <si>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</si>
  <si>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</si>
  <si>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</si>
  <si>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</si>
  <si>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</si>
  <si>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</si>
  <si>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</si>
  <si>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</si>
  <si>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</si>
  <si>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</si>
  <si>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</si>
  <si>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</si>
  <si>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</si>
  <si>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</si>
  <si>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</si>
  <si>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</si>
  <si>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</si>
  <si>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</si>
  <si>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</si>
  <si>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</si>
  <si>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</si>
  <si>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</si>
  <si>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</si>
  <si>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</si>
  <si>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</si>
  <si>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</si>
  <si>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</si>
  <si>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</si>
  <si>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</si>
  <si>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</si>
  <si>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</si>
  <si>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</si>
  <si>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</si>
  <si>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</si>
  <si>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</si>
  <si>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</si>
  <si>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</si>
  <si>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</si>
  <si>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</si>
  <si>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</si>
  <si>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</si>
  <si>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</si>
  <si>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</si>
  <si>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</si>
  <si>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</si>
  <si>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</si>
  <si>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</si>
  <si>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</si>
  <si>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</si>
  <si>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</si>
  <si>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</si>
  <si>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</si>
  <si>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</si>
  <si>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</si>
  <si>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</si>
  <si>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</si>
  <si>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</si>
  <si>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</si>
  <si>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</si>
  <si>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</si>
  <si>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</si>
  <si>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</si>
  <si>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</si>
  <si>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</si>
  <si>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</si>
  <si>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</si>
  <si>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</si>
  <si>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</si>
  <si>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</si>
  <si>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</si>
  <si>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</si>
  <si>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</si>
  <si>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</si>
  <si>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</si>
  <si>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</si>
  <si>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</si>
  <si>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</si>
  <si>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</si>
  <si>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</si>
  <si>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</si>
  <si>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</si>
  <si>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</si>
  <si>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</si>
  <si>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</si>
  <si>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</si>
  <si>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</si>
  <si>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</si>
  <si>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</si>
  <si>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</si>
  <si>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</si>
  <si>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</si>
  <si>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</si>
  <si>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</si>
  <si>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</si>
  <si>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</si>
  <si>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</si>
  <si>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</si>
  <si>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</si>
  <si>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</si>
  <si>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</si>
  <si>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</si>
  <si>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</si>
  <si>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</si>
  <si>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</si>
  <si>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</si>
  <si>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</si>
  <si>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</si>
  <si>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</si>
  <si>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</si>
  <si>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</si>
  <si>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</si>
  <si>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</si>
  <si>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</si>
  <si>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</si>
  <si>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</si>
  <si>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</si>
  <si>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</si>
  <si>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</si>
  <si>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</si>
  <si>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</si>
  <si>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</si>
  <si>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</si>
  <si>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</si>
  <si>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</si>
  <si>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</si>
  <si>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</si>
  <si>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</si>
  <si>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</si>
  <si>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</si>
  <si>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</si>
  <si>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</si>
  <si>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</si>
  <si>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</si>
  <si>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</si>
  <si>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</si>
  <si>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</si>
  <si>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</si>
  <si>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</si>
  <si>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</si>
  <si>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</si>
  <si>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</si>
  <si>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</si>
  <si>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</si>
  <si>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</si>
  <si>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</si>
  <si>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</si>
  <si>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</si>
  <si>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</si>
  <si>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</si>
  <si>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</si>
  <si>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</si>
  <si>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</si>
  <si>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</si>
  <si>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</si>
  <si>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</si>
  <si>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</si>
  <si>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</si>
  <si>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</si>
  <si>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</si>
  <si>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</si>
  <si>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</si>
  <si>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</si>
  <si>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</si>
  <si>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</si>
  <si>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</si>
  <si>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</si>
  <si>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</si>
  <si>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</si>
  <si>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</si>
  <si>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</si>
  <si>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</si>
  <si>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</si>
  <si>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</si>
  <si>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</si>
  <si>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</si>
  <si>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</si>
  <si>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</si>
  <si>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</si>
  <si>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</si>
  <si>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</si>
  <si>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</si>
  <si>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</si>
  <si>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</si>
  <si>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</si>
  <si>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</si>
  <si>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</si>
  <si>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</si>
  <si>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</si>
  <si>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</si>
  <si>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</si>
  <si>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</si>
  <si>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</si>
  <si>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</si>
  <si>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</si>
  <si>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</si>
  <si>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</si>
  <si>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</si>
  <si>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</si>
  <si>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</si>
  <si>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</si>
  <si>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</si>
  <si>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</si>
  <si>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</si>
  <si>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</si>
  <si>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</si>
  <si>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</si>
  <si>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</si>
  <si>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</si>
  <si>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</si>
  <si>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</si>
  <si>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</si>
  <si>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</si>
  <si>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</si>
  <si>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</si>
  <si>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</si>
  <si>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</si>
  <si>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</si>
  <si>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</si>
  <si>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</si>
  <si>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</si>
  <si>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</si>
  <si>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</si>
  <si>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</si>
  <si>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</si>
  <si>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</si>
  <si>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</si>
  <si>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</si>
  <si>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</si>
  <si>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</si>
  <si>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</si>
  <si>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</si>
  <si>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</si>
  <si>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</si>
  <si>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</si>
  <si>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</si>
  <si>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</si>
  <si>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</si>
  <si>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</si>
  <si>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</si>
  <si>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</si>
  <si>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</si>
  <si>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</si>
  <si>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</si>
  <si>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</si>
  <si>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</si>
  <si>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</si>
  <si>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</si>
  <si>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</si>
  <si>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</si>
  <si>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</si>
  <si>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</si>
  <si>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</si>
  <si>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</si>
  <si>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</si>
  <si>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</si>
  <si>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</si>
  <si>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</si>
  <si>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</si>
  <si>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</si>
  <si>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</si>
  <si>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</si>
  <si>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</si>
  <si>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</si>
  <si>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</si>
  <si>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</si>
  <si>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</si>
  <si>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</si>
  <si>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</si>
  <si>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</si>
  <si>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</si>
  <si>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</si>
  <si>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</si>
  <si>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</si>
  <si>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</si>
  <si>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</si>
  <si>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</si>
  <si>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</si>
  <si>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</si>
  <si>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</si>
  <si>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</si>
  <si>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</si>
  <si>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</si>
  <si>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</si>
  <si>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</si>
  <si>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</si>
  <si>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</si>
  <si>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</si>
  <si>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</si>
  <si>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</si>
  <si>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</si>
  <si>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</si>
  <si>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</si>
  <si>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</si>
  <si>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</si>
  <si>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</si>
  <si>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</si>
  <si>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</si>
  <si>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</si>
  <si>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</si>
  <si>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</si>
  <si>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</si>
  <si>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</si>
  <si>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</si>
  <si>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</si>
  <si>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</si>
  <si>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</si>
  <si>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</si>
  <si>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</si>
  <si>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</si>
  <si>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</si>
  <si>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</si>
  <si>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</si>
  <si>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</si>
  <si>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</si>
  <si>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</si>
  <si>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</si>
  <si>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</si>
  <si>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</si>
  <si>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</si>
  <si>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</si>
  <si>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</si>
  <si>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</si>
  <si>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</si>
  <si>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</si>
  <si>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</si>
  <si>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</si>
  <si>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</si>
  <si>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</si>
  <si>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</si>
  <si>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</si>
  <si>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</si>
  <si>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</si>
  <si>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</si>
  <si>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</si>
  <si>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</si>
  <si>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</si>
  <si>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</si>
  <si>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</si>
  <si>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</si>
  <si>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</si>
  <si>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</si>
  <si>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</si>
  <si>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</si>
  <si>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</si>
  <si>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</si>
  <si>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</si>
  <si>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</si>
  <si>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</si>
  <si>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</si>
  <si>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</si>
  <si>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</si>
  <si>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</si>
  <si>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</si>
  <si>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</si>
  <si>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</si>
  <si>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</si>
  <si>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</si>
  <si>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</si>
  <si>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</si>
  <si>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</si>
  <si>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</si>
  <si>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</si>
  <si>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</si>
  <si>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</si>
  <si>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</si>
  <si>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</si>
  <si>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</si>
  <si>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</si>
  <si>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</si>
  <si>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</si>
  <si>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</si>
  <si>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</si>
  <si>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</si>
  <si>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</si>
  <si>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</si>
  <si>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</si>
  <si>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</si>
  <si>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</si>
  <si>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</si>
  <si>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</si>
  <si>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</si>
  <si>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</si>
  <si>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</si>
  <si>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</si>
  <si>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</si>
  <si>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</si>
  <si>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</si>
  <si>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</si>
  <si>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</si>
  <si>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</si>
  <si>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</si>
  <si>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</si>
  <si>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</si>
  <si>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</si>
  <si>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</si>
  <si>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</si>
  <si>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</si>
  <si>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</si>
  <si>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</si>
  <si>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</si>
  <si>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</si>
  <si>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</si>
  <si>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</si>
  <si>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</si>
  <si>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</si>
  <si>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</si>
  <si>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</si>
  <si>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</si>
  <si>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</si>
  <si>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</si>
  <si>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</si>
  <si>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</si>
  <si>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</si>
  <si>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</si>
  <si>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</si>
  <si>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</si>
  <si>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</si>
  <si>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</si>
  <si>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</si>
  <si>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</si>
  <si>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</si>
  <si>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</si>
  <si>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</si>
  <si>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</si>
  <si>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</si>
  <si>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</si>
  <si>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</si>
  <si>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</si>
  <si>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</si>
  <si>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</si>
  <si>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</si>
  <si>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</si>
  <si>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</si>
  <si>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</si>
  <si>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</si>
  <si>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</si>
  <si>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</si>
  <si>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</si>
  <si>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</si>
  <si>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</si>
  <si>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</si>
  <si>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</si>
  <si>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</si>
  <si>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</si>
  <si>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</si>
  <si>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</si>
  <si>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</si>
  <si>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</si>
  <si>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</si>
  <si>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</si>
  <si>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</si>
  <si>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</si>
  <si>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</si>
  <si>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</si>
  <si>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</si>
  <si>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</si>
  <si>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</si>
  <si>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</si>
  <si>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</si>
  <si>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</si>
  <si>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</si>
  <si>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</si>
  <si>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</si>
  <si>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</si>
  <si>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</si>
  <si>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</si>
  <si>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</si>
  <si>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</si>
  <si>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</si>
  <si>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</si>
  <si>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</si>
  <si>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</si>
  <si>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</si>
  <si>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</si>
  <si>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</si>
  <si>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</si>
  <si>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</si>
  <si>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</si>
  <si>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</si>
  <si>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</si>
  <si>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</si>
  <si>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</si>
  <si>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</si>
  <si>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</si>
  <si>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</si>
  <si>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</si>
  <si>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</si>
  <si>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</si>
  <si>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</si>
  <si>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</si>
  <si>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</si>
  <si>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</si>
  <si>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</si>
  <si>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</si>
  <si>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</si>
  <si>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</si>
  <si>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</si>
  <si>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</si>
  <si>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</si>
  <si>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</si>
  <si>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</si>
  <si>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</si>
  <si>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</si>
  <si>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</si>
  <si>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</si>
  <si>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</si>
  <si>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</si>
  <si>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</si>
  <si>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</si>
  <si>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</si>
  <si>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</si>
  <si>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</si>
  <si>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</si>
  <si>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</si>
  <si>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</si>
  <si>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</si>
  <si>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</si>
  <si>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</si>
  <si>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</si>
  <si>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</si>
  <si>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</si>
  <si>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</si>
  <si>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</si>
  <si>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</si>
  <si>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</si>
  <si>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</si>
  <si>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</si>
  <si>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</si>
  <si>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</si>
  <si>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</si>
  <si>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</si>
  <si>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</si>
  <si>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</si>
  <si>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</si>
  <si>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</si>
  <si>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</si>
  <si>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</si>
  <si>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</si>
  <si>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</si>
  <si>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</si>
  <si>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</si>
  <si>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</si>
  <si>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</si>
  <si>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</si>
  <si>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</si>
  <si>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</si>
  <si>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</si>
  <si>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</si>
  <si>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</si>
  <si>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</si>
  <si>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</si>
  <si>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</si>
  <si>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</si>
  <si>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</si>
  <si>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</si>
  <si>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</si>
  <si>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</si>
  <si>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</si>
  <si>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</si>
  <si>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</si>
  <si>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</si>
  <si>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</si>
  <si>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</si>
  <si>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</si>
  <si>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</si>
  <si>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</si>
  <si>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</si>
  <si>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</si>
  <si>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</si>
  <si>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</si>
  <si>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</si>
  <si>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</si>
  <si>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</si>
  <si>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</si>
  <si>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</si>
  <si>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</si>
  <si>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</si>
  <si>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</si>
  <si>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</si>
  <si>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</si>
  <si>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</si>
  <si>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</si>
  <si>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</si>
  <si>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</si>
  <si>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</si>
  <si>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</si>
  <si>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</si>
  <si>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</si>
  <si>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</si>
  <si>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</si>
  <si>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</si>
  <si>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</si>
  <si>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</si>
  <si>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</si>
  <si>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</si>
  <si>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</si>
  <si>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</si>
  <si>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</si>
  <si>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</si>
  <si>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</si>
  <si>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</si>
  <si>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</si>
  <si>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</si>
  <si>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</si>
  <si>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</si>
  <si>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</si>
  <si>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</si>
  <si>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</si>
  <si>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</si>
  <si>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</si>
  <si>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</si>
  <si>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</si>
  <si>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</si>
  <si>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</si>
  <si>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</si>
  <si>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</si>
  <si>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</si>
  <si>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</si>
  <si>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</si>
  <si>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</si>
  <si>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</si>
  <si>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</si>
  <si>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</si>
  <si>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</si>
  <si>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</si>
  <si>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</si>
  <si>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</si>
  <si>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</si>
  <si>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</si>
  <si>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</si>
  <si>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</si>
  <si>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</si>
  <si>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</si>
  <si>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</si>
  <si>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</si>
  <si>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</si>
  <si>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</si>
  <si>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</si>
  <si>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</si>
  <si>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</si>
  <si>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</si>
  <si>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</si>
  <si>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</si>
  <si>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</si>
  <si>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</si>
  <si>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</si>
  <si>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</si>
  <si>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</si>
  <si>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</si>
  <si>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</si>
  <si>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</si>
  <si>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</si>
  <si>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</si>
  <si>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</si>
  <si>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</si>
  <si>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</si>
  <si>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</si>
  <si>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</si>
  <si>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</si>
  <si>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</si>
  <si>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</si>
  <si>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</si>
  <si>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</si>
  <si>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</si>
  <si>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</si>
  <si>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</si>
  <si>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</si>
  <si>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</si>
  <si>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</si>
  <si>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</si>
  <si>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</si>
  <si>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</si>
  <si>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</si>
  <si>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</si>
  <si>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</si>
  <si>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</si>
  <si>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</si>
  <si>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</si>
  <si>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</si>
  <si>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</si>
  <si>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</si>
  <si>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</si>
  <si>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</si>
  <si>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</si>
  <si>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</si>
  <si>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</si>
  <si>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</si>
  <si>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</si>
  <si>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</si>
  <si>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</si>
  <si>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</si>
  <si>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</si>
  <si>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</si>
  <si>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</si>
  <si>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</si>
  <si>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</si>
  <si>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</si>
  <si>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</si>
  <si>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</si>
  <si>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</si>
  <si>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</si>
  <si>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String cloneid identifier such as date/laboratory</t>
  </si>
  <si>
    <t>att_centrifugation</t>
  </si>
  <si>
    <t>Centrifugation</t>
  </si>
  <si>
    <t>The supernatant was used after a centrifugation step</t>
  </si>
  <si>
    <t>The pellet was further processed after centriguation.</t>
  </si>
  <si>
    <t>Centrifugal Acceleration</t>
  </si>
  <si>
    <t>att_cent_acc</t>
  </si>
  <si>
    <t>att_time|att_cent_acc</t>
  </si>
  <si>
    <t>rpm</t>
  </si>
  <si>
    <t>m/(s*s)</t>
  </si>
  <si>
    <t>Acceleration given as meter ber square second.</t>
  </si>
  <si>
    <t xml:space="preserve">Rounds per minute. Not recommended to use - centrifugation specific. </t>
  </si>
  <si>
    <t>mss</t>
  </si>
  <si>
    <t>Multiple of earth gravity.</t>
  </si>
  <si>
    <t>att_quant_normalization</t>
  </si>
  <si>
    <t>Normalization Strategy</t>
  </si>
  <si>
    <t>No normalization was applied to the data.</t>
  </si>
  <si>
    <t>Cross-run</t>
  </si>
  <si>
    <t>Cross run normalization assuming that the majority of the proteins remain unchanged across all samples.</t>
  </si>
  <si>
    <t>cross_run</t>
  </si>
  <si>
    <t>AA Index</t>
  </si>
  <si>
    <t>att_batch_type</t>
  </si>
  <si>
    <t>Batch Type Effect</t>
  </si>
  <si>
    <t>quant</t>
  </si>
  <si>
    <t>A batch such as TMT or pulseSILAC that creates a batch effect by ist nature.</t>
  </si>
  <si>
    <t>lab</t>
  </si>
  <si>
    <t>Lab Batch</t>
  </si>
  <si>
    <t>A batch effect that occurs due to different labs</t>
  </si>
  <si>
    <t>experimentator</t>
  </si>
  <si>
    <t>Experimentator</t>
  </si>
  <si>
    <t>A batch effect by different experimentators</t>
  </si>
  <si>
    <t>clone</t>
  </si>
  <si>
    <t>Clone</t>
  </si>
  <si>
    <t>Quantification</t>
  </si>
  <si>
    <t xml:space="preserve">A clonal batch effect. </t>
  </si>
  <si>
    <t>att_protein|att_duration|att_temperature</t>
  </si>
  <si>
    <t>exog</t>
  </si>
  <si>
    <t>Exogeneously expressed immunoprecipitation.</t>
  </si>
  <si>
    <t>Cx3cr1CreER(Jung)</t>
  </si>
  <si>
    <t>ml_cx3cr1_jung</t>
  </si>
  <si>
    <t>stem_cell_differentiation</t>
  </si>
  <si>
    <t>Process where stem cells become specialized cells; foundational mechanism of all differentiation</t>
  </si>
  <si>
    <t>embryonic_differentiation</t>
  </si>
  <si>
    <t>Specialization during embryo development into ectoderm, mesoderm, and endoderm</t>
  </si>
  <si>
    <t>terminal_differentiation</t>
  </si>
  <si>
    <t>Final specialization of a cell where it performs a specific function and usually stops dividing</t>
  </si>
  <si>
    <t>artificial_differentiation</t>
  </si>
  <si>
    <t>Lab-controlled process where scientists direct stem cells into specific cell types</t>
  </si>
  <si>
    <t>transdifferentiation</t>
  </si>
  <si>
    <t>Direct conversion of one mature cell type into another without becoming a stem cell</t>
  </si>
  <si>
    <t>dedifferentiation</t>
  </si>
  <si>
    <t>Process where specialized cells revert to a less specialized or stem-like state</t>
  </si>
  <si>
    <t>redifferentiation</t>
  </si>
  <si>
    <t>Process where dedifferentiated cells specialize again into a new cell type</t>
  </si>
  <si>
    <t>abnormal_cancerous_differentiation</t>
  </si>
  <si>
    <t>Loss or disruption of normal differentiation patterns, often seen in cancer cells</t>
  </si>
  <si>
    <t>Embryonic</t>
  </si>
  <si>
    <t>Terminal</t>
  </si>
  <si>
    <t>Artificial</t>
  </si>
  <si>
    <t>Transdifferentation</t>
  </si>
  <si>
    <t>Dedifferentiation</t>
  </si>
  <si>
    <t>Redifferentiation</t>
  </si>
  <si>
    <t>Cancerous differentiation</t>
  </si>
  <si>
    <t>att_cell_diff</t>
  </si>
  <si>
    <t>Cell differentiation</t>
  </si>
  <si>
    <t>Sex</t>
  </si>
  <si>
    <t>att_sex</t>
  </si>
  <si>
    <t>Tetracycline</t>
  </si>
  <si>
    <t>tetracycline</t>
  </si>
  <si>
    <t>Tetracycline is a broad-spectrum antibiotic that inhibits bacterial protein synthesis by blocking tRNA from binding to the ribosome</t>
  </si>
  <si>
    <t>decitabine</t>
  </si>
  <si>
    <t>Decitabine</t>
  </si>
  <si>
    <t>Decitabine (i.e., 5-aza-2′-deoxycytidine), sold under the brand name Dacogen among others, acts as a nucleic acid synthesis inhibitor</t>
  </si>
  <si>
    <t>in_cell_culture</t>
  </si>
  <si>
    <t>cell culture</t>
  </si>
  <si>
    <t>Added to the medium</t>
  </si>
  <si>
    <t>in vivo</t>
  </si>
  <si>
    <t>Injected in vivo</t>
  </si>
  <si>
    <t>Batch/Mouse identifier</t>
  </si>
  <si>
    <t>mouseid</t>
  </si>
  <si>
    <t>Mouse ID</t>
  </si>
  <si>
    <t>The mouse ID</t>
  </si>
  <si>
    <t>No interface installed/active</t>
  </si>
  <si>
    <t>None.</t>
  </si>
  <si>
    <t>No column oven installed. No temperature control.</t>
  </si>
  <si>
    <t>son</t>
  </si>
  <si>
    <t>Sonation</t>
  </si>
  <si>
    <t>Sonation column oven</t>
  </si>
  <si>
    <t>att_duration|att_flow_rate</t>
  </si>
  <si>
    <t>att_mass|att_duration|att_termperature|att_volume|att_protease|att_digestion_vessel</t>
  </si>
  <si>
    <t>kv</t>
  </si>
  <si>
    <t>v</t>
  </si>
  <si>
    <t>att_centrifugation_fraction</t>
  </si>
  <si>
    <t>RF Funnel Level</t>
  </si>
  <si>
    <t>sample|dataset|filter</t>
  </si>
  <si>
    <t>att_rf_level|att_acquisition</t>
  </si>
  <si>
    <t>att_ms:eclips|att_ms:exploris240|att_ms:exploris480|att_ms:qex|att_ms:qexplus</t>
  </si>
  <si>
    <t>vpp</t>
  </si>
  <si>
    <t>Vp-p</t>
  </si>
  <si>
    <t>Volts Peak-to-Peak. An RF amplitude of 45 Vp-p means the voltage rapidly oscillates between +22.5 V and 22.5V.</t>
  </si>
  <si>
    <t>Percentage of maximum. A value of 45 means the lens is running at 45% of its maximum factory-calibrated RF power. This is the setting in the Tune software.</t>
  </si>
  <si>
    <t>CV</t>
  </si>
  <si>
    <t>FAIMS compensation voltage.</t>
  </si>
  <si>
    <t>att_ms_interface:faims</t>
  </si>
  <si>
    <t>Termperature value set to the inner electrode of the FAIMS device</t>
  </si>
  <si>
    <t>Termperature value set to the outer electrode of the FAIMS device</t>
  </si>
  <si>
    <t>Gasflow set to the FAIMS device</t>
  </si>
  <si>
    <t>lmin</t>
  </si>
  <si>
    <t>MS1 Spectra Resolution</t>
  </si>
  <si>
    <t>MS2 Spectra Resolution</t>
  </si>
  <si>
    <t>(at 200m/z)</t>
  </si>
  <si>
    <t>(at 400m/z)</t>
  </si>
  <si>
    <t>nce</t>
  </si>
  <si>
    <t>NCE</t>
  </si>
  <si>
    <t>Normalized collision energy</t>
  </si>
  <si>
    <t>Voltage applied</t>
  </si>
  <si>
    <t>Mass</t>
  </si>
  <si>
    <t>FAIMS</t>
  </si>
  <si>
    <t>C18</t>
  </si>
  <si>
    <t>C8</t>
  </si>
  <si>
    <t>ul</t>
  </si>
  <si>
    <t>ethbr</t>
  </si>
  <si>
    <t>Ethidium bromide (or homidium bromide,[2] chloride salt homidium chloride)[3][4] is an intercalating agent commonly used as a fluorescent tag (nucleic acid stain) in molecular biology laboratories for techniques such as agarose gel electrophoresis. It is commonly abbreviated as EtBr.</t>
  </si>
  <si>
    <t>EtBr</t>
  </si>
  <si>
    <t>att_ms1_resolution|att_ms2_resolution|att_collision_energy|att_masstocharge|att_numspectra|att_isolation_width</t>
  </si>
  <si>
    <t>Da</t>
  </si>
  <si>
    <t>da</t>
  </si>
  <si>
    <t>th</t>
  </si>
  <si>
    <t>Dalton</t>
  </si>
  <si>
    <t>Th</t>
  </si>
  <si>
    <t>Thomsen (m/z)</t>
  </si>
  <si>
    <t>Irradiance</t>
  </si>
  <si>
    <t>att_irradiation_strength</t>
  </si>
  <si>
    <t>Dosimetry</t>
  </si>
  <si>
    <t>Ionizing Radiation. This measures radiation exposure and the amount of energy absorbed by living tissue or other materials</t>
  </si>
  <si>
    <t>electromagnetic</t>
  </si>
  <si>
    <t>att_irradiance_type</t>
  </si>
  <si>
    <t>sievert</t>
  </si>
  <si>
    <t>Sv</t>
  </si>
  <si>
    <t>Sievert</t>
  </si>
  <si>
    <t>gray</t>
  </si>
  <si>
    <t>Gy</t>
  </si>
  <si>
    <t>Gray</t>
  </si>
  <si>
    <t>rad</t>
  </si>
  <si>
    <t>100rad = 1Gray</t>
  </si>
  <si>
    <t>rem</t>
  </si>
  <si>
    <t>100rem = Sv</t>
  </si>
  <si>
    <t>Electromagnetic &amp; Solar Radiation</t>
  </si>
  <si>
    <t>att_irradiation_strength|att_duration</t>
  </si>
  <si>
    <t>dosimetry</t>
  </si>
  <si>
    <t>Strength</t>
  </si>
  <si>
    <t>Passage Number</t>
  </si>
  <si>
    <t>pms</t>
  </si>
  <si>
    <t>PMS</t>
  </si>
  <si>
    <t>Post mitochondrial supernatant</t>
  </si>
  <si>
    <t>percoll_f1</t>
  </si>
  <si>
    <t>percoll_f2</t>
  </si>
  <si>
    <t>percoll_f3</t>
  </si>
  <si>
    <t>f1</t>
  </si>
  <si>
    <t>f2</t>
  </si>
  <si>
    <t>f3</t>
  </si>
  <si>
    <t>100k</t>
  </si>
  <si>
    <t>100K</t>
  </si>
  <si>
    <t>Pellet of a 100K centrifugation step.</t>
  </si>
  <si>
    <t>F1</t>
  </si>
  <si>
    <t>F2</t>
  </si>
  <si>
    <t>F3</t>
  </si>
  <si>
    <t>Percoll gradient to islate mitochondria (F2). Considered as pure mitochondria.</t>
  </si>
  <si>
    <t>Percoll gradient to islate mitochondria (F1). ER and MAM fraction.</t>
  </si>
  <si>
    <t>Percoll gradient to islate mitochondria (F3). Mitochondria and lysosome fraction.</t>
  </si>
  <si>
    <t>40k</t>
  </si>
  <si>
    <t>Pellet of a 40K centrifugation step. Likely containing ER.</t>
  </si>
  <si>
    <t>att_duration|att_concentration|att_protein|att_grna</t>
  </si>
  <si>
    <t>att_gene_editing_method:crispr|att_gene_editing_method:crispr_hdr|att_knockdown_technique:grna</t>
  </si>
  <si>
    <t>att_temperature_min</t>
  </si>
  <si>
    <t>att_temperature_max</t>
  </si>
  <si>
    <t>att_experiment:pisa</t>
  </si>
  <si>
    <t>T(min)</t>
  </si>
  <si>
    <t>T(max)</t>
  </si>
  <si>
    <t>att_lamp_intensity|att_exposure_time|att_laser_intensity|att_temperature_min|att_temperature_max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</si>
</sst>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24">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
      <sz val="10"/>
      <color theme="1"/>
      <name val="Arial"/>
      <family val="2"/>
    </font>
    <font>
      <b/>
      <i/>
      <sz val="11"/>
      <color theme="0"/>
      <name val="Arial"/>
      <family val="2"/>
    </font>
    <font>
      <b/>
      <i/>
      <sz val="11"/>
      <color theme="1"/>
      <name val="Arial"/>
      <family val="2"/>
    </font>
    <font>
      <sz val="11"/>
      <name val="Arial"/>
      <family val="2"/>
    </font>
    <font>
      <sz val="11"/>
      <color theme="1"/>
      <name val="Arial"/>
      <family val="2"/>
    </font>
    <font>
      <sz val="11"/>
      <color rgb="FF000000"/>
      <name val="Arial"/>
      <family val="2"/>
    </font>
    <font>
      <i/>
      <sz val="11"/>
      <color theme="1"/>
      <name val="Arial"/>
      <family val="2"/>
    </font>
    <font>
      <b/>
      <sz val="10"/>
      <color rgb="FF000000"/>
      <name val="Arial"/>
      <family val="2"/>
      <charset val="1"/>
    </font>
    <font>
      <sz val="10"/>
      <color rgb="FF000000"/>
      <name val="Arial"/>
      <family val="2"/>
      <charset val="1"/>
    </font>
    <font>
      <sz val="10"/>
      <color rgb="FF000000"/>
      <name val="Arial"/>
      <family val="2"/>
    </font>
    <font>
      <sz val="12"/>
      <color rgb="FF9876AA"/>
      <name val="Menlo"/>
      <family val="2"/>
    </font>
    <font>
      <sz val="14"/>
      <color rgb="FF000000"/>
      <name val="-webkit-standard"/>
    </font>
    <font>
      <sz val="8"/>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48">
    <xf numFmtId="0" fontId="0" fillId="0" borderId="0" xfId="0"/>
    <xf numFmtId="49" fontId="0" fillId="0" borderId="0" xfId="0" applyNumberFormat="1"/>
    <xf numFmtId="0" fontId="1" fillId="2" borderId="0" xfId="0" applyFont="1" applyFill="1" applyAlignment="1">
      <alignment vertical="center"/>
    </xf>
    <xf numFmtId="0" fontId="1" fillId="2" borderId="0" xfId="0" applyFont="1" applyFill="1"/>
    <xf numFmtId="0" fontId="0" fillId="0" borderId="0" xfId="0" applyAlignment="1">
      <alignment horizontal="left"/>
    </xf>
    <xf numFmtId="0" fontId="0" fillId="0" borderId="0" xfId="0"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0" fontId="6" fillId="0" borderId="0" xfId="0" applyFont="1"/>
    <xf numFmtId="0" fontId="8" fillId="0" borderId="0" xfId="0" applyFont="1"/>
    <xf numFmtId="0" fontId="7" fillId="0" borderId="0" xfId="0" applyFont="1"/>
    <xf numFmtId="0" fontId="9" fillId="0" borderId="0" xfId="0" applyFont="1" applyAlignment="1">
      <alignment horizontal="right" vertical="center"/>
    </xf>
    <xf numFmtId="0" fontId="10" fillId="0" borderId="0" xfId="0" applyFont="1"/>
    <xf numFmtId="0" fontId="0" fillId="0" borderId="0" xfId="0" applyAlignment="1">
      <alignment wrapText="1"/>
    </xf>
    <xf numFmtId="0" fontId="11" fillId="0" borderId="0" xfId="0" applyFont="1" applyAlignment="1">
      <alignment horizontal="right"/>
    </xf>
    <xf numFmtId="0" fontId="12" fillId="2" borderId="0" xfId="0" applyFont="1" applyFill="1" applyAlignment="1">
      <alignment horizontal="right"/>
    </xf>
    <xf numFmtId="0" fontId="13" fillId="2" borderId="0" xfId="0" applyFont="1" applyFill="1" applyAlignment="1">
      <alignment horizontal="right"/>
    </xf>
    <xf numFmtId="0" fontId="14" fillId="0" borderId="0" xfId="0" applyFont="1" applyAlignment="1">
      <alignment horizontal="right"/>
    </xf>
    <xf numFmtId="0" fontId="15" fillId="0" borderId="0" xfId="0" applyFont="1" applyAlignment="1">
      <alignment horizontal="right"/>
    </xf>
    <xf numFmtId="164" fontId="14" fillId="0" borderId="0" xfId="0" applyNumberFormat="1" applyFont="1" applyAlignment="1">
      <alignment horizontal="right"/>
    </xf>
    <xf numFmtId="0" fontId="14" fillId="0" borderId="0" xfId="0" applyFont="1"/>
    <xf numFmtId="0" fontId="14" fillId="0" borderId="0" xfId="0" applyFont="1" applyAlignment="1">
      <alignment horizontal="right" wrapText="1"/>
    </xf>
    <xf numFmtId="0" fontId="14" fillId="0" borderId="0" xfId="0" applyFont="1" applyAlignment="1">
      <alignment horizontal="left"/>
    </xf>
    <xf numFmtId="49" fontId="15" fillId="0" borderId="0" xfId="0" applyNumberFormat="1" applyFont="1" applyAlignment="1">
      <alignment horizontal="right"/>
    </xf>
    <xf numFmtId="0" fontId="14" fillId="0" borderId="0" xfId="0" quotePrefix="1" applyFont="1" applyAlignment="1">
      <alignment horizontal="right"/>
    </xf>
    <xf numFmtId="0" fontId="16" fillId="0" borderId="0" xfId="0" applyFont="1"/>
    <xf numFmtId="0" fontId="17" fillId="0" borderId="0" xfId="0" applyFont="1" applyAlignment="1">
      <alignment horizontal="right" vertical="center"/>
    </xf>
    <xf numFmtId="0" fontId="15" fillId="0" borderId="0" xfId="0" applyFont="1"/>
    <xf numFmtId="0" fontId="15" fillId="0" borderId="0" xfId="0" applyFont="1" applyAlignment="1">
      <alignment horizontal="left"/>
    </xf>
    <xf numFmtId="0" fontId="13" fillId="2" borderId="0" xfId="0" applyFont="1" applyFill="1" applyAlignment="1">
      <alignment vertical="center"/>
    </xf>
    <xf numFmtId="49" fontId="13" fillId="2" borderId="0" xfId="0" applyNumberFormat="1" applyFont="1" applyFill="1" applyAlignment="1">
      <alignment vertical="center" wrapText="1"/>
    </xf>
    <xf numFmtId="49" fontId="15" fillId="0" borderId="0" xfId="0" applyNumberFormat="1" applyFont="1"/>
    <xf numFmtId="0" fontId="15" fillId="0" borderId="0" xfId="0" applyFont="1" applyAlignment="1">
      <alignment wrapText="1"/>
    </xf>
    <xf numFmtId="0" fontId="18" fillId="0" borderId="0" xfId="0" applyFont="1"/>
    <xf numFmtId="0" fontId="19" fillId="0" borderId="0" xfId="0" applyFont="1"/>
    <xf numFmtId="0" fontId="19" fillId="0" borderId="0" xfId="0" applyFont="1" applyAlignment="1">
      <alignment horizontal="right"/>
    </xf>
    <xf numFmtId="0" fontId="20" fillId="0" borderId="0" xfId="0" applyFont="1" applyAlignment="1">
      <alignment horizontal="right"/>
    </xf>
    <xf numFmtId="0" fontId="11" fillId="0" borderId="0" xfId="0" applyFont="1" applyAlignment="1">
      <alignment horizontal="left"/>
    </xf>
    <xf numFmtId="0" fontId="21" fillId="0" borderId="0" xfId="0" applyFont="1"/>
    <xf numFmtId="0" fontId="22" fillId="0" borderId="0" xfId="0" applyFont="1"/>
  </cellXfs>
  <cellStyles count="1">
    <cellStyle name="Normal" xfId="0" builtinId="0"/>
  </cellStyles>
  <dxfs count="6">
    <dxf>
      <font>
        <color rgb="FFCC0000"/>
      </font>
    </dxf>
    <dxf>
      <font>
        <color rgb="FFCC0000"/>
      </font>
    </dxf>
    <dxf>
      <font>
        <color rgb="FFCC0000"/>
      </font>
    </dxf>
    <dxf>
      <font>
        <color rgb="FFCC0000"/>
      </font>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X149"/>
  <sheetViews>
    <sheetView tabSelected="1" zoomScale="125" zoomScaleNormal="170" workbookViewId="0">
      <pane ySplit="1" topLeftCell="A2" activePane="bottomLeft" state="frozen"/>
      <selection pane="bottomLeft" activeCell="C8" sqref="C8"/>
    </sheetView>
  </sheetViews>
  <sheetFormatPr baseColWidth="10" defaultColWidth="10.6640625" defaultRowHeight="13"/>
  <cols>
    <col min="1" max="1" width="24.6640625" customWidth="1"/>
    <col min="2" max="2" width="66.33203125" customWidth="1"/>
    <col min="3" max="3" width="73" customWidth="1"/>
    <col min="4" max="4" width="32.6640625" customWidth="1"/>
    <col min="5" max="5" width="13" customWidth="1"/>
    <col min="8" max="8" width="17.1640625" style="1" customWidth="1"/>
    <col min="9" max="9" width="11.6640625" customWidth="1"/>
    <col min="10" max="10" width="11" customWidth="1"/>
    <col min="11" max="11" width="37.6640625" customWidth="1"/>
  </cols>
  <sheetData>
    <row r="1" spans="1:1012" s="2" customFormat="1" ht="38" customHeight="1">
      <c r="A1" s="37" t="s">
        <v>0</v>
      </c>
      <c r="B1" s="37" t="s">
        <v>4001</v>
      </c>
      <c r="C1" s="37" t="s">
        <v>3892</v>
      </c>
      <c r="D1" s="37" t="s">
        <v>1</v>
      </c>
      <c r="E1" s="37" t="s">
        <v>4050</v>
      </c>
      <c r="F1" s="37" t="s">
        <v>2</v>
      </c>
      <c r="G1" s="37" t="s">
        <v>4044</v>
      </c>
      <c r="H1" s="38" t="s">
        <v>3</v>
      </c>
      <c r="I1" s="37" t="s">
        <v>4</v>
      </c>
      <c r="J1" s="37" t="s">
        <v>5</v>
      </c>
      <c r="K1" s="37" t="s">
        <v>4043</v>
      </c>
      <c r="L1" s="37" t="s">
        <v>6</v>
      </c>
      <c r="M1" s="38" t="s">
        <v>7</v>
      </c>
      <c r="N1" s="38" t="s">
        <v>8</v>
      </c>
      <c r="O1" s="38" t="s">
        <v>9</v>
      </c>
      <c r="P1" s="38" t="s">
        <v>10</v>
      </c>
      <c r="Q1" s="38" t="s">
        <v>11</v>
      </c>
      <c r="R1" s="38" t="s">
        <v>3781</v>
      </c>
      <c r="S1" s="37" t="s">
        <v>2468</v>
      </c>
      <c r="T1" s="37" t="s">
        <v>4053</v>
      </c>
      <c r="ALR1" s="3"/>
      <c r="ALS1" s="3"/>
      <c r="ALT1" s="3"/>
      <c r="ALU1" s="3"/>
      <c r="ALV1"/>
      <c r="ALW1"/>
      <c r="ALX1"/>
    </row>
    <row r="2" spans="1:1012" ht="14">
      <c r="A2" s="36" t="s">
        <v>18</v>
      </c>
      <c r="B2" s="36"/>
      <c r="C2" s="36" t="s">
        <v>4453</v>
      </c>
      <c r="D2" s="35" t="s">
        <v>20</v>
      </c>
      <c r="E2" s="35"/>
      <c r="F2" s="35">
        <v>680</v>
      </c>
      <c r="G2" s="35" t="b">
        <v>0</v>
      </c>
      <c r="H2" s="39" t="s">
        <v>15</v>
      </c>
      <c r="I2" s="35" t="s">
        <v>21</v>
      </c>
      <c r="J2" s="35">
        <v>2</v>
      </c>
      <c r="K2" s="35" t="s">
        <v>4209</v>
      </c>
      <c r="L2" s="35" t="s">
        <v>2378</v>
      </c>
      <c r="M2" s="35" t="s">
        <v>4073</v>
      </c>
      <c r="N2" s="35" t="s">
        <v>4201</v>
      </c>
      <c r="O2" s="35" t="s">
        <v>4201</v>
      </c>
      <c r="P2" s="35" t="s">
        <v>4208</v>
      </c>
      <c r="Q2" s="35" t="s">
        <v>2449</v>
      </c>
      <c r="R2" s="35" t="s">
        <v>4160</v>
      </c>
      <c r="S2" s="35"/>
      <c r="T2" s="35"/>
    </row>
    <row r="3" spans="1:1012" ht="14">
      <c r="A3" s="36" t="s">
        <v>23</v>
      </c>
      <c r="B3" s="36"/>
      <c r="C3" s="36" t="s">
        <v>4418</v>
      </c>
      <c r="D3" s="35" t="s">
        <v>70</v>
      </c>
      <c r="E3" s="35"/>
      <c r="F3" s="35">
        <v>500</v>
      </c>
      <c r="G3" s="35" t="b">
        <v>0</v>
      </c>
      <c r="H3" s="39" t="s">
        <v>15</v>
      </c>
      <c r="I3" s="35" t="s">
        <v>25</v>
      </c>
      <c r="J3" s="35">
        <v>1</v>
      </c>
      <c r="K3" s="35" t="s">
        <v>4206</v>
      </c>
      <c r="L3" s="35" t="s">
        <v>2378</v>
      </c>
      <c r="M3" s="35" t="s">
        <v>4073</v>
      </c>
      <c r="N3" s="35" t="s">
        <v>4201</v>
      </c>
      <c r="O3" s="35" t="s">
        <v>4201</v>
      </c>
      <c r="P3" s="35" t="s">
        <v>4201</v>
      </c>
      <c r="Q3" s="35" t="s">
        <v>2449</v>
      </c>
      <c r="R3" s="35" t="s">
        <v>4201</v>
      </c>
      <c r="S3" s="35"/>
      <c r="T3" s="35"/>
    </row>
    <row r="4" spans="1:1012" ht="14">
      <c r="A4" s="35" t="s">
        <v>77</v>
      </c>
      <c r="B4" s="35"/>
      <c r="C4" s="35" t="s">
        <v>4508</v>
      </c>
      <c r="D4" s="35" t="s">
        <v>78</v>
      </c>
      <c r="E4" s="35"/>
      <c r="F4" s="35">
        <v>500</v>
      </c>
      <c r="G4" s="35" t="b">
        <v>0</v>
      </c>
      <c r="H4" s="39" t="s">
        <v>15</v>
      </c>
      <c r="I4" s="35" t="s">
        <v>79</v>
      </c>
      <c r="J4" s="35">
        <v>0</v>
      </c>
      <c r="K4" s="35" t="s">
        <v>4206</v>
      </c>
      <c r="L4" s="35" t="s">
        <v>2378</v>
      </c>
      <c r="M4" s="35" t="s">
        <v>4073</v>
      </c>
      <c r="N4" s="35" t="s">
        <v>4201</v>
      </c>
      <c r="O4" s="35" t="s">
        <v>4201</v>
      </c>
      <c r="P4" s="35" t="s">
        <v>4201</v>
      </c>
      <c r="Q4" s="35" t="s">
        <v>2449</v>
      </c>
      <c r="R4" s="35" t="s">
        <v>4201</v>
      </c>
      <c r="S4" s="35"/>
      <c r="T4" s="35"/>
    </row>
    <row r="5" spans="1:1012" ht="14">
      <c r="A5" s="35" t="s">
        <v>34</v>
      </c>
      <c r="B5" s="35"/>
      <c r="C5" s="35" t="s">
        <v>3894</v>
      </c>
      <c r="D5" s="35" t="s">
        <v>118</v>
      </c>
      <c r="E5" s="35"/>
      <c r="F5" s="35">
        <v>500</v>
      </c>
      <c r="G5" s="35" t="b">
        <v>0</v>
      </c>
      <c r="H5" s="39" t="s">
        <v>15</v>
      </c>
      <c r="I5" s="35" t="s">
        <v>21</v>
      </c>
      <c r="J5" s="35">
        <v>2</v>
      </c>
      <c r="K5" s="35" t="s">
        <v>4209</v>
      </c>
      <c r="L5" s="35" t="s">
        <v>2378</v>
      </c>
      <c r="M5" s="35" t="s">
        <v>4073</v>
      </c>
      <c r="N5" s="35" t="s">
        <v>4201</v>
      </c>
      <c r="O5" s="35" t="s">
        <v>4201</v>
      </c>
      <c r="P5" s="35" t="s">
        <v>4208</v>
      </c>
      <c r="Q5" s="35" t="s">
        <v>2449</v>
      </c>
      <c r="R5" s="35" t="s">
        <v>4160</v>
      </c>
      <c r="S5" s="35"/>
      <c r="T5" s="35"/>
    </row>
    <row r="6" spans="1:1012" s="17" customFormat="1" ht="14">
      <c r="A6" s="35" t="s">
        <v>4024</v>
      </c>
      <c r="B6" s="35"/>
      <c r="C6" s="35" t="s">
        <v>3144</v>
      </c>
      <c r="D6" s="35" t="s">
        <v>2672</v>
      </c>
      <c r="E6" s="35"/>
      <c r="F6" s="35">
        <v>500</v>
      </c>
      <c r="G6" s="35" t="b">
        <v>0</v>
      </c>
      <c r="H6" s="39" t="s">
        <v>15</v>
      </c>
      <c r="I6" s="35" t="s">
        <v>46</v>
      </c>
      <c r="J6" s="35">
        <v>2</v>
      </c>
      <c r="K6" s="35" t="s">
        <v>4212</v>
      </c>
      <c r="L6" s="35" t="s">
        <v>2378</v>
      </c>
      <c r="M6" s="35" t="s">
        <v>4073</v>
      </c>
      <c r="N6" s="35" t="s">
        <v>4201</v>
      </c>
      <c r="O6" s="35" t="s">
        <v>4201</v>
      </c>
      <c r="P6" s="35" t="s">
        <v>4208</v>
      </c>
      <c r="Q6" s="35" t="s">
        <v>2449</v>
      </c>
      <c r="R6" s="35" t="s">
        <v>4160</v>
      </c>
      <c r="S6" s="35" t="s">
        <v>2468</v>
      </c>
      <c r="T6" s="35"/>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row>
    <row r="7" spans="1:1012" ht="14">
      <c r="A7" s="35" t="s">
        <v>4023</v>
      </c>
      <c r="B7" s="35"/>
      <c r="C7" s="35" t="s">
        <v>4024</v>
      </c>
      <c r="D7" s="35" t="s">
        <v>2671</v>
      </c>
      <c r="E7" s="35"/>
      <c r="F7" s="35">
        <v>600</v>
      </c>
      <c r="G7" s="35" t="b">
        <v>0</v>
      </c>
      <c r="H7" s="39" t="s">
        <v>15</v>
      </c>
      <c r="I7" s="35" t="s">
        <v>46</v>
      </c>
      <c r="J7" s="35">
        <v>2</v>
      </c>
      <c r="K7" s="35" t="s">
        <v>4211</v>
      </c>
      <c r="L7" s="35" t="s">
        <v>2378</v>
      </c>
      <c r="M7" s="35" t="s">
        <v>4073</v>
      </c>
      <c r="N7" s="35" t="s">
        <v>4201</v>
      </c>
      <c r="O7" s="35" t="s">
        <v>4201</v>
      </c>
      <c r="P7" s="35" t="s">
        <v>4208</v>
      </c>
      <c r="Q7" s="35" t="s">
        <v>2449</v>
      </c>
      <c r="R7" s="35" t="s">
        <v>4160</v>
      </c>
      <c r="S7" s="35"/>
      <c r="T7" s="35" t="s">
        <v>4053</v>
      </c>
    </row>
    <row r="8" spans="1:1012" ht="14">
      <c r="A8" s="35" t="s">
        <v>19</v>
      </c>
      <c r="B8" s="35"/>
      <c r="C8" s="35" t="s">
        <v>4424</v>
      </c>
      <c r="D8" s="35" t="s">
        <v>119</v>
      </c>
      <c r="E8" s="35"/>
      <c r="F8" s="35">
        <v>710</v>
      </c>
      <c r="G8" s="35" t="b">
        <v>0</v>
      </c>
      <c r="H8" s="39" t="s">
        <v>15</v>
      </c>
      <c r="I8" s="35" t="s">
        <v>21</v>
      </c>
      <c r="J8" s="35">
        <v>2</v>
      </c>
      <c r="K8" s="35" t="s">
        <v>4212</v>
      </c>
      <c r="L8" s="35" t="s">
        <v>2378</v>
      </c>
      <c r="M8" s="35" t="s">
        <v>4073</v>
      </c>
      <c r="N8" s="35" t="s">
        <v>4201</v>
      </c>
      <c r="O8" s="35" t="s">
        <v>4201</v>
      </c>
      <c r="P8" s="35" t="s">
        <v>4208</v>
      </c>
      <c r="Q8" s="35" t="s">
        <v>2449</v>
      </c>
      <c r="R8" s="35" t="s">
        <v>4160</v>
      </c>
      <c r="S8" s="35" t="s">
        <v>2468</v>
      </c>
      <c r="T8" s="35"/>
    </row>
    <row r="9" spans="1:1012" ht="14">
      <c r="A9" s="35" t="s">
        <v>3780</v>
      </c>
      <c r="B9" s="35"/>
      <c r="C9" s="35" t="s">
        <v>19</v>
      </c>
      <c r="D9" s="35" t="s">
        <v>116</v>
      </c>
      <c r="E9" s="35"/>
      <c r="F9" s="35">
        <v>720</v>
      </c>
      <c r="G9" s="35" t="b">
        <v>0</v>
      </c>
      <c r="H9" s="39" t="s">
        <v>15</v>
      </c>
      <c r="I9" s="35" t="s">
        <v>21</v>
      </c>
      <c r="J9" s="35">
        <v>2</v>
      </c>
      <c r="K9" s="35" t="s">
        <v>4211</v>
      </c>
      <c r="L9" s="35" t="s">
        <v>2378</v>
      </c>
      <c r="M9" s="35" t="s">
        <v>4073</v>
      </c>
      <c r="N9" s="35" t="s">
        <v>4201</v>
      </c>
      <c r="O9" s="35" t="s">
        <v>4201</v>
      </c>
      <c r="P9" s="35" t="s">
        <v>4208</v>
      </c>
      <c r="Q9" s="35" t="s">
        <v>2449</v>
      </c>
      <c r="R9" s="35" t="s">
        <v>4160</v>
      </c>
      <c r="S9" s="35"/>
      <c r="T9" s="35" t="s">
        <v>4053</v>
      </c>
    </row>
    <row r="10" spans="1:1012" ht="14">
      <c r="A10" s="35" t="s">
        <v>136</v>
      </c>
      <c r="B10" s="35"/>
      <c r="C10" s="35"/>
      <c r="D10" s="35" t="s">
        <v>137</v>
      </c>
      <c r="E10" s="35"/>
      <c r="F10" s="35">
        <v>500</v>
      </c>
      <c r="G10" s="35" t="b">
        <v>0</v>
      </c>
      <c r="H10" s="39" t="s">
        <v>15</v>
      </c>
      <c r="I10" s="35" t="s">
        <v>79</v>
      </c>
      <c r="J10" s="35">
        <v>0</v>
      </c>
      <c r="K10" s="35" t="s">
        <v>4206</v>
      </c>
      <c r="L10" s="35" t="s">
        <v>2378</v>
      </c>
      <c r="M10" s="35" t="s">
        <v>4073</v>
      </c>
      <c r="N10" s="35" t="s">
        <v>4201</v>
      </c>
      <c r="O10" s="35" t="s">
        <v>4201</v>
      </c>
      <c r="P10" s="35" t="s">
        <v>4201</v>
      </c>
      <c r="Q10" s="35" t="s">
        <v>2449</v>
      </c>
      <c r="R10" s="35" t="s">
        <v>4201</v>
      </c>
      <c r="S10" s="35"/>
      <c r="T10" s="35"/>
    </row>
    <row r="11" spans="1:1012" ht="14">
      <c r="A11" s="36" t="s">
        <v>143</v>
      </c>
      <c r="B11" s="36"/>
      <c r="C11" s="36"/>
      <c r="D11" s="36" t="s">
        <v>144</v>
      </c>
      <c r="E11" s="36"/>
      <c r="F11" s="35">
        <v>500</v>
      </c>
      <c r="G11" s="35" t="b">
        <v>0</v>
      </c>
      <c r="H11" s="39" t="s">
        <v>15</v>
      </c>
      <c r="I11" s="35" t="s">
        <v>25</v>
      </c>
      <c r="J11" s="35">
        <v>1</v>
      </c>
      <c r="K11" s="35" t="s">
        <v>4206</v>
      </c>
      <c r="L11" s="35" t="s">
        <v>2378</v>
      </c>
      <c r="M11" s="35" t="s">
        <v>4073</v>
      </c>
      <c r="N11" s="35" t="s">
        <v>4201</v>
      </c>
      <c r="O11" s="35" t="s">
        <v>4201</v>
      </c>
      <c r="P11" s="35" t="s">
        <v>4201</v>
      </c>
      <c r="Q11" s="35" t="s">
        <v>2449</v>
      </c>
      <c r="R11" s="35" t="s">
        <v>4201</v>
      </c>
      <c r="S11" s="35"/>
      <c r="T11" s="35"/>
    </row>
    <row r="12" spans="1:1012" ht="14">
      <c r="A12" s="36" t="s">
        <v>3039</v>
      </c>
      <c r="B12" s="36"/>
      <c r="C12" s="36"/>
      <c r="D12" s="35" t="s">
        <v>3038</v>
      </c>
      <c r="E12" s="35"/>
      <c r="F12" s="35">
        <v>500</v>
      </c>
      <c r="G12" s="35" t="b">
        <v>0</v>
      </c>
      <c r="H12" s="39" t="s">
        <v>15</v>
      </c>
      <c r="I12" s="35" t="s">
        <v>37</v>
      </c>
      <c r="J12" s="35">
        <v>0</v>
      </c>
      <c r="K12" s="35" t="s">
        <v>4206</v>
      </c>
      <c r="L12" s="35" t="s">
        <v>2378</v>
      </c>
      <c r="M12" s="35" t="s">
        <v>4073</v>
      </c>
      <c r="N12" s="35" t="s">
        <v>4201</v>
      </c>
      <c r="O12" s="35" t="s">
        <v>4201</v>
      </c>
      <c r="P12" s="35" t="s">
        <v>4201</v>
      </c>
      <c r="Q12" s="35" t="s">
        <v>2449</v>
      </c>
      <c r="R12" s="35" t="s">
        <v>4201</v>
      </c>
      <c r="S12" s="35"/>
      <c r="T12" s="35"/>
    </row>
    <row r="13" spans="1:1012" s="17" customFormat="1" ht="14">
      <c r="A13" s="36" t="s">
        <v>148</v>
      </c>
      <c r="B13" s="36"/>
      <c r="C13" s="36"/>
      <c r="D13" s="35" t="s">
        <v>150</v>
      </c>
      <c r="E13" s="35"/>
      <c r="F13" s="35">
        <v>500</v>
      </c>
      <c r="G13" s="35" t="b">
        <v>0</v>
      </c>
      <c r="H13" s="39" t="s">
        <v>15</v>
      </c>
      <c r="I13" s="35" t="s">
        <v>29</v>
      </c>
      <c r="J13" s="35">
        <v>3</v>
      </c>
      <c r="K13" s="35" t="s">
        <v>4206</v>
      </c>
      <c r="L13" s="35" t="s">
        <v>2378</v>
      </c>
      <c r="M13" s="35" t="s">
        <v>4073</v>
      </c>
      <c r="N13" s="35" t="s">
        <v>4201</v>
      </c>
      <c r="O13" s="35" t="s">
        <v>4201</v>
      </c>
      <c r="P13" s="35" t="s">
        <v>4201</v>
      </c>
      <c r="Q13" s="35" t="s">
        <v>2449</v>
      </c>
      <c r="R13" s="35" t="s">
        <v>4201</v>
      </c>
      <c r="S13" s="35"/>
      <c r="T13" s="35"/>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row>
    <row r="14" spans="1:1012" s="18" customFormat="1" ht="14">
      <c r="A14" s="36" t="s">
        <v>149</v>
      </c>
      <c r="B14" s="36"/>
      <c r="C14" s="35" t="s">
        <v>4343</v>
      </c>
      <c r="D14" s="35" t="s">
        <v>151</v>
      </c>
      <c r="E14" s="35"/>
      <c r="F14" s="35">
        <v>500</v>
      </c>
      <c r="G14" s="35" t="b">
        <v>0</v>
      </c>
      <c r="H14" s="39" t="s">
        <v>15</v>
      </c>
      <c r="I14" s="35" t="s">
        <v>29</v>
      </c>
      <c r="J14" s="35">
        <v>3</v>
      </c>
      <c r="K14" s="35" t="s">
        <v>4206</v>
      </c>
      <c r="L14" s="35" t="s">
        <v>2378</v>
      </c>
      <c r="M14" s="35" t="s">
        <v>4073</v>
      </c>
      <c r="N14" s="35" t="s">
        <v>4201</v>
      </c>
      <c r="O14" s="35" t="s">
        <v>4201</v>
      </c>
      <c r="P14" s="35" t="s">
        <v>4201</v>
      </c>
      <c r="Q14" s="35" t="s">
        <v>2449</v>
      </c>
      <c r="R14" s="35" t="s">
        <v>4201</v>
      </c>
      <c r="S14" s="35"/>
      <c r="T14" s="35"/>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row>
    <row r="15" spans="1:1012" ht="14">
      <c r="A15" s="35" t="s">
        <v>27</v>
      </c>
      <c r="B15" s="35"/>
      <c r="C15" s="35" t="s">
        <v>3998</v>
      </c>
      <c r="D15" s="35" t="s">
        <v>156</v>
      </c>
      <c r="E15" s="35"/>
      <c r="F15" s="35">
        <v>500</v>
      </c>
      <c r="G15" s="35" t="b">
        <v>0</v>
      </c>
      <c r="H15" s="39" t="s">
        <v>15</v>
      </c>
      <c r="I15" s="35" t="s">
        <v>29</v>
      </c>
      <c r="J15" s="35">
        <v>3</v>
      </c>
      <c r="K15" s="35" t="s">
        <v>4206</v>
      </c>
      <c r="L15" s="35" t="s">
        <v>2378</v>
      </c>
      <c r="M15" s="35" t="s">
        <v>4073</v>
      </c>
      <c r="N15" s="35" t="s">
        <v>4201</v>
      </c>
      <c r="O15" s="35" t="s">
        <v>4201</v>
      </c>
      <c r="P15" s="35" t="s">
        <v>4201</v>
      </c>
      <c r="Q15" s="35" t="s">
        <v>2449</v>
      </c>
      <c r="R15" s="35" t="s">
        <v>4201</v>
      </c>
      <c r="S15" s="35"/>
      <c r="T15" s="35"/>
    </row>
    <row r="16" spans="1:1012" ht="14">
      <c r="A16" s="35" t="s">
        <v>4006</v>
      </c>
      <c r="B16" s="35"/>
      <c r="C16" s="35"/>
      <c r="D16" s="36" t="s">
        <v>4017</v>
      </c>
      <c r="E16" s="36" t="s">
        <v>4049</v>
      </c>
      <c r="F16" s="35">
        <v>500</v>
      </c>
      <c r="G16" s="35" t="b">
        <v>1</v>
      </c>
      <c r="H16" s="39" t="s">
        <v>15</v>
      </c>
      <c r="I16" s="35" t="s">
        <v>3043</v>
      </c>
      <c r="J16" s="35">
        <v>2</v>
      </c>
      <c r="K16" s="35" t="s">
        <v>4203</v>
      </c>
      <c r="L16" s="35" t="s">
        <v>4201</v>
      </c>
      <c r="M16" s="35" t="s">
        <v>4073</v>
      </c>
      <c r="N16" s="35" t="s">
        <v>4201</v>
      </c>
      <c r="O16" s="35" t="s">
        <v>4201</v>
      </c>
      <c r="P16" s="35" t="s">
        <v>4201</v>
      </c>
      <c r="Q16" s="35" t="s">
        <v>2449</v>
      </c>
      <c r="R16" s="35" t="s">
        <v>4160</v>
      </c>
      <c r="S16" s="35"/>
      <c r="T16" s="35"/>
    </row>
    <row r="17" spans="1:1012" ht="14">
      <c r="A17" s="26" t="s">
        <v>3999</v>
      </c>
      <c r="B17" s="26"/>
      <c r="C17" s="35"/>
      <c r="D17" s="36" t="s">
        <v>3983</v>
      </c>
      <c r="E17" s="36"/>
      <c r="F17" s="35">
        <v>500</v>
      </c>
      <c r="G17" s="35" t="b">
        <v>1</v>
      </c>
      <c r="H17" s="39" t="s">
        <v>15</v>
      </c>
      <c r="I17" s="35" t="s">
        <v>3043</v>
      </c>
      <c r="J17" s="35">
        <v>2</v>
      </c>
      <c r="K17" s="35" t="s">
        <v>4203</v>
      </c>
      <c r="L17" s="35" t="s">
        <v>4201</v>
      </c>
      <c r="M17" s="35" t="s">
        <v>4073</v>
      </c>
      <c r="N17" s="35" t="s">
        <v>4201</v>
      </c>
      <c r="O17" s="35" t="s">
        <v>4201</v>
      </c>
      <c r="P17" s="35" t="s">
        <v>4201</v>
      </c>
      <c r="Q17" s="35" t="s">
        <v>2449</v>
      </c>
      <c r="R17" s="35" t="s">
        <v>4160</v>
      </c>
      <c r="S17" s="35"/>
      <c r="T17" s="35"/>
    </row>
    <row r="18" spans="1:1012" ht="14">
      <c r="A18" s="35" t="s">
        <v>3076</v>
      </c>
      <c r="B18" s="35"/>
      <c r="C18" s="35"/>
      <c r="D18" s="35" t="s">
        <v>3138</v>
      </c>
      <c r="E18" s="35"/>
      <c r="F18" s="35">
        <v>500</v>
      </c>
      <c r="G18" s="35" t="b">
        <v>0</v>
      </c>
      <c r="H18" s="39" t="s">
        <v>15</v>
      </c>
      <c r="I18" s="35" t="s">
        <v>37</v>
      </c>
      <c r="J18" s="35">
        <v>0</v>
      </c>
      <c r="K18" s="35" t="s">
        <v>4203</v>
      </c>
      <c r="L18" s="35" t="s">
        <v>4201</v>
      </c>
      <c r="M18" s="35" t="s">
        <v>4073</v>
      </c>
      <c r="N18" s="35" t="s">
        <v>4201</v>
      </c>
      <c r="O18" s="35" t="s">
        <v>4201</v>
      </c>
      <c r="P18" s="35" t="s">
        <v>4201</v>
      </c>
      <c r="Q18" s="35" t="s">
        <v>2449</v>
      </c>
      <c r="R18" s="35" t="s">
        <v>4160</v>
      </c>
      <c r="S18" s="35"/>
      <c r="T18" s="35"/>
    </row>
    <row r="19" spans="1:1012" ht="14">
      <c r="A19" s="36" t="s">
        <v>12</v>
      </c>
      <c r="B19" s="36"/>
      <c r="C19" s="36" t="s">
        <v>3992</v>
      </c>
      <c r="D19" s="35" t="s">
        <v>14</v>
      </c>
      <c r="E19" s="35"/>
      <c r="F19" s="35">
        <v>500</v>
      </c>
      <c r="G19" s="35" t="b">
        <v>0</v>
      </c>
      <c r="H19" s="39" t="s">
        <v>15</v>
      </c>
      <c r="I19" s="35" t="s">
        <v>16</v>
      </c>
      <c r="J19" s="35">
        <v>0</v>
      </c>
      <c r="K19" s="35" t="s">
        <v>4203</v>
      </c>
      <c r="L19" s="35" t="s">
        <v>4201</v>
      </c>
      <c r="M19" s="35" t="s">
        <v>4073</v>
      </c>
      <c r="N19" s="35" t="s">
        <v>4201</v>
      </c>
      <c r="O19" s="35" t="s">
        <v>4201</v>
      </c>
      <c r="P19" s="35" t="s">
        <v>4201</v>
      </c>
      <c r="Q19" s="35" t="s">
        <v>2449</v>
      </c>
      <c r="R19" s="35" t="s">
        <v>4201</v>
      </c>
      <c r="S19" s="35"/>
      <c r="T19" s="35"/>
    </row>
    <row r="20" spans="1:1012" ht="14">
      <c r="A20" s="36" t="s">
        <v>190</v>
      </c>
      <c r="B20" s="36"/>
      <c r="C20" s="36"/>
      <c r="D20" s="35" t="s">
        <v>3067</v>
      </c>
      <c r="E20" s="35"/>
      <c r="F20" s="35">
        <v>500</v>
      </c>
      <c r="G20" s="35" t="b">
        <v>0</v>
      </c>
      <c r="H20" s="39" t="s">
        <v>15</v>
      </c>
      <c r="I20" s="35" t="s">
        <v>16</v>
      </c>
      <c r="J20" s="35">
        <v>0</v>
      </c>
      <c r="K20" s="35" t="s">
        <v>4204</v>
      </c>
      <c r="L20" s="35" t="s">
        <v>4201</v>
      </c>
      <c r="M20" s="35" t="s">
        <v>4073</v>
      </c>
      <c r="N20" s="35" t="s">
        <v>4201</v>
      </c>
      <c r="O20" s="35" t="s">
        <v>4201</v>
      </c>
      <c r="P20" s="35" t="s">
        <v>4201</v>
      </c>
      <c r="Q20" s="35" t="s">
        <v>2449</v>
      </c>
      <c r="R20" s="35" t="s">
        <v>4201</v>
      </c>
      <c r="S20" s="35"/>
      <c r="T20" s="35"/>
    </row>
    <row r="21" spans="1:1012" ht="49" customHeight="1">
      <c r="A21" s="26" t="s">
        <v>3997</v>
      </c>
      <c r="B21" s="26"/>
      <c r="C21" s="35"/>
      <c r="D21" s="36" t="s">
        <v>1709</v>
      </c>
      <c r="E21" s="36"/>
      <c r="F21" s="35">
        <v>500</v>
      </c>
      <c r="G21" s="35" t="b">
        <v>0</v>
      </c>
      <c r="H21" s="39" t="s">
        <v>15</v>
      </c>
      <c r="I21" s="35" t="s">
        <v>3043</v>
      </c>
      <c r="J21" s="35">
        <v>2</v>
      </c>
      <c r="K21" s="35" t="s">
        <v>4203</v>
      </c>
      <c r="L21" s="35" t="s">
        <v>4201</v>
      </c>
      <c r="M21" s="35" t="s">
        <v>4073</v>
      </c>
      <c r="N21" s="35" t="s">
        <v>4201</v>
      </c>
      <c r="O21" s="35" t="s">
        <v>4201</v>
      </c>
      <c r="P21" s="35" t="s">
        <v>4201</v>
      </c>
      <c r="Q21" s="35" t="s">
        <v>2449</v>
      </c>
      <c r="R21" s="35" t="s">
        <v>4160</v>
      </c>
      <c r="S21" s="35"/>
      <c r="T21" s="35"/>
    </row>
    <row r="22" spans="1:1012" ht="14">
      <c r="A22" s="35" t="s">
        <v>30</v>
      </c>
      <c r="B22" s="35"/>
      <c r="C22" s="35"/>
      <c r="D22" s="35" t="s">
        <v>31</v>
      </c>
      <c r="E22" s="35"/>
      <c r="F22" s="35">
        <v>500</v>
      </c>
      <c r="G22" s="35" t="b">
        <v>1</v>
      </c>
      <c r="H22" s="39" t="s">
        <v>15</v>
      </c>
      <c r="I22" s="35" t="s">
        <v>32</v>
      </c>
      <c r="J22" s="35">
        <v>0</v>
      </c>
      <c r="K22" s="35" t="s">
        <v>4205</v>
      </c>
      <c r="L22" s="35" t="s">
        <v>4201</v>
      </c>
      <c r="M22" s="35" t="s">
        <v>4201</v>
      </c>
      <c r="N22" s="35" t="s">
        <v>4201</v>
      </c>
      <c r="O22" s="35" t="s">
        <v>4201</v>
      </c>
      <c r="P22" s="35" t="s">
        <v>4201</v>
      </c>
      <c r="Q22" s="35" t="s">
        <v>2449</v>
      </c>
      <c r="R22" s="35" t="s">
        <v>4160</v>
      </c>
      <c r="S22" s="35"/>
      <c r="T22" s="35"/>
    </row>
    <row r="23" spans="1:1012" ht="14">
      <c r="A23" s="35" t="s">
        <v>4350</v>
      </c>
      <c r="B23" s="35"/>
      <c r="C23" s="35" t="s">
        <v>30</v>
      </c>
      <c r="D23" s="35" t="s">
        <v>4351</v>
      </c>
      <c r="E23" s="35"/>
      <c r="F23" s="35">
        <v>500</v>
      </c>
      <c r="G23" s="35" t="b">
        <v>0</v>
      </c>
      <c r="H23" s="39" t="s">
        <v>15</v>
      </c>
      <c r="I23" s="35" t="s">
        <v>37</v>
      </c>
      <c r="J23" s="35">
        <v>0</v>
      </c>
      <c r="K23" s="35" t="s">
        <v>4205</v>
      </c>
      <c r="L23" s="35" t="s">
        <v>4201</v>
      </c>
      <c r="M23" s="35"/>
      <c r="N23" s="35" t="s">
        <v>4201</v>
      </c>
      <c r="O23" s="35" t="s">
        <v>4201</v>
      </c>
      <c r="P23" s="35" t="s">
        <v>4201</v>
      </c>
      <c r="Q23" s="35" t="s">
        <v>2449</v>
      </c>
      <c r="R23" s="35" t="s">
        <v>4160</v>
      </c>
      <c r="S23" s="35"/>
      <c r="T23" s="35"/>
    </row>
    <row r="24" spans="1:1012" ht="14">
      <c r="A24" s="35" t="s">
        <v>35</v>
      </c>
      <c r="B24" s="35"/>
      <c r="C24" s="35"/>
      <c r="D24" s="35" t="s">
        <v>36</v>
      </c>
      <c r="E24" s="35"/>
      <c r="F24" s="35">
        <v>500</v>
      </c>
      <c r="G24" s="35" t="b">
        <v>0</v>
      </c>
      <c r="H24" s="39" t="s">
        <v>15</v>
      </c>
      <c r="I24" s="35" t="s">
        <v>37</v>
      </c>
      <c r="J24" s="35">
        <v>0</v>
      </c>
      <c r="K24" s="35" t="s">
        <v>4204</v>
      </c>
      <c r="L24" s="35" t="s">
        <v>4201</v>
      </c>
      <c r="M24" s="35" t="s">
        <v>4073</v>
      </c>
      <c r="N24" s="35" t="s">
        <v>4201</v>
      </c>
      <c r="O24" s="35" t="s">
        <v>4201</v>
      </c>
      <c r="P24" s="35" t="s">
        <v>4201</v>
      </c>
      <c r="Q24" s="35" t="s">
        <v>2449</v>
      </c>
      <c r="R24" s="35" t="s">
        <v>4201</v>
      </c>
      <c r="S24" s="35"/>
      <c r="T24" s="35"/>
    </row>
    <row r="25" spans="1:1012" ht="14">
      <c r="A25" s="35" t="s">
        <v>3070</v>
      </c>
      <c r="B25" s="35"/>
      <c r="C25" s="35"/>
      <c r="D25" s="35" t="s">
        <v>3075</v>
      </c>
      <c r="E25" s="35"/>
      <c r="F25" s="35">
        <v>500</v>
      </c>
      <c r="G25" s="35" t="b">
        <v>0</v>
      </c>
      <c r="H25" s="39" t="s">
        <v>15</v>
      </c>
      <c r="I25" s="35" t="s">
        <v>37</v>
      </c>
      <c r="J25" s="35">
        <v>0</v>
      </c>
      <c r="K25" s="35" t="s">
        <v>4203</v>
      </c>
      <c r="L25" s="35" t="s">
        <v>4201</v>
      </c>
      <c r="M25" s="35" t="s">
        <v>4073</v>
      </c>
      <c r="N25" s="35" t="s">
        <v>4201</v>
      </c>
      <c r="O25" s="35" t="s">
        <v>4201</v>
      </c>
      <c r="P25" s="35" t="s">
        <v>4201</v>
      </c>
      <c r="Q25" s="35" t="s">
        <v>2449</v>
      </c>
      <c r="R25" s="35" t="s">
        <v>4160</v>
      </c>
      <c r="S25" s="35"/>
      <c r="T25" s="35"/>
    </row>
    <row r="26" spans="1:1012" ht="14">
      <c r="A26" s="45" t="s">
        <v>4392</v>
      </c>
      <c r="C26" t="s">
        <v>3992</v>
      </c>
      <c r="D26" s="35" t="s">
        <v>4393</v>
      </c>
      <c r="F26" s="35">
        <v>500</v>
      </c>
      <c r="G26" s="35" t="b">
        <v>0</v>
      </c>
      <c r="H26" s="39" t="s">
        <v>15</v>
      </c>
      <c r="I26" s="35" t="s">
        <v>37</v>
      </c>
      <c r="J26" s="35">
        <v>0</v>
      </c>
      <c r="K26" s="35" t="s">
        <v>4205</v>
      </c>
      <c r="L26" s="35" t="s">
        <v>4201</v>
      </c>
      <c r="M26" s="35"/>
      <c r="N26" s="35" t="s">
        <v>4201</v>
      </c>
      <c r="O26" s="35" t="s">
        <v>4201</v>
      </c>
      <c r="P26" s="35" t="s">
        <v>4201</v>
      </c>
      <c r="Q26" s="35" t="s">
        <v>2449</v>
      </c>
      <c r="R26" s="35" t="s">
        <v>4160</v>
      </c>
    </row>
    <row r="27" spans="1:1012" s="17" customFormat="1" ht="14">
      <c r="A27" s="35" t="s">
        <v>38</v>
      </c>
      <c r="B27" s="35"/>
      <c r="C27" s="35" t="s">
        <v>4084</v>
      </c>
      <c r="D27" s="35" t="s">
        <v>39</v>
      </c>
      <c r="E27" s="35"/>
      <c r="F27" s="35">
        <v>600</v>
      </c>
      <c r="G27" s="35" t="b">
        <v>0</v>
      </c>
      <c r="H27" s="39" t="s">
        <v>15</v>
      </c>
      <c r="I27" s="35" t="s">
        <v>37</v>
      </c>
      <c r="J27" s="35">
        <v>0</v>
      </c>
      <c r="K27" s="35" t="s">
        <v>4204</v>
      </c>
      <c r="L27" s="35" t="s">
        <v>4201</v>
      </c>
      <c r="M27" s="35" t="s">
        <v>4073</v>
      </c>
      <c r="N27" s="35" t="s">
        <v>4201</v>
      </c>
      <c r="O27" s="35" t="s">
        <v>4201</v>
      </c>
      <c r="P27" s="35" t="s">
        <v>4201</v>
      </c>
      <c r="Q27" s="35" t="s">
        <v>2449</v>
      </c>
      <c r="R27" s="35" t="s">
        <v>4201</v>
      </c>
      <c r="S27" s="35"/>
      <c r="T27" s="35"/>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row>
    <row r="28" spans="1:1012" ht="14">
      <c r="A28" s="35" t="s">
        <v>4335</v>
      </c>
      <c r="B28" s="35"/>
      <c r="C28" s="35"/>
      <c r="D28" s="36" t="s">
        <v>4334</v>
      </c>
      <c r="E28" s="36"/>
      <c r="F28" s="35">
        <v>500</v>
      </c>
      <c r="G28" s="35" t="b">
        <v>1</v>
      </c>
      <c r="H28" s="39" t="s">
        <v>15</v>
      </c>
      <c r="I28" s="35" t="s">
        <v>41</v>
      </c>
      <c r="J28" s="35">
        <v>0</v>
      </c>
      <c r="K28" s="35" t="s">
        <v>4203</v>
      </c>
      <c r="L28" s="35" t="s">
        <v>4201</v>
      </c>
      <c r="M28" s="35" t="s">
        <v>4073</v>
      </c>
      <c r="N28" s="35" t="s">
        <v>4201</v>
      </c>
      <c r="O28" s="35" t="s">
        <v>4201</v>
      </c>
      <c r="P28" s="35" t="s">
        <v>4201</v>
      </c>
      <c r="Q28" s="35" t="s">
        <v>2449</v>
      </c>
      <c r="R28" s="35" t="s">
        <v>4160</v>
      </c>
      <c r="S28" s="35"/>
      <c r="T28" s="35"/>
    </row>
    <row r="29" spans="1:1012" ht="14">
      <c r="A29" s="36" t="s">
        <v>4330</v>
      </c>
      <c r="B29" s="36"/>
      <c r="C29" s="36" t="s">
        <v>4336</v>
      </c>
      <c r="D29" s="35" t="s">
        <v>4331</v>
      </c>
      <c r="E29" s="35"/>
      <c r="F29" s="35">
        <v>200</v>
      </c>
      <c r="G29" s="35" t="b">
        <v>0</v>
      </c>
      <c r="H29" s="39" t="s">
        <v>15</v>
      </c>
      <c r="I29" s="35" t="s">
        <v>41</v>
      </c>
      <c r="J29" s="35">
        <v>1</v>
      </c>
      <c r="K29" s="35" t="s">
        <v>4203</v>
      </c>
      <c r="L29" s="35" t="s">
        <v>4201</v>
      </c>
      <c r="M29" s="35" t="s">
        <v>4073</v>
      </c>
      <c r="N29" s="35" t="s">
        <v>4201</v>
      </c>
      <c r="O29" s="35" t="s">
        <v>4201</v>
      </c>
      <c r="P29" s="35" t="s">
        <v>4201</v>
      </c>
      <c r="Q29" s="35" t="s">
        <v>2449</v>
      </c>
      <c r="R29" s="35" t="s">
        <v>4160</v>
      </c>
      <c r="S29" s="35"/>
      <c r="T29" s="35"/>
    </row>
    <row r="30" spans="1:1012" ht="14">
      <c r="A30" s="36" t="s">
        <v>51</v>
      </c>
      <c r="B30" s="36"/>
      <c r="C30" s="36" t="s">
        <v>3893</v>
      </c>
      <c r="D30" s="35" t="s">
        <v>52</v>
      </c>
      <c r="E30" s="35"/>
      <c r="F30" s="35">
        <v>600</v>
      </c>
      <c r="G30" s="35" t="b">
        <v>0</v>
      </c>
      <c r="H30" s="39" t="s">
        <v>15</v>
      </c>
      <c r="I30" s="35" t="s">
        <v>16</v>
      </c>
      <c r="J30" s="35">
        <v>0</v>
      </c>
      <c r="K30" s="35" t="s">
        <v>4203</v>
      </c>
      <c r="L30" s="35" t="s">
        <v>4201</v>
      </c>
      <c r="M30" s="35" t="s">
        <v>4073</v>
      </c>
      <c r="N30" s="35" t="s">
        <v>4201</v>
      </c>
      <c r="O30" s="35" t="s">
        <v>4201</v>
      </c>
      <c r="P30" s="35" t="s">
        <v>4201</v>
      </c>
      <c r="Q30" s="35" t="s">
        <v>2449</v>
      </c>
      <c r="R30" s="35" t="s">
        <v>4160</v>
      </c>
      <c r="S30" s="35"/>
      <c r="T30" s="35"/>
    </row>
    <row r="31" spans="1:1012" ht="14">
      <c r="A31" s="36" t="s">
        <v>2823</v>
      </c>
      <c r="B31" s="36"/>
      <c r="C31" s="36"/>
      <c r="D31" s="35" t="s">
        <v>2835</v>
      </c>
      <c r="E31" s="35"/>
      <c r="F31" s="35">
        <v>500</v>
      </c>
      <c r="G31" s="35" t="b">
        <v>1</v>
      </c>
      <c r="H31" s="39" t="s">
        <v>15</v>
      </c>
      <c r="I31" s="35" t="s">
        <v>37</v>
      </c>
      <c r="J31" s="35">
        <v>0</v>
      </c>
      <c r="K31" s="35" t="s">
        <v>4205</v>
      </c>
      <c r="L31" s="35" t="s">
        <v>4201</v>
      </c>
      <c r="M31" s="35" t="s">
        <v>4201</v>
      </c>
      <c r="N31" s="35" t="s">
        <v>4201</v>
      </c>
      <c r="O31" s="35" t="s">
        <v>4201</v>
      </c>
      <c r="P31" s="35" t="s">
        <v>4201</v>
      </c>
      <c r="Q31" s="35" t="s">
        <v>2449</v>
      </c>
      <c r="R31" s="35" t="s">
        <v>4160</v>
      </c>
      <c r="S31" s="35"/>
      <c r="T31" s="35"/>
    </row>
    <row r="32" spans="1:1012" ht="14">
      <c r="A32" s="36" t="s">
        <v>43</v>
      </c>
      <c r="B32" s="36"/>
      <c r="C32" s="36"/>
      <c r="D32" s="36" t="s">
        <v>44</v>
      </c>
      <c r="E32" s="36"/>
      <c r="F32" s="35">
        <v>500</v>
      </c>
      <c r="G32" s="35" t="b">
        <v>1</v>
      </c>
      <c r="H32" s="39" t="s">
        <v>15</v>
      </c>
      <c r="I32" s="35" t="s">
        <v>21</v>
      </c>
      <c r="J32" s="35">
        <v>2</v>
      </c>
      <c r="K32" s="35" t="s">
        <v>4203</v>
      </c>
      <c r="L32" s="35" t="s">
        <v>4201</v>
      </c>
      <c r="M32" s="35" t="s">
        <v>4073</v>
      </c>
      <c r="N32" s="35" t="s">
        <v>4201</v>
      </c>
      <c r="O32" s="35" t="s">
        <v>4201</v>
      </c>
      <c r="P32" s="35" t="s">
        <v>4201</v>
      </c>
      <c r="Q32" s="35" t="s">
        <v>2449</v>
      </c>
      <c r="R32" s="35" t="s">
        <v>4160</v>
      </c>
      <c r="S32" s="35"/>
      <c r="T32" s="35"/>
    </row>
    <row r="33" spans="1:1012" ht="14">
      <c r="A33" s="36" t="s">
        <v>3896</v>
      </c>
      <c r="B33" s="36"/>
      <c r="C33" s="36" t="s">
        <v>3897</v>
      </c>
      <c r="D33" s="36" t="s">
        <v>3898</v>
      </c>
      <c r="E33" s="36"/>
      <c r="F33" s="35">
        <v>500</v>
      </c>
      <c r="G33" s="35" t="b">
        <v>0</v>
      </c>
      <c r="H33" s="39" t="s">
        <v>15</v>
      </c>
      <c r="I33" s="36" t="s">
        <v>21</v>
      </c>
      <c r="J33" s="35">
        <v>2</v>
      </c>
      <c r="K33" s="35" t="s">
        <v>4210</v>
      </c>
      <c r="L33" s="35" t="s">
        <v>4201</v>
      </c>
      <c r="M33" s="35" t="s">
        <v>4201</v>
      </c>
      <c r="N33" s="35" t="s">
        <v>4201</v>
      </c>
      <c r="O33" s="35" t="s">
        <v>4201</v>
      </c>
      <c r="P33" s="35" t="s">
        <v>4208</v>
      </c>
      <c r="Q33" s="35" t="s">
        <v>2449</v>
      </c>
      <c r="R33" s="35" t="s">
        <v>4160</v>
      </c>
      <c r="S33" s="35"/>
      <c r="T33" s="35"/>
    </row>
    <row r="34" spans="1:1012" ht="14">
      <c r="A34" s="35" t="s">
        <v>48</v>
      </c>
      <c r="B34" s="35"/>
      <c r="C34" s="26"/>
      <c r="D34" s="35" t="s">
        <v>49</v>
      </c>
      <c r="E34" s="35"/>
      <c r="F34" s="35">
        <v>500</v>
      </c>
      <c r="G34" s="35" t="b">
        <v>0</v>
      </c>
      <c r="H34" s="39" t="s">
        <v>15</v>
      </c>
      <c r="I34" s="35" t="s">
        <v>46</v>
      </c>
      <c r="J34" s="35">
        <v>2</v>
      </c>
      <c r="K34" s="35" t="s">
        <v>4210</v>
      </c>
      <c r="L34" s="35" t="s">
        <v>4201</v>
      </c>
      <c r="M34" s="35" t="s">
        <v>4201</v>
      </c>
      <c r="N34" s="35" t="s">
        <v>4201</v>
      </c>
      <c r="O34" s="35" t="s">
        <v>4201</v>
      </c>
      <c r="P34" s="35" t="s">
        <v>4208</v>
      </c>
      <c r="Q34" s="35" t="s">
        <v>2449</v>
      </c>
      <c r="R34" s="35" t="s">
        <v>4160</v>
      </c>
      <c r="S34" s="35"/>
      <c r="T34" s="35"/>
    </row>
    <row r="35" spans="1:1012" ht="30">
      <c r="A35" s="35" t="s">
        <v>45</v>
      </c>
      <c r="B35" s="35"/>
      <c r="C35" s="40" t="s">
        <v>4083</v>
      </c>
      <c r="D35" s="35" t="s">
        <v>50</v>
      </c>
      <c r="E35" s="35"/>
      <c r="F35" s="35">
        <v>700</v>
      </c>
      <c r="G35" s="35" t="b">
        <v>0</v>
      </c>
      <c r="H35" s="39" t="s">
        <v>15</v>
      </c>
      <c r="I35" s="35" t="s">
        <v>46</v>
      </c>
      <c r="J35" s="35">
        <v>2</v>
      </c>
      <c r="K35" s="35" t="s">
        <v>4213</v>
      </c>
      <c r="L35" s="35" t="s">
        <v>4201</v>
      </c>
      <c r="M35" s="35" t="s">
        <v>4073</v>
      </c>
      <c r="N35" s="35" t="s">
        <v>4201</v>
      </c>
      <c r="O35" s="35" t="s">
        <v>4201</v>
      </c>
      <c r="P35" s="35" t="s">
        <v>4208</v>
      </c>
      <c r="Q35" s="35" t="s">
        <v>2449</v>
      </c>
      <c r="R35" s="35" t="s">
        <v>4160</v>
      </c>
      <c r="S35" s="35"/>
      <c r="T35" s="35"/>
    </row>
    <row r="36" spans="1:1012" ht="14">
      <c r="A36" s="34" t="s">
        <v>3990</v>
      </c>
      <c r="B36" s="34"/>
      <c r="C36" s="35" t="s">
        <v>13</v>
      </c>
      <c r="D36" s="36" t="s">
        <v>4045</v>
      </c>
      <c r="E36" s="36" t="s">
        <v>4047</v>
      </c>
      <c r="F36" s="35">
        <v>500</v>
      </c>
      <c r="G36" s="35" t="b">
        <v>1</v>
      </c>
      <c r="H36" s="39" t="s">
        <v>15</v>
      </c>
      <c r="I36" s="35" t="s">
        <v>3043</v>
      </c>
      <c r="J36" s="35">
        <v>2</v>
      </c>
      <c r="K36" s="35" t="s">
        <v>4203</v>
      </c>
      <c r="L36" s="35" t="s">
        <v>4201</v>
      </c>
      <c r="M36" s="35" t="s">
        <v>4073</v>
      </c>
      <c r="N36" s="35" t="s">
        <v>4201</v>
      </c>
      <c r="O36" s="35" t="s">
        <v>4201</v>
      </c>
      <c r="P36" s="35" t="s">
        <v>4201</v>
      </c>
      <c r="Q36" s="35" t="s">
        <v>2449</v>
      </c>
      <c r="R36" s="35" t="s">
        <v>4160</v>
      </c>
      <c r="S36" s="35"/>
      <c r="T36" s="35"/>
    </row>
    <row r="37" spans="1:1012" ht="14">
      <c r="A37" s="36" t="s">
        <v>62</v>
      </c>
      <c r="B37" s="36"/>
      <c r="C37" s="36"/>
      <c r="D37" s="36" t="s">
        <v>3139</v>
      </c>
      <c r="E37" s="36"/>
      <c r="F37" s="35">
        <v>500</v>
      </c>
      <c r="G37" s="35" t="b">
        <v>0</v>
      </c>
      <c r="H37" s="39" t="s">
        <v>15</v>
      </c>
      <c r="I37" s="35" t="s">
        <v>21</v>
      </c>
      <c r="J37" s="35">
        <v>2</v>
      </c>
      <c r="K37" s="35" t="s">
        <v>4203</v>
      </c>
      <c r="L37" s="35" t="s">
        <v>4201</v>
      </c>
      <c r="M37" s="35" t="s">
        <v>4073</v>
      </c>
      <c r="N37" s="35" t="s">
        <v>4201</v>
      </c>
      <c r="O37" s="35" t="s">
        <v>4201</v>
      </c>
      <c r="P37" s="35" t="s">
        <v>4201</v>
      </c>
      <c r="Q37" s="35" t="s">
        <v>2449</v>
      </c>
      <c r="R37" s="35" t="s">
        <v>4160</v>
      </c>
      <c r="S37" s="35"/>
      <c r="T37" s="35"/>
    </row>
    <row r="38" spans="1:1012" ht="14">
      <c r="A38" s="36" t="s">
        <v>63</v>
      </c>
      <c r="B38" s="36"/>
      <c r="C38" s="36" t="s">
        <v>3990</v>
      </c>
      <c r="D38" s="36" t="s">
        <v>65</v>
      </c>
      <c r="E38" s="36"/>
      <c r="F38" s="35">
        <v>450</v>
      </c>
      <c r="G38" s="35" t="b">
        <v>0</v>
      </c>
      <c r="H38" s="39" t="s">
        <v>15</v>
      </c>
      <c r="I38" s="35" t="s">
        <v>66</v>
      </c>
      <c r="J38" s="35">
        <v>1</v>
      </c>
      <c r="K38" s="35" t="s">
        <v>4203</v>
      </c>
      <c r="L38" s="35" t="s">
        <v>4201</v>
      </c>
      <c r="M38" s="35" t="s">
        <v>4073</v>
      </c>
      <c r="N38" s="35" t="s">
        <v>4201</v>
      </c>
      <c r="O38" s="35" t="s">
        <v>4201</v>
      </c>
      <c r="P38" s="35" t="s">
        <v>4201</v>
      </c>
      <c r="Q38" s="35" t="s">
        <v>2449</v>
      </c>
      <c r="R38" s="35" t="s">
        <v>4160</v>
      </c>
      <c r="S38" s="35"/>
      <c r="T38" s="35"/>
    </row>
    <row r="39" spans="1:1012" ht="14">
      <c r="A39" s="35" t="s">
        <v>2682</v>
      </c>
      <c r="B39" s="35"/>
      <c r="C39" s="35" t="s">
        <v>3992</v>
      </c>
      <c r="D39" s="35" t="s">
        <v>2683</v>
      </c>
      <c r="E39" s="35"/>
      <c r="F39" s="35">
        <v>500</v>
      </c>
      <c r="G39" s="35" t="b">
        <v>0</v>
      </c>
      <c r="H39" s="39" t="s">
        <v>15</v>
      </c>
      <c r="I39" s="35" t="s">
        <v>16</v>
      </c>
      <c r="J39" s="35">
        <v>0</v>
      </c>
      <c r="K39" s="35" t="s">
        <v>4203</v>
      </c>
      <c r="L39" s="35" t="s">
        <v>4201</v>
      </c>
      <c r="M39" s="35" t="s">
        <v>4073</v>
      </c>
      <c r="N39" s="35" t="s">
        <v>4201</v>
      </c>
      <c r="O39" s="35" t="s">
        <v>4201</v>
      </c>
      <c r="P39" s="35" t="s">
        <v>4201</v>
      </c>
      <c r="Q39" s="35" t="s">
        <v>2449</v>
      </c>
      <c r="R39" s="35" t="s">
        <v>4201</v>
      </c>
      <c r="S39" s="35"/>
      <c r="T39" s="35"/>
    </row>
    <row r="40" spans="1:1012" ht="14">
      <c r="A40" s="35" t="s">
        <v>4421</v>
      </c>
      <c r="B40" s="35"/>
      <c r="C40" s="35"/>
      <c r="D40" s="36" t="s">
        <v>3033</v>
      </c>
      <c r="E40" s="36"/>
      <c r="F40" s="35">
        <v>500</v>
      </c>
      <c r="G40" s="35" t="b">
        <v>0</v>
      </c>
      <c r="H40" s="39" t="s">
        <v>15</v>
      </c>
      <c r="I40" s="35" t="s">
        <v>41</v>
      </c>
      <c r="J40" s="35">
        <v>0</v>
      </c>
      <c r="K40" s="35" t="s">
        <v>4203</v>
      </c>
      <c r="L40" s="35" t="s">
        <v>4201</v>
      </c>
      <c r="M40" s="35" t="s">
        <v>4073</v>
      </c>
      <c r="N40" s="35" t="s">
        <v>4201</v>
      </c>
      <c r="O40" s="35" t="s">
        <v>4201</v>
      </c>
      <c r="P40" s="35" t="s">
        <v>4201</v>
      </c>
      <c r="Q40" s="35" t="s">
        <v>2449</v>
      </c>
      <c r="R40" s="35" t="s">
        <v>4160</v>
      </c>
      <c r="S40" s="35"/>
      <c r="T40" s="35"/>
    </row>
    <row r="41" spans="1:1012" ht="14">
      <c r="A41" s="36" t="s">
        <v>4012</v>
      </c>
      <c r="B41" s="36"/>
      <c r="C41" s="36" t="s">
        <v>3996</v>
      </c>
      <c r="D41" s="36" t="s">
        <v>4013</v>
      </c>
      <c r="E41" s="36"/>
      <c r="F41" s="35">
        <v>450</v>
      </c>
      <c r="G41" s="35" t="b">
        <v>0</v>
      </c>
      <c r="H41" s="39" t="s">
        <v>15</v>
      </c>
      <c r="I41" s="35" t="s">
        <v>25</v>
      </c>
      <c r="J41" s="35">
        <v>1</v>
      </c>
      <c r="K41" s="35" t="s">
        <v>4204</v>
      </c>
      <c r="L41" s="35" t="s">
        <v>4201</v>
      </c>
      <c r="M41" s="35" t="s">
        <v>4073</v>
      </c>
      <c r="N41" s="35" t="s">
        <v>4201</v>
      </c>
      <c r="O41" s="35" t="s">
        <v>4201</v>
      </c>
      <c r="P41" s="35" t="s">
        <v>4201</v>
      </c>
      <c r="Q41" s="35" t="s">
        <v>2449</v>
      </c>
      <c r="R41" s="35" t="s">
        <v>4201</v>
      </c>
      <c r="S41" s="35"/>
      <c r="T41" s="35"/>
    </row>
    <row r="42" spans="1:1012" ht="14">
      <c r="A42" s="35" t="s">
        <v>73</v>
      </c>
      <c r="B42" s="35"/>
      <c r="C42" s="35"/>
      <c r="D42" s="35" t="s">
        <v>74</v>
      </c>
      <c r="E42" s="35"/>
      <c r="F42" s="35">
        <v>500</v>
      </c>
      <c r="G42" s="35" t="b">
        <v>0</v>
      </c>
      <c r="H42" s="39" t="s">
        <v>15</v>
      </c>
      <c r="I42" s="35" t="s">
        <v>37</v>
      </c>
      <c r="J42" s="35">
        <v>0</v>
      </c>
      <c r="K42" s="35" t="s">
        <v>4204</v>
      </c>
      <c r="L42" s="35" t="s">
        <v>4201</v>
      </c>
      <c r="M42" s="35" t="s">
        <v>4073</v>
      </c>
      <c r="N42" s="35" t="s">
        <v>4201</v>
      </c>
      <c r="O42" s="35" t="s">
        <v>4201</v>
      </c>
      <c r="P42" s="35" t="s">
        <v>4201</v>
      </c>
      <c r="Q42" s="35" t="s">
        <v>2449</v>
      </c>
      <c r="R42" s="35" t="s">
        <v>4201</v>
      </c>
      <c r="S42" s="35"/>
      <c r="T42" s="35"/>
    </row>
    <row r="43" spans="1:1012" s="18" customFormat="1" ht="14">
      <c r="A43" s="26" t="s">
        <v>3992</v>
      </c>
      <c r="B43" s="26"/>
      <c r="C43" s="35"/>
      <c r="D43" s="36" t="s">
        <v>3920</v>
      </c>
      <c r="E43" s="36" t="s">
        <v>4046</v>
      </c>
      <c r="F43" s="35">
        <v>500</v>
      </c>
      <c r="G43" s="35" t="b">
        <v>1</v>
      </c>
      <c r="H43" s="39" t="s">
        <v>15</v>
      </c>
      <c r="I43" s="35" t="s">
        <v>3043</v>
      </c>
      <c r="J43" s="35">
        <v>2</v>
      </c>
      <c r="K43" s="35" t="s">
        <v>4203</v>
      </c>
      <c r="L43" s="35" t="s">
        <v>4201</v>
      </c>
      <c r="M43" s="35" t="s">
        <v>4073</v>
      </c>
      <c r="N43" s="35" t="s">
        <v>4201</v>
      </c>
      <c r="O43" s="35" t="s">
        <v>4201</v>
      </c>
      <c r="P43" s="35" t="s">
        <v>4201</v>
      </c>
      <c r="Q43" s="35" t="s">
        <v>2449</v>
      </c>
      <c r="R43" s="35" t="s">
        <v>4160</v>
      </c>
      <c r="S43" s="35"/>
      <c r="T43" s="35"/>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row>
    <row r="44" spans="1:1012" ht="14">
      <c r="A44" s="35" t="s">
        <v>4225</v>
      </c>
      <c r="B44" s="35" t="s">
        <v>4200</v>
      </c>
      <c r="C44" s="35"/>
      <c r="D44" s="35" t="s">
        <v>4226</v>
      </c>
      <c r="E44" s="35"/>
      <c r="F44" s="35">
        <v>500</v>
      </c>
      <c r="G44" s="35" t="b">
        <v>0</v>
      </c>
      <c r="H44" s="39" t="s">
        <v>15</v>
      </c>
      <c r="I44" s="35" t="s">
        <v>37</v>
      </c>
      <c r="J44" s="35">
        <v>0</v>
      </c>
      <c r="K44" s="35" t="s">
        <v>4203</v>
      </c>
      <c r="L44" s="35" t="s">
        <v>4201</v>
      </c>
      <c r="M44" s="35" t="s">
        <v>4073</v>
      </c>
      <c r="N44" s="35" t="s">
        <v>4201</v>
      </c>
      <c r="O44" s="35" t="s">
        <v>4201</v>
      </c>
      <c r="P44" s="35" t="s">
        <v>4201</v>
      </c>
      <c r="Q44" s="35" t="s">
        <v>2449</v>
      </c>
      <c r="R44" s="35" t="s">
        <v>4160</v>
      </c>
      <c r="S44" s="35"/>
      <c r="T44" s="35"/>
    </row>
    <row r="45" spans="1:1012" ht="14">
      <c r="A45" s="35" t="s">
        <v>164</v>
      </c>
      <c r="B45" s="35"/>
      <c r="C45" s="35"/>
      <c r="D45" s="35" t="s">
        <v>2720</v>
      </c>
      <c r="E45" s="35"/>
      <c r="F45" s="35">
        <v>800</v>
      </c>
      <c r="G45" s="35" t="b">
        <v>0</v>
      </c>
      <c r="H45" s="39" t="s">
        <v>15</v>
      </c>
      <c r="I45" s="35" t="s">
        <v>165</v>
      </c>
      <c r="J45" s="35">
        <v>0</v>
      </c>
      <c r="K45" s="35" t="s">
        <v>165</v>
      </c>
      <c r="L45" s="35" t="s">
        <v>4201</v>
      </c>
      <c r="M45" s="35" t="s">
        <v>4201</v>
      </c>
      <c r="N45" s="35" t="s">
        <v>165</v>
      </c>
      <c r="O45" s="35" t="s">
        <v>4201</v>
      </c>
      <c r="P45" s="35" t="s">
        <v>4201</v>
      </c>
      <c r="Q45" s="35" t="s">
        <v>4201</v>
      </c>
      <c r="R45" s="35" t="s">
        <v>4201</v>
      </c>
      <c r="S45" s="35"/>
      <c r="T45" s="35"/>
    </row>
    <row r="46" spans="1:1012" ht="14">
      <c r="A46" s="35" t="s">
        <v>92</v>
      </c>
      <c r="B46" s="35"/>
      <c r="C46" s="35" t="s">
        <v>4197</v>
      </c>
      <c r="D46" s="35" t="s">
        <v>94</v>
      </c>
      <c r="E46" s="35"/>
      <c r="F46" s="35">
        <v>520</v>
      </c>
      <c r="G46" s="35" t="b">
        <v>0</v>
      </c>
      <c r="H46" s="39" t="s">
        <v>15</v>
      </c>
      <c r="I46" s="35" t="s">
        <v>95</v>
      </c>
      <c r="J46" s="35">
        <v>0</v>
      </c>
      <c r="K46" s="35" t="s">
        <v>4214</v>
      </c>
      <c r="L46" s="35" t="s">
        <v>4201</v>
      </c>
      <c r="M46" s="35" t="s">
        <v>4073</v>
      </c>
      <c r="N46" s="35" t="s">
        <v>4201</v>
      </c>
      <c r="O46" s="35" t="s">
        <v>95</v>
      </c>
      <c r="P46" s="35" t="s">
        <v>4201</v>
      </c>
      <c r="Q46" s="35" t="s">
        <v>4201</v>
      </c>
      <c r="R46" s="35" t="s">
        <v>4201</v>
      </c>
      <c r="S46" s="35"/>
      <c r="T46" s="35"/>
    </row>
    <row r="47" spans="1:1012" ht="14">
      <c r="A47" s="35" t="s">
        <v>3054</v>
      </c>
      <c r="B47" s="35"/>
      <c r="C47" s="35"/>
      <c r="D47" s="35" t="s">
        <v>3053</v>
      </c>
      <c r="E47" s="35"/>
      <c r="F47" s="35">
        <v>500</v>
      </c>
      <c r="G47" s="35" t="b">
        <v>0</v>
      </c>
      <c r="H47" s="39" t="s">
        <v>15</v>
      </c>
      <c r="I47" s="35" t="s">
        <v>37</v>
      </c>
      <c r="J47" s="35">
        <v>0</v>
      </c>
      <c r="K47" s="35" t="s">
        <v>4203</v>
      </c>
      <c r="L47" s="35" t="s">
        <v>4201</v>
      </c>
      <c r="M47" s="35" t="s">
        <v>4073</v>
      </c>
      <c r="N47" s="35" t="s">
        <v>4201</v>
      </c>
      <c r="O47" s="35" t="s">
        <v>4201</v>
      </c>
      <c r="P47" s="35" t="s">
        <v>4201</v>
      </c>
      <c r="Q47" s="35" t="s">
        <v>2449</v>
      </c>
      <c r="R47" s="35" t="s">
        <v>4160</v>
      </c>
      <c r="S47" s="35"/>
      <c r="T47" s="35"/>
    </row>
    <row r="48" spans="1:1012" ht="14">
      <c r="A48" s="36" t="s">
        <v>75</v>
      </c>
      <c r="B48" s="36"/>
      <c r="C48" s="36" t="s">
        <v>3992</v>
      </c>
      <c r="D48" s="35" t="s">
        <v>76</v>
      </c>
      <c r="E48" s="35"/>
      <c r="F48" s="35">
        <v>500</v>
      </c>
      <c r="G48" s="35" t="b">
        <v>0</v>
      </c>
      <c r="H48" s="39" t="s">
        <v>15</v>
      </c>
      <c r="I48" s="35" t="s">
        <v>16</v>
      </c>
      <c r="J48" s="35">
        <v>0</v>
      </c>
      <c r="K48" s="35" t="s">
        <v>4203</v>
      </c>
      <c r="L48" s="35" t="s">
        <v>4201</v>
      </c>
      <c r="M48" s="35" t="s">
        <v>4073</v>
      </c>
      <c r="N48" s="35" t="s">
        <v>4201</v>
      </c>
      <c r="O48" s="35" t="s">
        <v>4201</v>
      </c>
      <c r="P48" s="35" t="s">
        <v>4201</v>
      </c>
      <c r="Q48" s="35" t="s">
        <v>2449</v>
      </c>
      <c r="R48" s="35" t="s">
        <v>4201</v>
      </c>
      <c r="S48" s="35"/>
      <c r="T48" s="35"/>
    </row>
    <row r="49" spans="1:20" ht="14">
      <c r="A49" s="35" t="s">
        <v>4316</v>
      </c>
      <c r="B49" s="35" t="s">
        <v>4200</v>
      </c>
      <c r="C49" s="35"/>
      <c r="D49" s="35" t="s">
        <v>4317</v>
      </c>
      <c r="E49" s="35"/>
      <c r="F49" s="35">
        <v>500</v>
      </c>
      <c r="G49" s="35" t="b">
        <v>1</v>
      </c>
      <c r="H49" s="39" t="s">
        <v>15</v>
      </c>
      <c r="I49" s="35" t="s">
        <v>37</v>
      </c>
      <c r="J49" s="35">
        <v>0</v>
      </c>
      <c r="K49" s="35" t="s">
        <v>4203</v>
      </c>
      <c r="L49" s="35" t="s">
        <v>4201</v>
      </c>
      <c r="M49" s="35" t="s">
        <v>4073</v>
      </c>
      <c r="N49" s="35" t="s">
        <v>4201</v>
      </c>
      <c r="O49" s="35" t="s">
        <v>4201</v>
      </c>
      <c r="P49" s="35" t="s">
        <v>4201</v>
      </c>
      <c r="Q49" s="35" t="s">
        <v>2449</v>
      </c>
      <c r="R49" s="35" t="s">
        <v>4160</v>
      </c>
      <c r="S49" s="35"/>
      <c r="T49" s="35"/>
    </row>
    <row r="50" spans="1:20" ht="14">
      <c r="A50" s="35" t="s">
        <v>4130</v>
      </c>
      <c r="B50" s="35" t="s">
        <v>4131</v>
      </c>
      <c r="C50" s="35"/>
      <c r="D50" s="35" t="s">
        <v>4132</v>
      </c>
      <c r="E50" s="35"/>
      <c r="F50" s="35">
        <v>500</v>
      </c>
      <c r="G50" s="35" t="b">
        <v>0</v>
      </c>
      <c r="H50" s="39" t="s">
        <v>15</v>
      </c>
      <c r="I50" s="35" t="s">
        <v>95</v>
      </c>
      <c r="J50" s="35">
        <v>0</v>
      </c>
      <c r="K50" s="35" t="s">
        <v>4214</v>
      </c>
      <c r="L50" s="35" t="s">
        <v>4201</v>
      </c>
      <c r="M50" s="35" t="s">
        <v>4073</v>
      </c>
      <c r="N50" s="35" t="s">
        <v>4201</v>
      </c>
      <c r="O50" s="35" t="s">
        <v>95</v>
      </c>
      <c r="P50" s="35"/>
      <c r="Q50" s="35"/>
      <c r="R50" s="35"/>
      <c r="S50" s="35"/>
      <c r="T50" s="35"/>
    </row>
    <row r="51" spans="1:20" ht="14">
      <c r="A51" s="35" t="s">
        <v>80</v>
      </c>
      <c r="B51" s="35" t="s">
        <v>4015</v>
      </c>
      <c r="C51" s="35"/>
      <c r="D51" s="36" t="s">
        <v>3051</v>
      </c>
      <c r="E51" s="36"/>
      <c r="F51" s="35">
        <v>500</v>
      </c>
      <c r="G51" s="35" t="b">
        <v>0</v>
      </c>
      <c r="H51" s="39" t="s">
        <v>15</v>
      </c>
      <c r="I51" s="35" t="s">
        <v>21</v>
      </c>
      <c r="J51" s="35">
        <v>2</v>
      </c>
      <c r="K51" s="35" t="s">
        <v>4203</v>
      </c>
      <c r="L51" s="35" t="s">
        <v>4201</v>
      </c>
      <c r="M51" s="35" t="s">
        <v>4073</v>
      </c>
      <c r="N51" s="35" t="s">
        <v>4201</v>
      </c>
      <c r="O51" s="35" t="s">
        <v>4201</v>
      </c>
      <c r="P51" s="35" t="s">
        <v>4201</v>
      </c>
      <c r="Q51" s="35" t="s">
        <v>2449</v>
      </c>
      <c r="R51" s="35" t="s">
        <v>4160</v>
      </c>
      <c r="S51" s="35"/>
      <c r="T51" s="35"/>
    </row>
    <row r="52" spans="1:20" ht="14">
      <c r="A52" s="35" t="s">
        <v>82</v>
      </c>
      <c r="B52" s="35" t="s">
        <v>4432</v>
      </c>
      <c r="C52" s="35"/>
      <c r="D52" s="36" t="s">
        <v>3136</v>
      </c>
      <c r="E52" s="36"/>
      <c r="F52" s="35">
        <v>500</v>
      </c>
      <c r="G52" s="35" t="b">
        <v>0</v>
      </c>
      <c r="H52" s="39" t="s">
        <v>15</v>
      </c>
      <c r="I52" s="35" t="s">
        <v>21</v>
      </c>
      <c r="J52" s="35">
        <v>2</v>
      </c>
      <c r="K52" s="35" t="s">
        <v>4203</v>
      </c>
      <c r="L52" s="35" t="s">
        <v>4201</v>
      </c>
      <c r="M52" s="35" t="s">
        <v>4073</v>
      </c>
      <c r="N52" s="35" t="s">
        <v>4201</v>
      </c>
      <c r="O52" s="35" t="s">
        <v>4201</v>
      </c>
      <c r="P52" s="35" t="s">
        <v>4201</v>
      </c>
      <c r="Q52" s="35" t="s">
        <v>2449</v>
      </c>
      <c r="R52" s="35" t="s">
        <v>4160</v>
      </c>
      <c r="S52" s="35"/>
      <c r="T52" s="35"/>
    </row>
    <row r="53" spans="1:20" ht="14">
      <c r="A53" s="35" t="s">
        <v>83</v>
      </c>
      <c r="B53" s="35" t="s">
        <v>4432</v>
      </c>
      <c r="C53" s="36"/>
      <c r="D53" s="36" t="s">
        <v>84</v>
      </c>
      <c r="E53" s="36"/>
      <c r="F53" s="35">
        <v>500</v>
      </c>
      <c r="G53" s="35" t="b">
        <v>0</v>
      </c>
      <c r="H53" s="39" t="s">
        <v>15</v>
      </c>
      <c r="I53" s="35" t="s">
        <v>21</v>
      </c>
      <c r="J53" s="35">
        <v>2</v>
      </c>
      <c r="K53" s="35" t="s">
        <v>4203</v>
      </c>
      <c r="L53" s="35" t="s">
        <v>4201</v>
      </c>
      <c r="M53" s="35" t="s">
        <v>4073</v>
      </c>
      <c r="N53" s="35" t="s">
        <v>4201</v>
      </c>
      <c r="O53" s="35" t="s">
        <v>4201</v>
      </c>
      <c r="P53" s="35" t="s">
        <v>4201</v>
      </c>
      <c r="Q53" s="35" t="s">
        <v>2449</v>
      </c>
      <c r="R53" s="35" t="s">
        <v>4160</v>
      </c>
      <c r="S53" s="35"/>
      <c r="T53" s="35"/>
    </row>
    <row r="54" spans="1:20" ht="14">
      <c r="A54" s="35" t="s">
        <v>85</v>
      </c>
      <c r="B54" s="35" t="s">
        <v>4432</v>
      </c>
      <c r="C54" s="36"/>
      <c r="D54" s="36" t="s">
        <v>86</v>
      </c>
      <c r="E54" s="36"/>
      <c r="F54" s="35">
        <v>500</v>
      </c>
      <c r="G54" s="35" t="b">
        <v>0</v>
      </c>
      <c r="H54" s="39" t="s">
        <v>15</v>
      </c>
      <c r="I54" s="35" t="s">
        <v>21</v>
      </c>
      <c r="J54" s="35">
        <v>2</v>
      </c>
      <c r="K54" s="35" t="s">
        <v>4203</v>
      </c>
      <c r="L54" s="35" t="s">
        <v>4201</v>
      </c>
      <c r="M54" s="35" t="s">
        <v>4073</v>
      </c>
      <c r="N54" s="35" t="s">
        <v>4201</v>
      </c>
      <c r="O54" s="35" t="s">
        <v>4201</v>
      </c>
      <c r="P54" s="35" t="s">
        <v>4201</v>
      </c>
      <c r="Q54" s="35" t="s">
        <v>2449</v>
      </c>
      <c r="R54" s="35" t="s">
        <v>4160</v>
      </c>
      <c r="S54" s="35"/>
      <c r="T54" s="35"/>
    </row>
    <row r="55" spans="1:20" ht="14">
      <c r="A55" s="36" t="s">
        <v>87</v>
      </c>
      <c r="B55" s="36"/>
      <c r="C55" s="36"/>
      <c r="D55" s="35" t="s">
        <v>88</v>
      </c>
      <c r="E55" s="35"/>
      <c r="F55" s="35">
        <v>500</v>
      </c>
      <c r="G55" s="35" t="b">
        <v>0</v>
      </c>
      <c r="H55" s="39" t="s">
        <v>15</v>
      </c>
      <c r="I55" s="35" t="s">
        <v>29</v>
      </c>
      <c r="J55" s="35">
        <v>0</v>
      </c>
      <c r="K55" s="35" t="s">
        <v>4204</v>
      </c>
      <c r="L55" s="35" t="s">
        <v>4201</v>
      </c>
      <c r="M55" s="35" t="s">
        <v>4073</v>
      </c>
      <c r="N55" s="35" t="s">
        <v>4201</v>
      </c>
      <c r="O55" s="35" t="s">
        <v>4201</v>
      </c>
      <c r="P55" s="35" t="s">
        <v>4201</v>
      </c>
      <c r="Q55" s="35" t="s">
        <v>2449</v>
      </c>
      <c r="R55" s="35" t="s">
        <v>4201</v>
      </c>
      <c r="S55" s="35"/>
      <c r="T55" s="35"/>
    </row>
    <row r="56" spans="1:20" ht="14">
      <c r="A56" s="35" t="s">
        <v>166</v>
      </c>
      <c r="B56" s="35"/>
      <c r="C56" s="35"/>
      <c r="D56" s="35" t="s">
        <v>167</v>
      </c>
      <c r="E56" s="35"/>
      <c r="F56" s="35">
        <v>700</v>
      </c>
      <c r="G56" s="35" t="b">
        <v>0</v>
      </c>
      <c r="H56" s="39" t="s">
        <v>15</v>
      </c>
      <c r="I56" s="35" t="s">
        <v>165</v>
      </c>
      <c r="J56" s="35">
        <v>0</v>
      </c>
      <c r="K56" s="35" t="s">
        <v>165</v>
      </c>
      <c r="L56" s="35" t="s">
        <v>4201</v>
      </c>
      <c r="M56" s="35" t="s">
        <v>4201</v>
      </c>
      <c r="N56" s="35" t="s">
        <v>165</v>
      </c>
      <c r="O56" s="35" t="s">
        <v>4201</v>
      </c>
      <c r="P56" s="35" t="s">
        <v>4201</v>
      </c>
      <c r="Q56" s="35" t="s">
        <v>4201</v>
      </c>
      <c r="R56" s="35" t="s">
        <v>4201</v>
      </c>
      <c r="S56" s="35"/>
      <c r="T56" s="35"/>
    </row>
    <row r="57" spans="1:20" ht="14">
      <c r="A57" s="26" t="s">
        <v>3991</v>
      </c>
      <c r="B57" s="26"/>
      <c r="C57" s="35"/>
      <c r="D57" s="36" t="s">
        <v>3913</v>
      </c>
      <c r="E57" s="36" t="s">
        <v>2679</v>
      </c>
      <c r="F57" s="35">
        <v>500</v>
      </c>
      <c r="G57" s="35" t="b">
        <v>1</v>
      </c>
      <c r="H57" s="39" t="s">
        <v>15</v>
      </c>
      <c r="I57" s="35" t="s">
        <v>3043</v>
      </c>
      <c r="J57" s="35">
        <v>2</v>
      </c>
      <c r="K57" s="35" t="s">
        <v>4203</v>
      </c>
      <c r="L57" s="35" t="s">
        <v>4201</v>
      </c>
      <c r="M57" s="35" t="s">
        <v>4073</v>
      </c>
      <c r="N57" s="35" t="s">
        <v>4201</v>
      </c>
      <c r="O57" s="35" t="s">
        <v>4201</v>
      </c>
      <c r="P57" s="35" t="s">
        <v>4201</v>
      </c>
      <c r="Q57" s="35" t="s">
        <v>2449</v>
      </c>
      <c r="R57" s="35" t="s">
        <v>4160</v>
      </c>
      <c r="S57" s="35"/>
      <c r="T57" s="35"/>
    </row>
    <row r="58" spans="1:20" ht="14">
      <c r="A58" s="26" t="s">
        <v>1116</v>
      </c>
      <c r="B58" s="26"/>
      <c r="C58" s="35"/>
      <c r="D58" s="36" t="s">
        <v>3976</v>
      </c>
      <c r="E58" s="36"/>
      <c r="F58" s="35">
        <v>500</v>
      </c>
      <c r="G58" s="35" t="b">
        <v>1</v>
      </c>
      <c r="H58" s="39" t="s">
        <v>15</v>
      </c>
      <c r="I58" s="35" t="s">
        <v>3043</v>
      </c>
      <c r="J58" s="35">
        <v>2</v>
      </c>
      <c r="K58" s="35" t="s">
        <v>4203</v>
      </c>
      <c r="L58" s="35" t="s">
        <v>4201</v>
      </c>
      <c r="M58" s="35" t="s">
        <v>4073</v>
      </c>
      <c r="N58" s="35" t="s">
        <v>4201</v>
      </c>
      <c r="O58" s="35" t="s">
        <v>4201</v>
      </c>
      <c r="P58" s="35" t="s">
        <v>4201</v>
      </c>
      <c r="Q58" s="35" t="s">
        <v>2449</v>
      </c>
      <c r="R58" s="35" t="s">
        <v>4160</v>
      </c>
      <c r="S58" s="35"/>
      <c r="T58" s="35"/>
    </row>
    <row r="59" spans="1:20" ht="14">
      <c r="A59" s="35" t="s">
        <v>4395</v>
      </c>
      <c r="B59" s="35"/>
      <c r="C59" s="35"/>
      <c r="D59" s="35" t="s">
        <v>4394</v>
      </c>
      <c r="E59" s="35"/>
      <c r="F59" s="35">
        <v>550</v>
      </c>
      <c r="G59" s="35" t="b">
        <v>0</v>
      </c>
      <c r="H59" s="39" t="s">
        <v>15</v>
      </c>
      <c r="I59" s="35" t="s">
        <v>37</v>
      </c>
      <c r="J59" s="35">
        <v>0</v>
      </c>
      <c r="K59" s="35" t="s">
        <v>4203</v>
      </c>
      <c r="L59" s="35" t="s">
        <v>4201</v>
      </c>
      <c r="M59" s="35" t="s">
        <v>4073</v>
      </c>
      <c r="N59" s="35" t="s">
        <v>4201</v>
      </c>
      <c r="O59" s="35" t="s">
        <v>4201</v>
      </c>
      <c r="P59" s="35" t="s">
        <v>4201</v>
      </c>
      <c r="Q59" s="35" t="s">
        <v>2449</v>
      </c>
      <c r="R59" s="35" t="s">
        <v>4160</v>
      </c>
      <c r="S59" s="35"/>
      <c r="T59" s="35"/>
    </row>
    <row r="60" spans="1:20" ht="14">
      <c r="A60" s="35" t="s">
        <v>96</v>
      </c>
      <c r="B60" s="35"/>
      <c r="C60" s="35" t="s">
        <v>4155</v>
      </c>
      <c r="D60" s="35" t="s">
        <v>97</v>
      </c>
      <c r="E60" s="35"/>
      <c r="F60" s="35">
        <v>650</v>
      </c>
      <c r="G60" s="35" t="b">
        <v>0</v>
      </c>
      <c r="H60" s="39" t="s">
        <v>15</v>
      </c>
      <c r="I60" s="35" t="s">
        <v>95</v>
      </c>
      <c r="J60" s="35">
        <v>0</v>
      </c>
      <c r="K60" s="35" t="s">
        <v>4214</v>
      </c>
      <c r="L60" s="35" t="s">
        <v>4201</v>
      </c>
      <c r="M60" s="35" t="s">
        <v>4073</v>
      </c>
      <c r="N60" s="35" t="s">
        <v>4201</v>
      </c>
      <c r="O60" s="35" t="s">
        <v>95</v>
      </c>
      <c r="P60" s="35" t="s">
        <v>4201</v>
      </c>
      <c r="Q60" s="35" t="s">
        <v>4201</v>
      </c>
      <c r="R60" s="35" t="s">
        <v>4201</v>
      </c>
      <c r="S60" s="35"/>
      <c r="T60" s="35"/>
    </row>
    <row r="61" spans="1:20" ht="14">
      <c r="A61" s="36" t="s">
        <v>100</v>
      </c>
      <c r="B61" s="36"/>
      <c r="C61" s="36" t="s">
        <v>4501</v>
      </c>
      <c r="D61" s="35" t="s">
        <v>2711</v>
      </c>
      <c r="E61" s="35"/>
      <c r="F61" s="35">
        <v>800</v>
      </c>
      <c r="G61" s="35" t="b">
        <v>0</v>
      </c>
      <c r="H61" s="39" t="s">
        <v>15</v>
      </c>
      <c r="I61" s="35" t="s">
        <v>3772</v>
      </c>
      <c r="J61" s="35">
        <v>0</v>
      </c>
      <c r="K61" s="35" t="s">
        <v>4203</v>
      </c>
      <c r="L61" s="35" t="s">
        <v>4201</v>
      </c>
      <c r="M61" s="35" t="s">
        <v>4073</v>
      </c>
      <c r="N61" s="35" t="s">
        <v>4201</v>
      </c>
      <c r="O61" s="35" t="s">
        <v>4201</v>
      </c>
      <c r="P61" s="35" t="s">
        <v>4201</v>
      </c>
      <c r="Q61" s="35" t="s">
        <v>2449</v>
      </c>
      <c r="R61" s="35" t="s">
        <v>4160</v>
      </c>
      <c r="S61" s="35"/>
      <c r="T61" s="35"/>
    </row>
    <row r="62" spans="1:20" ht="14">
      <c r="A62" s="35" t="s">
        <v>2880</v>
      </c>
      <c r="B62" s="35"/>
      <c r="C62" s="35"/>
      <c r="D62" s="35" t="s">
        <v>2881</v>
      </c>
      <c r="E62" s="35"/>
      <c r="F62" s="35">
        <v>600</v>
      </c>
      <c r="G62" s="35" t="b">
        <v>0</v>
      </c>
      <c r="H62" s="39" t="s">
        <v>15</v>
      </c>
      <c r="I62" s="35" t="s">
        <v>37</v>
      </c>
      <c r="J62" s="35">
        <v>0</v>
      </c>
      <c r="K62" s="35"/>
      <c r="L62" s="35" t="s">
        <v>4201</v>
      </c>
      <c r="M62" s="35" t="s">
        <v>4201</v>
      </c>
      <c r="N62" s="35" t="s">
        <v>4201</v>
      </c>
      <c r="O62" s="35" t="s">
        <v>4201</v>
      </c>
      <c r="P62" s="35" t="s">
        <v>4201</v>
      </c>
      <c r="Q62" s="35" t="s">
        <v>4201</v>
      </c>
      <c r="R62" s="35" t="s">
        <v>4201</v>
      </c>
      <c r="S62" s="35"/>
      <c r="T62" s="35"/>
    </row>
    <row r="63" spans="1:20" ht="14">
      <c r="A63" s="36" t="s">
        <v>4090</v>
      </c>
      <c r="B63" s="35" t="s">
        <v>4502</v>
      </c>
      <c r="C63" s="35"/>
      <c r="D63" s="36" t="s">
        <v>4103</v>
      </c>
      <c r="E63" s="36" t="s">
        <v>1177</v>
      </c>
      <c r="F63" s="35">
        <v>500</v>
      </c>
      <c r="G63" s="35" t="b">
        <v>1</v>
      </c>
      <c r="H63" s="39" t="s">
        <v>15</v>
      </c>
      <c r="I63" s="35" t="s">
        <v>95</v>
      </c>
      <c r="J63" s="35">
        <v>0</v>
      </c>
      <c r="K63" s="35" t="s">
        <v>4214</v>
      </c>
      <c r="L63" s="35" t="s">
        <v>4201</v>
      </c>
      <c r="M63" s="35" t="s">
        <v>4073</v>
      </c>
      <c r="N63" s="35" t="s">
        <v>4201</v>
      </c>
      <c r="O63" s="35" t="s">
        <v>95</v>
      </c>
      <c r="P63" s="35" t="s">
        <v>4201</v>
      </c>
      <c r="Q63" s="35" t="s">
        <v>4201</v>
      </c>
      <c r="R63" s="35" t="s">
        <v>4201</v>
      </c>
      <c r="S63" s="35"/>
      <c r="T63" s="35"/>
    </row>
    <row r="64" spans="1:20" ht="14">
      <c r="A64" s="35" t="s">
        <v>4025</v>
      </c>
      <c r="B64" s="35"/>
      <c r="C64" s="35"/>
      <c r="D64" s="35" t="s">
        <v>2892</v>
      </c>
      <c r="E64" s="35"/>
      <c r="F64" s="35">
        <v>500</v>
      </c>
      <c r="G64" s="35" t="b">
        <v>0</v>
      </c>
      <c r="H64" s="39" t="s">
        <v>15</v>
      </c>
      <c r="I64" s="35" t="s">
        <v>37</v>
      </c>
      <c r="J64" s="35">
        <v>0</v>
      </c>
      <c r="K64" s="35" t="s">
        <v>4203</v>
      </c>
      <c r="L64" s="35" t="s">
        <v>4201</v>
      </c>
      <c r="M64" s="35" t="s">
        <v>4073</v>
      </c>
      <c r="N64" s="35" t="s">
        <v>4201</v>
      </c>
      <c r="O64" s="35" t="s">
        <v>4201</v>
      </c>
      <c r="P64" s="35" t="s">
        <v>4201</v>
      </c>
      <c r="Q64" s="35" t="s">
        <v>2449</v>
      </c>
      <c r="R64" s="35" t="s">
        <v>4160</v>
      </c>
      <c r="S64" s="35"/>
      <c r="T64" s="35"/>
    </row>
    <row r="65" spans="1:1012" ht="14">
      <c r="A65" s="36" t="s">
        <v>4104</v>
      </c>
      <c r="B65" s="35" t="s">
        <v>4106</v>
      </c>
      <c r="C65" s="35"/>
      <c r="D65" s="36" t="s">
        <v>4123</v>
      </c>
      <c r="E65" s="36" t="s">
        <v>4105</v>
      </c>
      <c r="F65" s="35">
        <v>500</v>
      </c>
      <c r="G65" s="35" t="b">
        <v>1</v>
      </c>
      <c r="H65" s="39" t="s">
        <v>15</v>
      </c>
      <c r="I65" s="35" t="s">
        <v>95</v>
      </c>
      <c r="J65" s="35">
        <v>0</v>
      </c>
      <c r="K65" s="35" t="s">
        <v>4214</v>
      </c>
      <c r="L65" s="35" t="s">
        <v>4201</v>
      </c>
      <c r="M65" s="35" t="s">
        <v>4073</v>
      </c>
      <c r="N65" s="35" t="s">
        <v>4201</v>
      </c>
      <c r="O65" s="35" t="s">
        <v>95</v>
      </c>
      <c r="P65" s="35" t="s">
        <v>4201</v>
      </c>
      <c r="Q65" s="35" t="s">
        <v>4201</v>
      </c>
      <c r="R65" s="35" t="s">
        <v>4201</v>
      </c>
      <c r="S65" s="35"/>
      <c r="T65" s="35"/>
    </row>
    <row r="66" spans="1:1012" ht="14">
      <c r="A66" s="35" t="s">
        <v>53</v>
      </c>
      <c r="B66" s="35"/>
      <c r="C66" s="36" t="s">
        <v>3893</v>
      </c>
      <c r="D66" s="35" t="s">
        <v>54</v>
      </c>
      <c r="E66" s="35"/>
      <c r="F66" s="35">
        <v>200</v>
      </c>
      <c r="G66" s="35" t="b">
        <v>0</v>
      </c>
      <c r="H66" s="39" t="s">
        <v>15</v>
      </c>
      <c r="I66" s="35" t="s">
        <v>55</v>
      </c>
      <c r="J66" s="35">
        <v>0</v>
      </c>
      <c r="K66" s="35" t="s">
        <v>4203</v>
      </c>
      <c r="L66" s="35" t="s">
        <v>4201</v>
      </c>
      <c r="M66" s="35" t="s">
        <v>4073</v>
      </c>
      <c r="N66" s="35" t="s">
        <v>4201</v>
      </c>
      <c r="O66" s="35" t="s">
        <v>4201</v>
      </c>
      <c r="P66" s="35" t="s">
        <v>4201</v>
      </c>
      <c r="Q66" s="35" t="s">
        <v>2449</v>
      </c>
      <c r="R66" s="35" t="s">
        <v>4201</v>
      </c>
      <c r="S66" s="35"/>
      <c r="T66" s="35"/>
    </row>
    <row r="67" spans="1:1012" ht="14">
      <c r="A67" s="35" t="s">
        <v>2712</v>
      </c>
      <c r="B67" s="35"/>
      <c r="C67" s="35" t="s">
        <v>4364</v>
      </c>
      <c r="D67" s="35" t="s">
        <v>3155</v>
      </c>
      <c r="E67" s="35"/>
      <c r="F67" s="35">
        <v>500</v>
      </c>
      <c r="G67" s="35" t="b">
        <v>1</v>
      </c>
      <c r="H67" s="39" t="s">
        <v>17</v>
      </c>
      <c r="I67" s="35" t="s">
        <v>37</v>
      </c>
      <c r="J67" s="35">
        <v>0</v>
      </c>
      <c r="K67" s="35" t="s">
        <v>4203</v>
      </c>
      <c r="L67" s="35" t="s">
        <v>4201</v>
      </c>
      <c r="M67" s="35" t="s">
        <v>4073</v>
      </c>
      <c r="N67" s="35" t="s">
        <v>4201</v>
      </c>
      <c r="O67" s="35" t="s">
        <v>4201</v>
      </c>
      <c r="P67" s="35" t="s">
        <v>4201</v>
      </c>
      <c r="Q67" s="35" t="s">
        <v>2449</v>
      </c>
      <c r="R67" s="35" t="s">
        <v>4160</v>
      </c>
      <c r="S67" s="35"/>
      <c r="T67" s="35"/>
    </row>
    <row r="68" spans="1:1012" ht="14">
      <c r="A68" s="26" t="s">
        <v>4071</v>
      </c>
      <c r="B68" s="26"/>
      <c r="C68" s="35"/>
      <c r="D68" s="36" t="s">
        <v>4072</v>
      </c>
      <c r="E68" s="36" t="s">
        <v>3160</v>
      </c>
      <c r="F68" s="35">
        <v>500</v>
      </c>
      <c r="G68" s="35" t="b">
        <v>1</v>
      </c>
      <c r="H68" s="39" t="s">
        <v>15</v>
      </c>
      <c r="I68" s="35" t="s">
        <v>3043</v>
      </c>
      <c r="J68" s="35">
        <v>2</v>
      </c>
      <c r="K68" s="35" t="s">
        <v>4203</v>
      </c>
      <c r="L68" s="35" t="s">
        <v>4201</v>
      </c>
      <c r="M68" s="35" t="s">
        <v>4073</v>
      </c>
      <c r="N68" s="35" t="s">
        <v>4201</v>
      </c>
      <c r="O68" s="35" t="s">
        <v>4201</v>
      </c>
      <c r="P68" s="35" t="s">
        <v>4201</v>
      </c>
      <c r="Q68" s="35" t="s">
        <v>2449</v>
      </c>
      <c r="R68" s="35" t="s">
        <v>4160</v>
      </c>
      <c r="S68" s="35"/>
      <c r="T68" s="35"/>
    </row>
    <row r="69" spans="1:1012" ht="14">
      <c r="A69" s="35" t="s">
        <v>168</v>
      </c>
      <c r="B69" s="35"/>
      <c r="C69" s="35"/>
      <c r="D69" s="35" t="s">
        <v>169</v>
      </c>
      <c r="E69" s="35"/>
      <c r="F69" s="35">
        <v>550</v>
      </c>
      <c r="G69" s="35" t="b">
        <v>0</v>
      </c>
      <c r="H69" s="39" t="s">
        <v>15</v>
      </c>
      <c r="I69" s="35" t="s">
        <v>165</v>
      </c>
      <c r="J69" s="35">
        <v>0</v>
      </c>
      <c r="K69" s="35" t="s">
        <v>4202</v>
      </c>
      <c r="L69" s="35" t="s">
        <v>4201</v>
      </c>
      <c r="M69" s="35" t="s">
        <v>4073</v>
      </c>
      <c r="N69" s="35" t="s">
        <v>165</v>
      </c>
      <c r="O69" s="35" t="s">
        <v>4201</v>
      </c>
      <c r="P69" s="35" t="s">
        <v>4201</v>
      </c>
      <c r="Q69" s="35" t="s">
        <v>4201</v>
      </c>
      <c r="R69" s="35" t="s">
        <v>4201</v>
      </c>
      <c r="S69" s="35"/>
      <c r="T69" s="35"/>
    </row>
    <row r="70" spans="1:1012" ht="14">
      <c r="A70" s="36" t="s">
        <v>81</v>
      </c>
      <c r="B70" s="36"/>
      <c r="C70" s="36"/>
      <c r="D70" s="35" t="s">
        <v>117</v>
      </c>
      <c r="E70" s="35"/>
      <c r="F70" s="35">
        <v>500</v>
      </c>
      <c r="G70" s="35" t="b">
        <v>0</v>
      </c>
      <c r="H70" s="39" t="s">
        <v>15</v>
      </c>
      <c r="I70" s="35" t="s">
        <v>21</v>
      </c>
      <c r="J70" s="35">
        <v>2</v>
      </c>
      <c r="K70" s="35" t="s">
        <v>4213</v>
      </c>
      <c r="L70" s="35" t="s">
        <v>4201</v>
      </c>
      <c r="M70" s="35" t="s">
        <v>4073</v>
      </c>
      <c r="N70" s="35" t="s">
        <v>4201</v>
      </c>
      <c r="O70" s="35" t="s">
        <v>4201</v>
      </c>
      <c r="P70" s="35" t="s">
        <v>4208</v>
      </c>
      <c r="Q70" s="35" t="s">
        <v>2449</v>
      </c>
      <c r="R70" s="35" t="s">
        <v>4160</v>
      </c>
      <c r="S70" s="35"/>
      <c r="T70" s="35"/>
    </row>
    <row r="71" spans="1:1012" ht="14">
      <c r="A71" s="36" t="s">
        <v>99</v>
      </c>
      <c r="B71" s="36" t="s">
        <v>4014</v>
      </c>
      <c r="C71" s="36"/>
      <c r="D71" s="36" t="s">
        <v>3137</v>
      </c>
      <c r="E71" s="36"/>
      <c r="F71" s="35">
        <v>500</v>
      </c>
      <c r="G71" s="35" t="b">
        <v>1</v>
      </c>
      <c r="H71" s="39" t="s">
        <v>15</v>
      </c>
      <c r="I71" s="35" t="s">
        <v>21</v>
      </c>
      <c r="J71" s="35">
        <v>2</v>
      </c>
      <c r="K71" s="35" t="s">
        <v>4203</v>
      </c>
      <c r="L71" s="35" t="s">
        <v>4201</v>
      </c>
      <c r="M71" s="35" t="s">
        <v>4073</v>
      </c>
      <c r="N71" s="35" t="s">
        <v>4201</v>
      </c>
      <c r="O71" s="35" t="s">
        <v>4201</v>
      </c>
      <c r="P71" s="35" t="s">
        <v>4201</v>
      </c>
      <c r="Q71" s="35" t="s">
        <v>2449</v>
      </c>
      <c r="R71" s="35" t="s">
        <v>4160</v>
      </c>
      <c r="S71" s="35"/>
      <c r="T71" s="35"/>
    </row>
    <row r="72" spans="1:1012" ht="14">
      <c r="A72" s="35" t="s">
        <v>4314</v>
      </c>
      <c r="B72" s="35" t="s">
        <v>4200</v>
      </c>
      <c r="C72" s="35"/>
      <c r="D72" s="35" t="s">
        <v>4315</v>
      </c>
      <c r="E72" s="35"/>
      <c r="F72" s="35">
        <v>500</v>
      </c>
      <c r="G72" s="35" t="b">
        <v>1</v>
      </c>
      <c r="H72" s="39" t="s">
        <v>15</v>
      </c>
      <c r="I72" s="35" t="s">
        <v>37</v>
      </c>
      <c r="J72" s="35">
        <v>0</v>
      </c>
      <c r="K72" s="35" t="s">
        <v>4203</v>
      </c>
      <c r="L72" s="35" t="s">
        <v>4201</v>
      </c>
      <c r="M72" s="35" t="s">
        <v>4073</v>
      </c>
      <c r="N72" s="35" t="s">
        <v>4201</v>
      </c>
      <c r="O72" s="35" t="s">
        <v>4201</v>
      </c>
      <c r="P72" s="35" t="s">
        <v>4201</v>
      </c>
      <c r="Q72" s="35" t="s">
        <v>2449</v>
      </c>
      <c r="R72" s="35" t="s">
        <v>4160</v>
      </c>
      <c r="S72" s="35"/>
      <c r="T72" s="35"/>
    </row>
    <row r="73" spans="1:1012" s="17" customFormat="1" ht="14">
      <c r="A73" s="35" t="s">
        <v>4318</v>
      </c>
      <c r="B73" s="35" t="s">
        <v>4200</v>
      </c>
      <c r="C73" s="26"/>
      <c r="D73" s="35" t="s">
        <v>4319</v>
      </c>
      <c r="E73" s="35"/>
      <c r="F73" s="35">
        <v>500</v>
      </c>
      <c r="G73" s="35" t="b">
        <v>1</v>
      </c>
      <c r="H73" s="39" t="s">
        <v>15</v>
      </c>
      <c r="I73" s="35" t="s">
        <v>37</v>
      </c>
      <c r="J73" s="35">
        <v>0</v>
      </c>
      <c r="K73" s="35" t="s">
        <v>4203</v>
      </c>
      <c r="L73" s="35" t="s">
        <v>4201</v>
      </c>
      <c r="M73" s="35" t="s">
        <v>4073</v>
      </c>
      <c r="N73" s="35" t="s">
        <v>4201</v>
      </c>
      <c r="O73" s="35" t="s">
        <v>4201</v>
      </c>
      <c r="P73" s="35" t="s">
        <v>4201</v>
      </c>
      <c r="Q73" s="35" t="s">
        <v>2449</v>
      </c>
      <c r="R73" s="35" t="s">
        <v>4160</v>
      </c>
      <c r="S73" s="35"/>
      <c r="T73" s="35"/>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c r="FG73"/>
      <c r="FH73"/>
      <c r="FI73"/>
      <c r="FJ73"/>
      <c r="FK73"/>
      <c r="FL73"/>
      <c r="FM73"/>
      <c r="FN73"/>
      <c r="FO73"/>
      <c r="FP73"/>
      <c r="FQ73"/>
      <c r="FR73"/>
      <c r="FS73"/>
      <c r="FT73"/>
      <c r="FU73"/>
      <c r="FV73"/>
      <c r="FW73"/>
      <c r="FX73"/>
      <c r="FY73"/>
      <c r="FZ73"/>
      <c r="GA73"/>
      <c r="GB73"/>
      <c r="GC73"/>
      <c r="GD73"/>
      <c r="GE73"/>
      <c r="GF73"/>
      <c r="GG73"/>
      <c r="GH73"/>
      <c r="GI73"/>
      <c r="GJ73"/>
      <c r="GK73"/>
      <c r="GL73"/>
      <c r="GM73"/>
      <c r="GN73"/>
      <c r="GO73"/>
      <c r="GP73"/>
      <c r="GQ73"/>
      <c r="GR73"/>
      <c r="GS73"/>
      <c r="GT73"/>
      <c r="GU73"/>
      <c r="GV73"/>
      <c r="GW73"/>
      <c r="GX73"/>
      <c r="GY73"/>
      <c r="GZ73"/>
      <c r="HA73"/>
      <c r="HB73"/>
      <c r="HC73"/>
      <c r="HD73"/>
      <c r="HE73"/>
      <c r="HF73"/>
      <c r="HG73"/>
      <c r="HH73"/>
      <c r="HI73"/>
      <c r="HJ73"/>
      <c r="HK73"/>
      <c r="HL73"/>
      <c r="HM73"/>
      <c r="HN73"/>
      <c r="HO73"/>
      <c r="HP73"/>
      <c r="HQ73"/>
      <c r="HR73"/>
      <c r="HS73"/>
      <c r="HT73"/>
      <c r="HU73"/>
      <c r="HV73"/>
      <c r="HW73"/>
      <c r="HX73"/>
      <c r="HY73"/>
      <c r="HZ73"/>
      <c r="IA73"/>
      <c r="IB73"/>
      <c r="IC73"/>
      <c r="ID73"/>
      <c r="IE73"/>
      <c r="IF73"/>
      <c r="IG73"/>
      <c r="IH73"/>
      <c r="II73"/>
      <c r="IJ73"/>
      <c r="IK73"/>
      <c r="IL73"/>
      <c r="IM73"/>
      <c r="IN73"/>
      <c r="IO73"/>
      <c r="IP73"/>
      <c r="IQ73"/>
      <c r="IR73"/>
      <c r="IS73"/>
      <c r="IT73"/>
      <c r="IU73"/>
      <c r="IV73"/>
      <c r="IW73"/>
      <c r="IX73"/>
      <c r="IY73"/>
      <c r="IZ73"/>
      <c r="JA73"/>
      <c r="JB73"/>
      <c r="JC73"/>
      <c r="JD73"/>
      <c r="JE73"/>
      <c r="JF73"/>
      <c r="JG73"/>
      <c r="JH73"/>
      <c r="JI73"/>
      <c r="JJ73"/>
      <c r="JK73"/>
      <c r="JL73"/>
      <c r="JM73"/>
      <c r="JN73"/>
      <c r="JO73"/>
      <c r="JP73"/>
      <c r="JQ73"/>
      <c r="JR73"/>
      <c r="JS73"/>
      <c r="JT73"/>
      <c r="JU73"/>
      <c r="JV73"/>
      <c r="JW73"/>
      <c r="JX73"/>
      <c r="JY73"/>
      <c r="JZ73"/>
      <c r="KA73"/>
      <c r="KB73"/>
      <c r="KC73"/>
      <c r="KD73"/>
      <c r="KE73"/>
      <c r="KF73"/>
      <c r="KG73"/>
      <c r="KH73"/>
      <c r="KI73"/>
      <c r="KJ73"/>
      <c r="KK73"/>
      <c r="KL73"/>
      <c r="KM73"/>
      <c r="KN73"/>
      <c r="KO73"/>
      <c r="KP73"/>
      <c r="KQ73"/>
      <c r="KR73"/>
      <c r="KS73"/>
      <c r="KT73"/>
      <c r="KU73"/>
      <c r="KV73"/>
      <c r="KW73"/>
      <c r="KX73"/>
      <c r="KY73"/>
      <c r="KZ73"/>
      <c r="LA73"/>
      <c r="LB73"/>
      <c r="LC73"/>
      <c r="LD73"/>
      <c r="LE73"/>
      <c r="LF73"/>
      <c r="LG73"/>
      <c r="LH73"/>
      <c r="LI73"/>
      <c r="LJ73"/>
      <c r="LK73"/>
      <c r="LL73"/>
      <c r="LM73"/>
      <c r="LN73"/>
      <c r="LO73"/>
      <c r="LP73"/>
      <c r="LQ73"/>
      <c r="LR73"/>
      <c r="LS73"/>
      <c r="LT73"/>
      <c r="LU73"/>
      <c r="LV73"/>
      <c r="LW73"/>
      <c r="LX73"/>
      <c r="LY73"/>
      <c r="LZ73"/>
      <c r="MA73"/>
      <c r="MB73"/>
      <c r="MC73"/>
      <c r="MD73"/>
      <c r="ME73"/>
      <c r="MF73"/>
      <c r="MG73"/>
      <c r="MH73"/>
      <c r="MI73"/>
      <c r="MJ73"/>
      <c r="MK73"/>
      <c r="ML73"/>
      <c r="MM73"/>
      <c r="MN73"/>
      <c r="MO73"/>
      <c r="MP73"/>
      <c r="MQ73"/>
      <c r="MR73"/>
      <c r="MS73"/>
      <c r="MT73"/>
      <c r="MU73"/>
      <c r="MV73"/>
      <c r="MW73"/>
      <c r="MX73"/>
      <c r="MY73"/>
      <c r="MZ73"/>
      <c r="NA73"/>
      <c r="NB73"/>
      <c r="NC73"/>
      <c r="ND73"/>
      <c r="NE73"/>
      <c r="NF73"/>
      <c r="NG73"/>
      <c r="NH73"/>
      <c r="NI73"/>
      <c r="NJ73"/>
      <c r="NK73"/>
      <c r="NL73"/>
      <c r="NM73"/>
      <c r="NN73"/>
      <c r="NO73"/>
      <c r="NP73"/>
      <c r="NQ73"/>
      <c r="NR73"/>
      <c r="NS73"/>
      <c r="NT73"/>
      <c r="NU73"/>
      <c r="NV73"/>
      <c r="NW73"/>
      <c r="NX73"/>
      <c r="NY73"/>
      <c r="NZ73"/>
      <c r="OA73"/>
      <c r="OB73"/>
      <c r="OC73"/>
      <c r="OD73"/>
      <c r="OE73"/>
      <c r="OF73"/>
      <c r="OG73"/>
      <c r="OH73"/>
      <c r="OI73"/>
      <c r="OJ73"/>
      <c r="OK73"/>
      <c r="OL73"/>
      <c r="OM73"/>
      <c r="ON73"/>
      <c r="OO73"/>
      <c r="OP73"/>
      <c r="OQ73"/>
      <c r="OR73"/>
      <c r="OS73"/>
      <c r="OT73"/>
      <c r="OU73"/>
      <c r="OV73"/>
      <c r="OW73"/>
      <c r="OX73"/>
      <c r="OY73"/>
      <c r="OZ73"/>
      <c r="PA73"/>
      <c r="PB73"/>
      <c r="PC73"/>
      <c r="PD73"/>
      <c r="PE73"/>
      <c r="PF73"/>
      <c r="PG73"/>
      <c r="PH73"/>
      <c r="PI73"/>
      <c r="PJ73"/>
      <c r="PK73"/>
      <c r="PL73"/>
      <c r="PM73"/>
      <c r="PN73"/>
      <c r="PO73"/>
      <c r="PP73"/>
      <c r="PQ73"/>
      <c r="PR73"/>
      <c r="PS73"/>
      <c r="PT73"/>
      <c r="PU73"/>
      <c r="PV73"/>
      <c r="PW73"/>
      <c r="PX73"/>
      <c r="PY73"/>
      <c r="PZ73"/>
      <c r="QA73"/>
      <c r="QB73"/>
      <c r="QC73"/>
      <c r="QD73"/>
      <c r="QE73"/>
      <c r="QF73"/>
      <c r="QG73"/>
      <c r="QH73"/>
      <c r="QI73"/>
      <c r="QJ73"/>
      <c r="QK73"/>
      <c r="QL73"/>
      <c r="QM73"/>
      <c r="QN73"/>
      <c r="QO73"/>
      <c r="QP73"/>
      <c r="QQ73"/>
      <c r="QR73"/>
      <c r="QS73"/>
      <c r="QT73"/>
      <c r="QU73"/>
      <c r="QV73"/>
      <c r="QW73"/>
      <c r="QX73"/>
      <c r="QY73"/>
      <c r="QZ73"/>
      <c r="RA73"/>
      <c r="RB73"/>
      <c r="RC73"/>
      <c r="RD73"/>
      <c r="RE73"/>
      <c r="RF73"/>
      <c r="RG73"/>
      <c r="RH73"/>
      <c r="RI73"/>
      <c r="RJ73"/>
      <c r="RK73"/>
      <c r="RL73"/>
      <c r="RM73"/>
      <c r="RN73"/>
      <c r="RO73"/>
      <c r="RP73"/>
      <c r="RQ73"/>
      <c r="RR73"/>
      <c r="RS73"/>
      <c r="RT73"/>
      <c r="RU73"/>
      <c r="RV73"/>
      <c r="RW73"/>
      <c r="RX73"/>
      <c r="RY73"/>
      <c r="RZ73"/>
      <c r="SA73"/>
      <c r="SB73"/>
      <c r="SC73"/>
      <c r="SD73"/>
      <c r="SE73"/>
      <c r="SF73"/>
      <c r="SG73"/>
      <c r="SH73"/>
      <c r="SI73"/>
      <c r="SJ73"/>
      <c r="SK73"/>
      <c r="SL73"/>
      <c r="SM73"/>
      <c r="SN73"/>
      <c r="SO73"/>
      <c r="SP73"/>
      <c r="SQ73"/>
      <c r="SR73"/>
      <c r="SS73"/>
      <c r="ST73"/>
      <c r="SU73"/>
      <c r="SV73"/>
      <c r="SW73"/>
      <c r="SX73"/>
      <c r="SY73"/>
      <c r="SZ73"/>
      <c r="TA73"/>
      <c r="TB73"/>
      <c r="TC73"/>
      <c r="TD73"/>
      <c r="TE73"/>
      <c r="TF73"/>
      <c r="TG73"/>
      <c r="TH73"/>
      <c r="TI73"/>
      <c r="TJ73"/>
      <c r="TK73"/>
      <c r="TL73"/>
      <c r="TM73"/>
      <c r="TN73"/>
      <c r="TO73"/>
      <c r="TP73"/>
      <c r="TQ73"/>
      <c r="TR73"/>
      <c r="TS73"/>
      <c r="TT73"/>
      <c r="TU73"/>
      <c r="TV73"/>
      <c r="TW73"/>
      <c r="TX73"/>
      <c r="TY73"/>
      <c r="TZ73"/>
      <c r="UA73"/>
      <c r="UB73"/>
      <c r="UC73"/>
      <c r="UD73"/>
      <c r="UE73"/>
      <c r="UF73"/>
      <c r="UG73"/>
      <c r="UH73"/>
      <c r="UI73"/>
      <c r="UJ73"/>
      <c r="UK73"/>
      <c r="UL73"/>
      <c r="UM73"/>
      <c r="UN73"/>
      <c r="UO73"/>
      <c r="UP73"/>
      <c r="UQ73"/>
      <c r="UR73"/>
      <c r="US73"/>
      <c r="UT73"/>
      <c r="UU73"/>
      <c r="UV73"/>
      <c r="UW73"/>
      <c r="UX73"/>
      <c r="UY73"/>
      <c r="UZ73"/>
      <c r="VA73"/>
      <c r="VB73"/>
      <c r="VC73"/>
      <c r="VD73"/>
      <c r="VE73"/>
      <c r="VF73"/>
      <c r="VG73"/>
      <c r="VH73"/>
      <c r="VI73"/>
      <c r="VJ73"/>
      <c r="VK73"/>
      <c r="VL73"/>
      <c r="VM73"/>
      <c r="VN73"/>
      <c r="VO73"/>
      <c r="VP73"/>
      <c r="VQ73"/>
      <c r="VR73"/>
      <c r="VS73"/>
      <c r="VT73"/>
      <c r="VU73"/>
      <c r="VV73"/>
      <c r="VW73"/>
      <c r="VX73"/>
      <c r="VY73"/>
      <c r="VZ73"/>
      <c r="WA73"/>
      <c r="WB73"/>
      <c r="WC73"/>
      <c r="WD73"/>
      <c r="WE73"/>
      <c r="WF73"/>
      <c r="WG73"/>
      <c r="WH73"/>
      <c r="WI73"/>
      <c r="WJ73"/>
      <c r="WK73"/>
      <c r="WL73"/>
      <c r="WM73"/>
      <c r="WN73"/>
      <c r="WO73"/>
      <c r="WP73"/>
      <c r="WQ73"/>
      <c r="WR73"/>
      <c r="WS73"/>
      <c r="WT73"/>
      <c r="WU73"/>
      <c r="WV73"/>
      <c r="WW73"/>
      <c r="WX73"/>
      <c r="WY73"/>
      <c r="WZ73"/>
      <c r="XA73"/>
      <c r="XB73"/>
      <c r="XC73"/>
      <c r="XD73"/>
      <c r="XE73"/>
      <c r="XF73"/>
      <c r="XG73"/>
      <c r="XH73"/>
      <c r="XI73"/>
      <c r="XJ73"/>
      <c r="XK73"/>
      <c r="XL73"/>
      <c r="XM73"/>
      <c r="XN73"/>
      <c r="XO73"/>
      <c r="XP73"/>
      <c r="XQ73"/>
      <c r="XR73"/>
      <c r="XS73"/>
      <c r="XT73"/>
      <c r="XU73"/>
      <c r="XV73"/>
      <c r="XW73"/>
      <c r="XX73"/>
      <c r="XY73"/>
      <c r="XZ73"/>
      <c r="YA73"/>
      <c r="YB73"/>
      <c r="YC73"/>
      <c r="YD73"/>
      <c r="YE73"/>
      <c r="YF73"/>
      <c r="YG73"/>
      <c r="YH73"/>
      <c r="YI73"/>
      <c r="YJ73"/>
      <c r="YK73"/>
      <c r="YL73"/>
      <c r="YM73"/>
      <c r="YN73"/>
      <c r="YO73"/>
      <c r="YP73"/>
      <c r="YQ73"/>
      <c r="YR73"/>
      <c r="YS73"/>
      <c r="YT73"/>
      <c r="YU73"/>
      <c r="YV73"/>
      <c r="YW73"/>
      <c r="YX73"/>
      <c r="YY73"/>
      <c r="YZ73"/>
      <c r="ZA73"/>
      <c r="ZB73"/>
      <c r="ZC73"/>
      <c r="ZD73"/>
      <c r="ZE73"/>
      <c r="ZF73"/>
      <c r="ZG73"/>
      <c r="ZH73"/>
      <c r="ZI73"/>
      <c r="ZJ73"/>
      <c r="ZK73"/>
      <c r="ZL73"/>
      <c r="ZM73"/>
      <c r="ZN73"/>
      <c r="ZO73"/>
      <c r="ZP73"/>
      <c r="ZQ73"/>
      <c r="ZR73"/>
      <c r="ZS73"/>
      <c r="ZT73"/>
      <c r="ZU73"/>
      <c r="ZV73"/>
      <c r="ZW73"/>
      <c r="ZX73"/>
      <c r="ZY73"/>
      <c r="ZZ73"/>
      <c r="AAA73"/>
      <c r="AAB73"/>
      <c r="AAC73"/>
      <c r="AAD73"/>
      <c r="AAE73"/>
      <c r="AAF73"/>
      <c r="AAG73"/>
      <c r="AAH73"/>
      <c r="AAI73"/>
      <c r="AAJ73"/>
      <c r="AAK73"/>
      <c r="AAL73"/>
      <c r="AAM73"/>
      <c r="AAN73"/>
      <c r="AAO73"/>
      <c r="AAP73"/>
      <c r="AAQ73"/>
      <c r="AAR73"/>
      <c r="AAS73"/>
      <c r="AAT73"/>
      <c r="AAU73"/>
      <c r="AAV73"/>
      <c r="AAW73"/>
      <c r="AAX73"/>
      <c r="AAY73"/>
      <c r="AAZ73"/>
      <c r="ABA73"/>
      <c r="ABB73"/>
      <c r="ABC73"/>
      <c r="ABD73"/>
      <c r="ABE73"/>
      <c r="ABF73"/>
      <c r="ABG73"/>
      <c r="ABH73"/>
      <c r="ABI73"/>
      <c r="ABJ73"/>
      <c r="ABK73"/>
      <c r="ABL73"/>
      <c r="ABM73"/>
      <c r="ABN73"/>
      <c r="ABO73"/>
      <c r="ABP73"/>
      <c r="ABQ73"/>
      <c r="ABR73"/>
      <c r="ABS73"/>
      <c r="ABT73"/>
      <c r="ABU73"/>
      <c r="ABV73"/>
      <c r="ABW73"/>
      <c r="ABX73"/>
      <c r="ABY73"/>
      <c r="ABZ73"/>
      <c r="ACA73"/>
      <c r="ACB73"/>
      <c r="ACC73"/>
      <c r="ACD73"/>
      <c r="ACE73"/>
      <c r="ACF73"/>
      <c r="ACG73"/>
      <c r="ACH73"/>
      <c r="ACI73"/>
      <c r="ACJ73"/>
      <c r="ACK73"/>
      <c r="ACL73"/>
      <c r="ACM73"/>
      <c r="ACN73"/>
      <c r="ACO73"/>
      <c r="ACP73"/>
      <c r="ACQ73"/>
      <c r="ACR73"/>
      <c r="ACS73"/>
      <c r="ACT73"/>
      <c r="ACU73"/>
      <c r="ACV73"/>
      <c r="ACW73"/>
      <c r="ACX73"/>
      <c r="ACY73"/>
      <c r="ACZ73"/>
      <c r="ADA73"/>
      <c r="ADB73"/>
      <c r="ADC73"/>
      <c r="ADD73"/>
      <c r="ADE73"/>
      <c r="ADF73"/>
      <c r="ADG73"/>
      <c r="ADH73"/>
      <c r="ADI73"/>
      <c r="ADJ73"/>
      <c r="ADK73"/>
      <c r="ADL73"/>
      <c r="ADM73"/>
      <c r="ADN73"/>
      <c r="ADO73"/>
      <c r="ADP73"/>
      <c r="ADQ73"/>
      <c r="ADR73"/>
      <c r="ADS73"/>
      <c r="ADT73"/>
      <c r="ADU73"/>
      <c r="ADV73"/>
      <c r="ADW73"/>
      <c r="ADX73"/>
      <c r="ADY73"/>
      <c r="ADZ73"/>
      <c r="AEA73"/>
      <c r="AEB73"/>
      <c r="AEC73"/>
      <c r="AED73"/>
      <c r="AEE73"/>
      <c r="AEF73"/>
      <c r="AEG73"/>
      <c r="AEH73"/>
      <c r="AEI73"/>
      <c r="AEJ73"/>
      <c r="AEK73"/>
      <c r="AEL73"/>
      <c r="AEM73"/>
      <c r="AEN73"/>
      <c r="AEO73"/>
      <c r="AEP73"/>
      <c r="AEQ73"/>
      <c r="AER73"/>
      <c r="AES73"/>
      <c r="AET73"/>
      <c r="AEU73"/>
      <c r="AEV73"/>
      <c r="AEW73"/>
      <c r="AEX73"/>
      <c r="AEY73"/>
      <c r="AEZ73"/>
      <c r="AFA73"/>
      <c r="AFB73"/>
      <c r="AFC73"/>
      <c r="AFD73"/>
      <c r="AFE73"/>
      <c r="AFF73"/>
      <c r="AFG73"/>
      <c r="AFH73"/>
      <c r="AFI73"/>
      <c r="AFJ73"/>
      <c r="AFK73"/>
      <c r="AFL73"/>
      <c r="AFM73"/>
      <c r="AFN73"/>
      <c r="AFO73"/>
      <c r="AFP73"/>
      <c r="AFQ73"/>
      <c r="AFR73"/>
      <c r="AFS73"/>
      <c r="AFT73"/>
      <c r="AFU73"/>
      <c r="AFV73"/>
      <c r="AFW73"/>
      <c r="AFX73"/>
      <c r="AFY73"/>
      <c r="AFZ73"/>
      <c r="AGA73"/>
      <c r="AGB73"/>
      <c r="AGC73"/>
      <c r="AGD73"/>
      <c r="AGE73"/>
      <c r="AGF73"/>
      <c r="AGG73"/>
      <c r="AGH73"/>
      <c r="AGI73"/>
      <c r="AGJ73"/>
      <c r="AGK73"/>
      <c r="AGL73"/>
      <c r="AGM73"/>
      <c r="AGN73"/>
      <c r="AGO73"/>
      <c r="AGP73"/>
      <c r="AGQ73"/>
      <c r="AGR73"/>
      <c r="AGS73"/>
      <c r="AGT73"/>
      <c r="AGU73"/>
      <c r="AGV73"/>
      <c r="AGW73"/>
      <c r="AGX73"/>
      <c r="AGY73"/>
      <c r="AGZ73"/>
      <c r="AHA73"/>
      <c r="AHB73"/>
      <c r="AHC73"/>
      <c r="AHD73"/>
      <c r="AHE73"/>
      <c r="AHF73"/>
      <c r="AHG73"/>
      <c r="AHH73"/>
      <c r="AHI73"/>
      <c r="AHJ73"/>
      <c r="AHK73"/>
      <c r="AHL73"/>
      <c r="AHM73"/>
      <c r="AHN73"/>
      <c r="AHO73"/>
      <c r="AHP73"/>
      <c r="AHQ73"/>
      <c r="AHR73"/>
      <c r="AHS73"/>
      <c r="AHT73"/>
      <c r="AHU73"/>
      <c r="AHV73"/>
      <c r="AHW73"/>
      <c r="AHX73"/>
      <c r="AHY73"/>
      <c r="AHZ73"/>
      <c r="AIA73"/>
      <c r="AIB73"/>
      <c r="AIC73"/>
      <c r="AID73"/>
      <c r="AIE73"/>
      <c r="AIF73"/>
      <c r="AIG73"/>
      <c r="AIH73"/>
      <c r="AII73"/>
      <c r="AIJ73"/>
      <c r="AIK73"/>
      <c r="AIL73"/>
      <c r="AIM73"/>
      <c r="AIN73"/>
      <c r="AIO73"/>
      <c r="AIP73"/>
      <c r="AIQ73"/>
      <c r="AIR73"/>
      <c r="AIS73"/>
      <c r="AIT73"/>
      <c r="AIU73"/>
      <c r="AIV73"/>
      <c r="AIW73"/>
      <c r="AIX73"/>
      <c r="AIY73"/>
      <c r="AIZ73"/>
      <c r="AJA73"/>
      <c r="AJB73"/>
      <c r="AJC73"/>
      <c r="AJD73"/>
      <c r="AJE73"/>
      <c r="AJF73"/>
      <c r="AJG73"/>
      <c r="AJH73"/>
      <c r="AJI73"/>
      <c r="AJJ73"/>
      <c r="AJK73"/>
      <c r="AJL73"/>
      <c r="AJM73"/>
      <c r="AJN73"/>
      <c r="AJO73"/>
      <c r="AJP73"/>
      <c r="AJQ73"/>
      <c r="AJR73"/>
      <c r="AJS73"/>
      <c r="AJT73"/>
      <c r="AJU73"/>
      <c r="AJV73"/>
      <c r="AJW73"/>
      <c r="AJX73"/>
      <c r="AJY73"/>
      <c r="AJZ73"/>
      <c r="AKA73"/>
      <c r="AKB73"/>
      <c r="AKC73"/>
      <c r="AKD73"/>
      <c r="AKE73"/>
      <c r="AKF73"/>
      <c r="AKG73"/>
      <c r="AKH73"/>
      <c r="AKI73"/>
      <c r="AKJ73"/>
      <c r="AKK73"/>
      <c r="AKL73"/>
      <c r="AKM73"/>
      <c r="AKN73"/>
      <c r="AKO73"/>
      <c r="AKP73"/>
      <c r="AKQ73"/>
      <c r="AKR73"/>
      <c r="AKS73"/>
      <c r="AKT73"/>
      <c r="AKU73"/>
      <c r="AKV73"/>
      <c r="AKW73"/>
      <c r="AKX73"/>
      <c r="AKY73"/>
      <c r="AKZ73"/>
      <c r="ALA73"/>
      <c r="ALB73"/>
      <c r="ALC73"/>
      <c r="ALD73"/>
      <c r="ALE73"/>
      <c r="ALF73"/>
      <c r="ALG73"/>
      <c r="ALH73"/>
      <c r="ALI73"/>
      <c r="ALJ73"/>
      <c r="ALK73"/>
      <c r="ALL73"/>
      <c r="ALM73"/>
      <c r="ALN73"/>
      <c r="ALO73"/>
      <c r="ALP73"/>
      <c r="ALQ73"/>
      <c r="ALR73"/>
      <c r="ALS73"/>
      <c r="ALT73"/>
      <c r="ALU73"/>
      <c r="ALV73"/>
      <c r="ALW73"/>
      <c r="ALX73"/>
    </row>
    <row r="74" spans="1:1012" ht="14">
      <c r="A74" s="35" t="s">
        <v>170</v>
      </c>
      <c r="B74" s="35"/>
      <c r="C74" s="35"/>
      <c r="D74" s="35" t="s">
        <v>171</v>
      </c>
      <c r="E74" s="35"/>
      <c r="F74" s="35">
        <v>600</v>
      </c>
      <c r="G74" s="35" t="b">
        <v>0</v>
      </c>
      <c r="H74" s="39" t="s">
        <v>15</v>
      </c>
      <c r="I74" s="35" t="s">
        <v>165</v>
      </c>
      <c r="J74" s="35">
        <v>0</v>
      </c>
      <c r="K74" s="35" t="s">
        <v>165</v>
      </c>
      <c r="L74" s="35" t="s">
        <v>4201</v>
      </c>
      <c r="M74" s="35" t="s">
        <v>4201</v>
      </c>
      <c r="N74" s="35" t="s">
        <v>165</v>
      </c>
      <c r="O74" s="35" t="s">
        <v>4201</v>
      </c>
      <c r="P74" s="35" t="s">
        <v>4201</v>
      </c>
      <c r="Q74" s="35" t="s">
        <v>4201</v>
      </c>
      <c r="R74" s="35" t="s">
        <v>4201</v>
      </c>
      <c r="S74" s="35"/>
      <c r="T74" s="35"/>
    </row>
    <row r="75" spans="1:1012" ht="14">
      <c r="A75" s="36" t="s">
        <v>3144</v>
      </c>
      <c r="B75" s="36"/>
      <c r="C75" s="36" t="s">
        <v>4417</v>
      </c>
      <c r="D75" s="35" t="s">
        <v>3148</v>
      </c>
      <c r="E75" s="35"/>
      <c r="F75" s="35">
        <v>600</v>
      </c>
      <c r="G75" s="35" t="b">
        <v>0</v>
      </c>
      <c r="H75" s="39" t="s">
        <v>15</v>
      </c>
      <c r="I75" s="35" t="s">
        <v>46</v>
      </c>
      <c r="J75" s="35">
        <v>2</v>
      </c>
      <c r="K75" s="35" t="s">
        <v>4203</v>
      </c>
      <c r="L75" s="35" t="s">
        <v>4201</v>
      </c>
      <c r="M75" s="35" t="s">
        <v>4073</v>
      </c>
      <c r="N75" s="35" t="s">
        <v>4201</v>
      </c>
      <c r="O75" s="35" t="s">
        <v>4201</v>
      </c>
      <c r="P75" s="35" t="s">
        <v>4201</v>
      </c>
      <c r="Q75" s="35" t="s">
        <v>2449</v>
      </c>
      <c r="R75" s="35" t="s">
        <v>4160</v>
      </c>
      <c r="S75" s="35"/>
      <c r="T75" s="35"/>
    </row>
    <row r="76" spans="1:1012" ht="14">
      <c r="A76" s="26" t="s">
        <v>3900</v>
      </c>
      <c r="B76" s="26"/>
      <c r="C76" s="35"/>
      <c r="D76" s="36" t="s">
        <v>3901</v>
      </c>
      <c r="E76" s="36" t="s">
        <v>3159</v>
      </c>
      <c r="F76" s="35">
        <v>500</v>
      </c>
      <c r="G76" s="35" t="b">
        <v>1</v>
      </c>
      <c r="H76" s="39" t="s">
        <v>15</v>
      </c>
      <c r="I76" s="35" t="s">
        <v>3043</v>
      </c>
      <c r="J76" s="35">
        <v>2</v>
      </c>
      <c r="K76" s="35" t="s">
        <v>4203</v>
      </c>
      <c r="L76" s="35" t="s">
        <v>4201</v>
      </c>
      <c r="M76" s="35" t="s">
        <v>4073</v>
      </c>
      <c r="N76" s="35" t="s">
        <v>4201</v>
      </c>
      <c r="O76" s="35" t="s">
        <v>4201</v>
      </c>
      <c r="P76" s="35" t="s">
        <v>4201</v>
      </c>
      <c r="Q76" s="35" t="s">
        <v>2449</v>
      </c>
      <c r="R76" s="35" t="s">
        <v>4160</v>
      </c>
      <c r="S76" s="35"/>
      <c r="T76" s="35"/>
    </row>
    <row r="77" spans="1:1012" ht="14">
      <c r="A77" s="36" t="s">
        <v>104</v>
      </c>
      <c r="B77" s="36"/>
      <c r="C77" s="36"/>
      <c r="D77" s="36" t="s">
        <v>105</v>
      </c>
      <c r="E77" s="36"/>
      <c r="F77" s="35">
        <v>450</v>
      </c>
      <c r="G77" s="35" t="b">
        <v>0</v>
      </c>
      <c r="H77" s="39" t="s">
        <v>15</v>
      </c>
      <c r="I77" s="35" t="s">
        <v>25</v>
      </c>
      <c r="J77" s="35">
        <v>1</v>
      </c>
      <c r="K77" s="35" t="s">
        <v>4203</v>
      </c>
      <c r="L77" s="35" t="s">
        <v>4201</v>
      </c>
      <c r="M77" s="35" t="s">
        <v>4073</v>
      </c>
      <c r="N77" s="35" t="s">
        <v>4201</v>
      </c>
      <c r="O77" s="35" t="s">
        <v>4201</v>
      </c>
      <c r="P77" s="35" t="s">
        <v>4201</v>
      </c>
      <c r="Q77" s="35" t="s">
        <v>2449</v>
      </c>
      <c r="R77" s="35" t="s">
        <v>4201</v>
      </c>
      <c r="S77" s="35"/>
      <c r="T77" s="35"/>
    </row>
    <row r="78" spans="1:1012" ht="14">
      <c r="A78" s="36" t="s">
        <v>106</v>
      </c>
      <c r="B78" s="36"/>
      <c r="C78" s="36"/>
      <c r="D78" s="35" t="s">
        <v>107</v>
      </c>
      <c r="E78" s="35"/>
      <c r="F78" s="35">
        <v>500</v>
      </c>
      <c r="G78" s="35" t="b">
        <v>0</v>
      </c>
      <c r="H78" s="39" t="s">
        <v>15</v>
      </c>
      <c r="I78" s="35" t="s">
        <v>66</v>
      </c>
      <c r="J78" s="35">
        <v>1</v>
      </c>
      <c r="K78" s="35" t="s">
        <v>4203</v>
      </c>
      <c r="L78" s="35" t="s">
        <v>4201</v>
      </c>
      <c r="M78" s="35" t="s">
        <v>4073</v>
      </c>
      <c r="N78" s="35" t="s">
        <v>4201</v>
      </c>
      <c r="O78" s="35" t="s">
        <v>4201</v>
      </c>
      <c r="P78" s="35" t="s">
        <v>4201</v>
      </c>
      <c r="Q78" s="35" t="s">
        <v>2449</v>
      </c>
      <c r="R78" s="35" t="s">
        <v>4160</v>
      </c>
      <c r="S78" s="35"/>
      <c r="T78" s="35"/>
    </row>
    <row r="79" spans="1:1012" ht="14">
      <c r="A79" s="36" t="s">
        <v>64</v>
      </c>
      <c r="B79" s="36"/>
      <c r="C79" s="36" t="s">
        <v>106</v>
      </c>
      <c r="D79" s="35" t="s">
        <v>108</v>
      </c>
      <c r="E79" s="35"/>
      <c r="F79" s="35">
        <v>500</v>
      </c>
      <c r="G79" s="35" t="b">
        <v>0</v>
      </c>
      <c r="H79" s="39" t="s">
        <v>15</v>
      </c>
      <c r="I79" s="35" t="s">
        <v>66</v>
      </c>
      <c r="J79" s="35">
        <v>1</v>
      </c>
      <c r="K79" s="35" t="s">
        <v>4203</v>
      </c>
      <c r="L79" s="35" t="s">
        <v>4201</v>
      </c>
      <c r="M79" s="35" t="s">
        <v>4073</v>
      </c>
      <c r="N79" s="35" t="s">
        <v>4201</v>
      </c>
      <c r="O79" s="35" t="s">
        <v>4201</v>
      </c>
      <c r="P79" s="35" t="s">
        <v>4201</v>
      </c>
      <c r="Q79" s="35" t="s">
        <v>2449</v>
      </c>
      <c r="R79" s="35" t="s">
        <v>4201</v>
      </c>
      <c r="S79" s="35"/>
      <c r="T79" s="35"/>
    </row>
    <row r="80" spans="1:1012" ht="14">
      <c r="A80" s="26" t="s">
        <v>3995</v>
      </c>
      <c r="B80" s="26"/>
      <c r="C80" s="35"/>
      <c r="D80" s="36" t="s">
        <v>4016</v>
      </c>
      <c r="E80" s="36" t="s">
        <v>4051</v>
      </c>
      <c r="F80" s="35">
        <v>500</v>
      </c>
      <c r="G80" s="35" t="b">
        <v>1</v>
      </c>
      <c r="H80" s="39" t="s">
        <v>15</v>
      </c>
      <c r="I80" s="35" t="s">
        <v>3043</v>
      </c>
      <c r="J80" s="35">
        <v>2</v>
      </c>
      <c r="K80" s="35" t="s">
        <v>4203</v>
      </c>
      <c r="L80" s="35" t="s">
        <v>4201</v>
      </c>
      <c r="M80" s="35" t="s">
        <v>4073</v>
      </c>
      <c r="N80" s="35" t="s">
        <v>4201</v>
      </c>
      <c r="O80" s="35" t="s">
        <v>4201</v>
      </c>
      <c r="P80" s="35" t="s">
        <v>4201</v>
      </c>
      <c r="Q80" s="35" t="s">
        <v>2449</v>
      </c>
      <c r="R80" s="35" t="s">
        <v>4160</v>
      </c>
      <c r="S80" s="35"/>
      <c r="T80" s="35"/>
    </row>
    <row r="81" spans="1:1012" ht="14">
      <c r="A81" s="36" t="s">
        <v>2981</v>
      </c>
      <c r="B81" s="36"/>
      <c r="C81" s="36"/>
      <c r="D81" s="36" t="s">
        <v>2996</v>
      </c>
      <c r="E81" s="36"/>
      <c r="F81" s="35">
        <v>500</v>
      </c>
      <c r="G81" s="35" t="b">
        <v>0</v>
      </c>
      <c r="H81" s="39" t="s">
        <v>15</v>
      </c>
      <c r="I81" s="35" t="s">
        <v>21</v>
      </c>
      <c r="J81" s="35">
        <v>2</v>
      </c>
      <c r="K81" s="35" t="s">
        <v>4203</v>
      </c>
      <c r="L81" s="35" t="s">
        <v>4201</v>
      </c>
      <c r="M81" s="35" t="s">
        <v>4073</v>
      </c>
      <c r="N81" s="35" t="s">
        <v>4201</v>
      </c>
      <c r="O81" s="35" t="s">
        <v>4201</v>
      </c>
      <c r="P81" s="35" t="s">
        <v>4201</v>
      </c>
      <c r="Q81" s="35" t="s">
        <v>2449</v>
      </c>
      <c r="R81" s="35" t="s">
        <v>4160</v>
      </c>
      <c r="S81" s="35"/>
      <c r="T81" s="35"/>
    </row>
    <row r="82" spans="1:1012" ht="14">
      <c r="A82" s="36" t="s">
        <v>109</v>
      </c>
      <c r="B82" s="36"/>
      <c r="C82" s="36"/>
      <c r="D82" s="35" t="s">
        <v>110</v>
      </c>
      <c r="E82" s="35"/>
      <c r="F82" s="35">
        <v>500</v>
      </c>
      <c r="G82" s="35" t="b">
        <v>0</v>
      </c>
      <c r="H82" s="39" t="s">
        <v>15</v>
      </c>
      <c r="I82" s="35" t="s">
        <v>37</v>
      </c>
      <c r="J82" s="35">
        <v>0</v>
      </c>
      <c r="K82" s="35" t="s">
        <v>4203</v>
      </c>
      <c r="L82" s="35" t="s">
        <v>4201</v>
      </c>
      <c r="M82" s="35" t="s">
        <v>4073</v>
      </c>
      <c r="N82" s="35" t="s">
        <v>4201</v>
      </c>
      <c r="O82" s="35" t="s">
        <v>4201</v>
      </c>
      <c r="P82" s="35" t="s">
        <v>4201</v>
      </c>
      <c r="Q82" s="35" t="s">
        <v>2449</v>
      </c>
      <c r="R82" s="35" t="s">
        <v>4201</v>
      </c>
      <c r="S82" s="35"/>
      <c r="T82" s="35"/>
    </row>
    <row r="83" spans="1:1012" ht="14">
      <c r="A83" s="35" t="s">
        <v>3880</v>
      </c>
      <c r="B83" s="35"/>
      <c r="C83" s="35" t="s">
        <v>3893</v>
      </c>
      <c r="D83" s="35" t="s">
        <v>3881</v>
      </c>
      <c r="E83" s="35"/>
      <c r="F83" s="35">
        <v>200</v>
      </c>
      <c r="G83" s="35" t="b">
        <v>0</v>
      </c>
      <c r="H83" s="39" t="s">
        <v>15</v>
      </c>
      <c r="I83" s="35" t="s">
        <v>37</v>
      </c>
      <c r="J83" s="35">
        <v>0</v>
      </c>
      <c r="K83" s="35" t="s">
        <v>4203</v>
      </c>
      <c r="L83" s="35" t="s">
        <v>4201</v>
      </c>
      <c r="M83" s="35" t="s">
        <v>4073</v>
      </c>
      <c r="N83" s="35" t="s">
        <v>4201</v>
      </c>
      <c r="O83" s="35" t="s">
        <v>4201</v>
      </c>
      <c r="P83" s="35" t="s">
        <v>4201</v>
      </c>
      <c r="Q83" s="35" t="s">
        <v>2449</v>
      </c>
      <c r="R83" s="35" t="s">
        <v>4160</v>
      </c>
      <c r="S83" s="35"/>
      <c r="T83" s="35"/>
    </row>
    <row r="84" spans="1:1012" s="17" customFormat="1" ht="14">
      <c r="A84" s="36" t="s">
        <v>2980</v>
      </c>
      <c r="B84" s="36"/>
      <c r="C84" s="36"/>
      <c r="D84" s="36" t="s">
        <v>2995</v>
      </c>
      <c r="E84" s="36"/>
      <c r="F84" s="35">
        <v>500</v>
      </c>
      <c r="G84" s="35" t="b">
        <v>0</v>
      </c>
      <c r="H84" s="39" t="s">
        <v>15</v>
      </c>
      <c r="I84" s="35" t="s">
        <v>21</v>
      </c>
      <c r="J84" s="35">
        <v>2</v>
      </c>
      <c r="K84" s="35" t="s">
        <v>4203</v>
      </c>
      <c r="L84" s="35" t="s">
        <v>4201</v>
      </c>
      <c r="M84" s="35" t="s">
        <v>4073</v>
      </c>
      <c r="N84" s="35" t="s">
        <v>4201</v>
      </c>
      <c r="O84" s="35" t="s">
        <v>4201</v>
      </c>
      <c r="P84" s="35" t="s">
        <v>4201</v>
      </c>
      <c r="Q84" s="35" t="s">
        <v>2449</v>
      </c>
      <c r="R84" s="35" t="s">
        <v>4160</v>
      </c>
      <c r="S84" s="35"/>
      <c r="T84" s="35"/>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c r="GD84"/>
      <c r="GE84"/>
      <c r="GF84"/>
      <c r="GG84"/>
      <c r="GH84"/>
      <c r="GI84"/>
      <c r="GJ84"/>
      <c r="GK84"/>
      <c r="GL84"/>
      <c r="GM84"/>
      <c r="GN84"/>
      <c r="GO84"/>
      <c r="GP84"/>
      <c r="GQ84"/>
      <c r="GR84"/>
      <c r="GS84"/>
      <c r="GT84"/>
      <c r="GU84"/>
      <c r="GV84"/>
      <c r="GW84"/>
      <c r="GX84"/>
      <c r="GY84"/>
      <c r="GZ84"/>
      <c r="HA84"/>
      <c r="HB84"/>
      <c r="HC84"/>
      <c r="HD84"/>
      <c r="HE84"/>
      <c r="HF84"/>
      <c r="HG84"/>
      <c r="HH84"/>
      <c r="HI84"/>
      <c r="HJ84"/>
      <c r="HK84"/>
      <c r="HL84"/>
      <c r="HM84"/>
      <c r="HN84"/>
      <c r="HO84"/>
      <c r="HP84"/>
      <c r="HQ84"/>
      <c r="HR84"/>
      <c r="HS84"/>
      <c r="HT84"/>
      <c r="HU84"/>
      <c r="HV84"/>
      <c r="HW84"/>
      <c r="HX84"/>
      <c r="HY84"/>
      <c r="HZ84"/>
      <c r="IA84"/>
      <c r="IB84"/>
      <c r="IC84"/>
      <c r="ID84"/>
      <c r="IE84"/>
      <c r="IF84"/>
      <c r="IG84"/>
      <c r="IH84"/>
      <c r="II84"/>
      <c r="IJ84"/>
      <c r="IK84"/>
      <c r="IL84"/>
      <c r="IM84"/>
      <c r="IN84"/>
      <c r="IO84"/>
      <c r="IP84"/>
      <c r="IQ84"/>
      <c r="IR84"/>
      <c r="IS84"/>
      <c r="IT84"/>
      <c r="IU84"/>
      <c r="IV84"/>
      <c r="IW84"/>
      <c r="IX84"/>
      <c r="IY84"/>
      <c r="IZ84"/>
      <c r="JA84"/>
      <c r="JB84"/>
      <c r="JC84"/>
      <c r="JD84"/>
      <c r="JE84"/>
      <c r="JF84"/>
      <c r="JG84"/>
      <c r="JH84"/>
      <c r="JI84"/>
      <c r="JJ84"/>
      <c r="JK84"/>
      <c r="JL84"/>
      <c r="JM84"/>
      <c r="JN84"/>
      <c r="JO84"/>
      <c r="JP84"/>
      <c r="JQ84"/>
      <c r="JR84"/>
      <c r="JS84"/>
      <c r="JT84"/>
      <c r="JU84"/>
      <c r="JV84"/>
      <c r="JW84"/>
      <c r="JX84"/>
      <c r="JY84"/>
      <c r="JZ84"/>
      <c r="KA84"/>
      <c r="KB84"/>
      <c r="KC84"/>
      <c r="KD84"/>
      <c r="KE84"/>
      <c r="KF84"/>
      <c r="KG84"/>
      <c r="KH84"/>
      <c r="KI84"/>
      <c r="KJ84"/>
      <c r="KK84"/>
      <c r="KL84"/>
      <c r="KM84"/>
      <c r="KN84"/>
      <c r="KO84"/>
      <c r="KP84"/>
      <c r="KQ84"/>
      <c r="KR84"/>
      <c r="KS84"/>
      <c r="KT84"/>
      <c r="KU84"/>
      <c r="KV84"/>
      <c r="KW84"/>
      <c r="KX84"/>
      <c r="KY84"/>
      <c r="KZ84"/>
      <c r="LA84"/>
      <c r="LB84"/>
      <c r="LC84"/>
      <c r="LD84"/>
      <c r="LE84"/>
      <c r="LF84"/>
      <c r="LG84"/>
      <c r="LH84"/>
      <c r="LI84"/>
      <c r="LJ84"/>
      <c r="LK84"/>
      <c r="LL84"/>
      <c r="LM84"/>
      <c r="LN84"/>
      <c r="LO84"/>
      <c r="LP84"/>
      <c r="LQ84"/>
      <c r="LR84"/>
      <c r="LS84"/>
      <c r="LT84"/>
      <c r="LU84"/>
      <c r="LV84"/>
      <c r="LW84"/>
      <c r="LX84"/>
      <c r="LY84"/>
      <c r="LZ84"/>
      <c r="MA84"/>
      <c r="MB84"/>
      <c r="MC84"/>
      <c r="MD84"/>
      <c r="ME84"/>
      <c r="MF84"/>
      <c r="MG84"/>
      <c r="MH84"/>
      <c r="MI84"/>
      <c r="MJ84"/>
      <c r="MK84"/>
      <c r="ML84"/>
      <c r="MM84"/>
      <c r="MN84"/>
      <c r="MO84"/>
      <c r="MP84"/>
      <c r="MQ84"/>
      <c r="MR84"/>
      <c r="MS84"/>
      <c r="MT84"/>
      <c r="MU84"/>
      <c r="MV84"/>
      <c r="MW84"/>
      <c r="MX84"/>
      <c r="MY84"/>
      <c r="MZ84"/>
      <c r="NA84"/>
      <c r="NB84"/>
      <c r="NC84"/>
      <c r="ND84"/>
      <c r="NE84"/>
      <c r="NF84"/>
      <c r="NG84"/>
      <c r="NH84"/>
      <c r="NI84"/>
      <c r="NJ84"/>
      <c r="NK84"/>
      <c r="NL84"/>
      <c r="NM84"/>
      <c r="NN84"/>
      <c r="NO84"/>
      <c r="NP84"/>
      <c r="NQ84"/>
      <c r="NR84"/>
      <c r="NS84"/>
      <c r="NT84"/>
      <c r="NU84"/>
      <c r="NV84"/>
      <c r="NW84"/>
      <c r="NX84"/>
      <c r="NY84"/>
      <c r="NZ84"/>
      <c r="OA84"/>
      <c r="OB84"/>
      <c r="OC84"/>
      <c r="OD84"/>
      <c r="OE84"/>
      <c r="OF84"/>
      <c r="OG84"/>
      <c r="OH84"/>
      <c r="OI84"/>
      <c r="OJ84"/>
      <c r="OK84"/>
      <c r="OL84"/>
      <c r="OM84"/>
      <c r="ON84"/>
      <c r="OO84"/>
      <c r="OP84"/>
      <c r="OQ84"/>
      <c r="OR84"/>
      <c r="OS84"/>
      <c r="OT84"/>
      <c r="OU84"/>
      <c r="OV84"/>
      <c r="OW84"/>
      <c r="OX84"/>
      <c r="OY84"/>
      <c r="OZ84"/>
      <c r="PA84"/>
      <c r="PB84"/>
      <c r="PC84"/>
      <c r="PD84"/>
      <c r="PE84"/>
      <c r="PF84"/>
      <c r="PG84"/>
      <c r="PH84"/>
      <c r="PI84"/>
      <c r="PJ84"/>
      <c r="PK84"/>
      <c r="PL84"/>
      <c r="PM84"/>
      <c r="PN84"/>
      <c r="PO84"/>
      <c r="PP84"/>
      <c r="PQ84"/>
      <c r="PR84"/>
      <c r="PS84"/>
      <c r="PT84"/>
      <c r="PU84"/>
      <c r="PV84"/>
      <c r="PW84"/>
      <c r="PX84"/>
      <c r="PY84"/>
      <c r="PZ84"/>
      <c r="QA84"/>
      <c r="QB84"/>
      <c r="QC84"/>
      <c r="QD84"/>
      <c r="QE84"/>
      <c r="QF84"/>
      <c r="QG84"/>
      <c r="QH84"/>
      <c r="QI84"/>
      <c r="QJ84"/>
      <c r="QK84"/>
      <c r="QL84"/>
      <c r="QM84"/>
      <c r="QN84"/>
      <c r="QO84"/>
      <c r="QP84"/>
      <c r="QQ84"/>
      <c r="QR84"/>
      <c r="QS84"/>
      <c r="QT84"/>
      <c r="QU84"/>
      <c r="QV84"/>
      <c r="QW84"/>
      <c r="QX84"/>
      <c r="QY84"/>
      <c r="QZ84"/>
      <c r="RA84"/>
      <c r="RB84"/>
      <c r="RC84"/>
      <c r="RD84"/>
      <c r="RE84"/>
      <c r="RF84"/>
      <c r="RG84"/>
      <c r="RH84"/>
      <c r="RI84"/>
      <c r="RJ84"/>
      <c r="RK84"/>
      <c r="RL84"/>
      <c r="RM84"/>
      <c r="RN84"/>
      <c r="RO84"/>
      <c r="RP84"/>
      <c r="RQ84"/>
      <c r="RR84"/>
      <c r="RS84"/>
      <c r="RT84"/>
      <c r="RU84"/>
      <c r="RV84"/>
      <c r="RW84"/>
      <c r="RX84"/>
      <c r="RY84"/>
      <c r="RZ84"/>
      <c r="SA84"/>
      <c r="SB84"/>
      <c r="SC84"/>
      <c r="SD84"/>
      <c r="SE84"/>
      <c r="SF84"/>
      <c r="SG84"/>
      <c r="SH84"/>
      <c r="SI84"/>
      <c r="SJ84"/>
      <c r="SK84"/>
      <c r="SL84"/>
      <c r="SM84"/>
      <c r="SN84"/>
      <c r="SO84"/>
      <c r="SP84"/>
      <c r="SQ84"/>
      <c r="SR84"/>
      <c r="SS84"/>
      <c r="ST84"/>
      <c r="SU84"/>
      <c r="SV84"/>
      <c r="SW84"/>
      <c r="SX84"/>
      <c r="SY84"/>
      <c r="SZ84"/>
      <c r="TA84"/>
      <c r="TB84"/>
      <c r="TC84"/>
      <c r="TD84"/>
      <c r="TE84"/>
      <c r="TF84"/>
      <c r="TG84"/>
      <c r="TH84"/>
      <c r="TI84"/>
      <c r="TJ84"/>
      <c r="TK84"/>
      <c r="TL84"/>
      <c r="TM84"/>
      <c r="TN84"/>
      <c r="TO84"/>
      <c r="TP84"/>
      <c r="TQ84"/>
      <c r="TR84"/>
      <c r="TS84"/>
      <c r="TT84"/>
      <c r="TU84"/>
      <c r="TV84"/>
      <c r="TW84"/>
      <c r="TX84"/>
      <c r="TY84"/>
      <c r="TZ84"/>
      <c r="UA84"/>
      <c r="UB84"/>
      <c r="UC84"/>
      <c r="UD84"/>
      <c r="UE84"/>
      <c r="UF84"/>
      <c r="UG84"/>
      <c r="UH84"/>
      <c r="UI84"/>
      <c r="UJ84"/>
      <c r="UK84"/>
      <c r="UL84"/>
      <c r="UM84"/>
      <c r="UN84"/>
      <c r="UO84"/>
      <c r="UP84"/>
      <c r="UQ84"/>
      <c r="UR84"/>
      <c r="US84"/>
      <c r="UT84"/>
      <c r="UU84"/>
      <c r="UV84"/>
      <c r="UW84"/>
      <c r="UX84"/>
      <c r="UY84"/>
      <c r="UZ84"/>
      <c r="VA84"/>
      <c r="VB84"/>
      <c r="VC84"/>
      <c r="VD84"/>
      <c r="VE84"/>
      <c r="VF84"/>
      <c r="VG84"/>
      <c r="VH84"/>
      <c r="VI84"/>
      <c r="VJ84"/>
      <c r="VK84"/>
      <c r="VL84"/>
      <c r="VM84"/>
      <c r="VN84"/>
      <c r="VO84"/>
      <c r="VP84"/>
      <c r="VQ84"/>
      <c r="VR84"/>
      <c r="VS84"/>
      <c r="VT84"/>
      <c r="VU84"/>
      <c r="VV84"/>
      <c r="VW84"/>
      <c r="VX84"/>
      <c r="VY84"/>
      <c r="VZ84"/>
      <c r="WA84"/>
      <c r="WB84"/>
      <c r="WC84"/>
      <c r="WD84"/>
      <c r="WE84"/>
      <c r="WF84"/>
      <c r="WG84"/>
      <c r="WH84"/>
      <c r="WI84"/>
      <c r="WJ84"/>
      <c r="WK84"/>
      <c r="WL84"/>
      <c r="WM84"/>
      <c r="WN84"/>
      <c r="WO84"/>
      <c r="WP84"/>
      <c r="WQ84"/>
      <c r="WR84"/>
      <c r="WS84"/>
      <c r="WT84"/>
      <c r="WU84"/>
      <c r="WV84"/>
      <c r="WW84"/>
      <c r="WX84"/>
      <c r="WY84"/>
      <c r="WZ84"/>
      <c r="XA84"/>
      <c r="XB84"/>
      <c r="XC84"/>
      <c r="XD84"/>
      <c r="XE84"/>
      <c r="XF84"/>
      <c r="XG84"/>
      <c r="XH84"/>
      <c r="XI84"/>
      <c r="XJ84"/>
      <c r="XK84"/>
      <c r="XL84"/>
      <c r="XM84"/>
      <c r="XN84"/>
      <c r="XO84"/>
      <c r="XP84"/>
      <c r="XQ84"/>
      <c r="XR84"/>
      <c r="XS84"/>
      <c r="XT84"/>
      <c r="XU84"/>
      <c r="XV84"/>
      <c r="XW84"/>
      <c r="XX84"/>
      <c r="XY84"/>
      <c r="XZ84"/>
      <c r="YA84"/>
      <c r="YB84"/>
      <c r="YC84"/>
      <c r="YD84"/>
      <c r="YE84"/>
      <c r="YF84"/>
      <c r="YG84"/>
      <c r="YH84"/>
      <c r="YI84"/>
      <c r="YJ84"/>
      <c r="YK84"/>
      <c r="YL84"/>
      <c r="YM84"/>
      <c r="YN84"/>
      <c r="YO84"/>
      <c r="YP84"/>
      <c r="YQ84"/>
      <c r="YR84"/>
      <c r="YS84"/>
      <c r="YT84"/>
      <c r="YU84"/>
      <c r="YV84"/>
      <c r="YW84"/>
      <c r="YX84"/>
      <c r="YY84"/>
      <c r="YZ84"/>
      <c r="ZA84"/>
      <c r="ZB84"/>
      <c r="ZC84"/>
      <c r="ZD84"/>
      <c r="ZE84"/>
      <c r="ZF84"/>
      <c r="ZG84"/>
      <c r="ZH84"/>
      <c r="ZI84"/>
      <c r="ZJ84"/>
      <c r="ZK84"/>
      <c r="ZL84"/>
      <c r="ZM84"/>
      <c r="ZN84"/>
      <c r="ZO84"/>
      <c r="ZP84"/>
      <c r="ZQ84"/>
      <c r="ZR84"/>
      <c r="ZS84"/>
      <c r="ZT84"/>
      <c r="ZU84"/>
      <c r="ZV84"/>
      <c r="ZW84"/>
      <c r="ZX84"/>
      <c r="ZY84"/>
      <c r="ZZ84"/>
      <c r="AAA84"/>
      <c r="AAB84"/>
      <c r="AAC84"/>
      <c r="AAD84"/>
      <c r="AAE84"/>
      <c r="AAF84"/>
      <c r="AAG84"/>
      <c r="AAH84"/>
      <c r="AAI84"/>
      <c r="AAJ84"/>
      <c r="AAK84"/>
      <c r="AAL84"/>
      <c r="AAM84"/>
      <c r="AAN84"/>
      <c r="AAO84"/>
      <c r="AAP84"/>
      <c r="AAQ84"/>
      <c r="AAR84"/>
      <c r="AAS84"/>
      <c r="AAT84"/>
      <c r="AAU84"/>
      <c r="AAV84"/>
      <c r="AAW84"/>
      <c r="AAX84"/>
      <c r="AAY84"/>
      <c r="AAZ84"/>
      <c r="ABA84"/>
      <c r="ABB84"/>
      <c r="ABC84"/>
      <c r="ABD84"/>
      <c r="ABE84"/>
      <c r="ABF84"/>
      <c r="ABG84"/>
      <c r="ABH84"/>
      <c r="ABI84"/>
      <c r="ABJ84"/>
      <c r="ABK84"/>
      <c r="ABL84"/>
      <c r="ABM84"/>
      <c r="ABN84"/>
      <c r="ABO84"/>
      <c r="ABP84"/>
      <c r="ABQ84"/>
      <c r="ABR84"/>
      <c r="ABS84"/>
      <c r="ABT84"/>
      <c r="ABU84"/>
      <c r="ABV84"/>
      <c r="ABW84"/>
      <c r="ABX84"/>
      <c r="ABY84"/>
      <c r="ABZ84"/>
      <c r="ACA84"/>
      <c r="ACB84"/>
      <c r="ACC84"/>
      <c r="ACD84"/>
      <c r="ACE84"/>
      <c r="ACF84"/>
      <c r="ACG84"/>
      <c r="ACH84"/>
      <c r="ACI84"/>
      <c r="ACJ84"/>
      <c r="ACK84"/>
      <c r="ACL84"/>
      <c r="ACM84"/>
      <c r="ACN84"/>
      <c r="ACO84"/>
      <c r="ACP84"/>
      <c r="ACQ84"/>
      <c r="ACR84"/>
      <c r="ACS84"/>
      <c r="ACT84"/>
      <c r="ACU84"/>
      <c r="ACV84"/>
      <c r="ACW84"/>
      <c r="ACX84"/>
      <c r="ACY84"/>
      <c r="ACZ84"/>
      <c r="ADA84"/>
      <c r="ADB84"/>
      <c r="ADC84"/>
      <c r="ADD84"/>
      <c r="ADE84"/>
      <c r="ADF84"/>
      <c r="ADG84"/>
      <c r="ADH84"/>
      <c r="ADI84"/>
      <c r="ADJ84"/>
      <c r="ADK84"/>
      <c r="ADL84"/>
      <c r="ADM84"/>
      <c r="ADN84"/>
      <c r="ADO84"/>
      <c r="ADP84"/>
      <c r="ADQ84"/>
      <c r="ADR84"/>
      <c r="ADS84"/>
      <c r="ADT84"/>
      <c r="ADU84"/>
      <c r="ADV84"/>
      <c r="ADW84"/>
      <c r="ADX84"/>
      <c r="ADY84"/>
      <c r="ADZ84"/>
      <c r="AEA84"/>
      <c r="AEB84"/>
      <c r="AEC84"/>
      <c r="AED84"/>
      <c r="AEE84"/>
      <c r="AEF84"/>
      <c r="AEG84"/>
      <c r="AEH84"/>
      <c r="AEI84"/>
      <c r="AEJ84"/>
      <c r="AEK84"/>
      <c r="AEL84"/>
      <c r="AEM84"/>
      <c r="AEN84"/>
      <c r="AEO84"/>
      <c r="AEP84"/>
      <c r="AEQ84"/>
      <c r="AER84"/>
      <c r="AES84"/>
      <c r="AET84"/>
      <c r="AEU84"/>
      <c r="AEV84"/>
      <c r="AEW84"/>
      <c r="AEX84"/>
      <c r="AEY84"/>
      <c r="AEZ84"/>
      <c r="AFA84"/>
      <c r="AFB84"/>
      <c r="AFC84"/>
      <c r="AFD84"/>
      <c r="AFE84"/>
      <c r="AFF84"/>
      <c r="AFG84"/>
      <c r="AFH84"/>
      <c r="AFI84"/>
      <c r="AFJ84"/>
      <c r="AFK84"/>
      <c r="AFL84"/>
      <c r="AFM84"/>
      <c r="AFN84"/>
      <c r="AFO84"/>
      <c r="AFP84"/>
      <c r="AFQ84"/>
      <c r="AFR84"/>
      <c r="AFS84"/>
      <c r="AFT84"/>
      <c r="AFU84"/>
      <c r="AFV84"/>
      <c r="AFW84"/>
      <c r="AFX84"/>
      <c r="AFY84"/>
      <c r="AFZ84"/>
      <c r="AGA84"/>
      <c r="AGB84"/>
      <c r="AGC84"/>
      <c r="AGD84"/>
      <c r="AGE84"/>
      <c r="AGF84"/>
      <c r="AGG84"/>
      <c r="AGH84"/>
      <c r="AGI84"/>
      <c r="AGJ84"/>
      <c r="AGK84"/>
      <c r="AGL84"/>
      <c r="AGM84"/>
      <c r="AGN84"/>
      <c r="AGO84"/>
      <c r="AGP84"/>
      <c r="AGQ84"/>
      <c r="AGR84"/>
      <c r="AGS84"/>
      <c r="AGT84"/>
      <c r="AGU84"/>
      <c r="AGV84"/>
      <c r="AGW84"/>
      <c r="AGX84"/>
      <c r="AGY84"/>
      <c r="AGZ84"/>
      <c r="AHA84"/>
      <c r="AHB84"/>
      <c r="AHC84"/>
      <c r="AHD84"/>
      <c r="AHE84"/>
      <c r="AHF84"/>
      <c r="AHG84"/>
      <c r="AHH84"/>
      <c r="AHI84"/>
      <c r="AHJ84"/>
      <c r="AHK84"/>
      <c r="AHL84"/>
      <c r="AHM84"/>
      <c r="AHN84"/>
      <c r="AHO84"/>
      <c r="AHP84"/>
      <c r="AHQ84"/>
      <c r="AHR84"/>
      <c r="AHS84"/>
      <c r="AHT84"/>
      <c r="AHU84"/>
      <c r="AHV84"/>
      <c r="AHW84"/>
      <c r="AHX84"/>
      <c r="AHY84"/>
      <c r="AHZ84"/>
      <c r="AIA84"/>
      <c r="AIB84"/>
      <c r="AIC84"/>
      <c r="AID84"/>
      <c r="AIE84"/>
      <c r="AIF84"/>
      <c r="AIG84"/>
      <c r="AIH84"/>
      <c r="AII84"/>
      <c r="AIJ84"/>
      <c r="AIK84"/>
      <c r="AIL84"/>
      <c r="AIM84"/>
      <c r="AIN84"/>
      <c r="AIO84"/>
      <c r="AIP84"/>
      <c r="AIQ84"/>
      <c r="AIR84"/>
      <c r="AIS84"/>
      <c r="AIT84"/>
      <c r="AIU84"/>
      <c r="AIV84"/>
      <c r="AIW84"/>
      <c r="AIX84"/>
      <c r="AIY84"/>
      <c r="AIZ84"/>
      <c r="AJA84"/>
      <c r="AJB84"/>
      <c r="AJC84"/>
      <c r="AJD84"/>
      <c r="AJE84"/>
      <c r="AJF84"/>
      <c r="AJG84"/>
      <c r="AJH84"/>
      <c r="AJI84"/>
      <c r="AJJ84"/>
      <c r="AJK84"/>
      <c r="AJL84"/>
      <c r="AJM84"/>
      <c r="AJN84"/>
      <c r="AJO84"/>
      <c r="AJP84"/>
      <c r="AJQ84"/>
      <c r="AJR84"/>
      <c r="AJS84"/>
      <c r="AJT84"/>
      <c r="AJU84"/>
      <c r="AJV84"/>
      <c r="AJW84"/>
      <c r="AJX84"/>
      <c r="AJY84"/>
      <c r="AJZ84"/>
      <c r="AKA84"/>
      <c r="AKB84"/>
      <c r="AKC84"/>
      <c r="AKD84"/>
      <c r="AKE84"/>
      <c r="AKF84"/>
      <c r="AKG84"/>
      <c r="AKH84"/>
      <c r="AKI84"/>
      <c r="AKJ84"/>
      <c r="AKK84"/>
      <c r="AKL84"/>
      <c r="AKM84"/>
      <c r="AKN84"/>
      <c r="AKO84"/>
      <c r="AKP84"/>
      <c r="AKQ84"/>
      <c r="AKR84"/>
      <c r="AKS84"/>
      <c r="AKT84"/>
      <c r="AKU84"/>
      <c r="AKV84"/>
      <c r="AKW84"/>
      <c r="AKX84"/>
      <c r="AKY84"/>
      <c r="AKZ84"/>
      <c r="ALA84"/>
      <c r="ALB84"/>
      <c r="ALC84"/>
      <c r="ALD84"/>
      <c r="ALE84"/>
      <c r="ALF84"/>
      <c r="ALG84"/>
      <c r="ALH84"/>
      <c r="ALI84"/>
      <c r="ALJ84"/>
      <c r="ALK84"/>
      <c r="ALL84"/>
      <c r="ALM84"/>
      <c r="ALN84"/>
      <c r="ALO84"/>
      <c r="ALP84"/>
      <c r="ALQ84"/>
      <c r="ALR84"/>
      <c r="ALS84"/>
      <c r="ALT84"/>
      <c r="ALU84"/>
      <c r="ALV84"/>
      <c r="ALW84"/>
      <c r="ALX84"/>
    </row>
    <row r="85" spans="1:1012" ht="14">
      <c r="A85" s="35" t="s">
        <v>111</v>
      </c>
      <c r="B85" s="35"/>
      <c r="C85" s="35"/>
      <c r="D85" s="35" t="s">
        <v>112</v>
      </c>
      <c r="E85" s="35"/>
      <c r="F85" s="35">
        <v>500</v>
      </c>
      <c r="G85" s="35" t="b">
        <v>0</v>
      </c>
      <c r="H85" s="39" t="s">
        <v>15</v>
      </c>
      <c r="I85" s="35" t="s">
        <v>113</v>
      </c>
      <c r="J85" s="35">
        <v>0</v>
      </c>
      <c r="K85" s="35" t="s">
        <v>4204</v>
      </c>
      <c r="L85" s="35" t="s">
        <v>4201</v>
      </c>
      <c r="M85" s="35" t="s">
        <v>4073</v>
      </c>
      <c r="N85" s="35" t="s">
        <v>4201</v>
      </c>
      <c r="O85" s="35" t="s">
        <v>4201</v>
      </c>
      <c r="P85" s="35" t="s">
        <v>4201</v>
      </c>
      <c r="Q85" s="35" t="s">
        <v>2449</v>
      </c>
      <c r="R85" s="35" t="s">
        <v>4201</v>
      </c>
      <c r="S85" s="35"/>
      <c r="T85" s="35"/>
    </row>
    <row r="86" spans="1:1012" ht="14">
      <c r="A86" s="35" t="s">
        <v>114</v>
      </c>
      <c r="B86" s="35"/>
      <c r="C86" s="35"/>
      <c r="D86" s="35" t="s">
        <v>115</v>
      </c>
      <c r="E86" s="35"/>
      <c r="F86" s="35">
        <v>500</v>
      </c>
      <c r="G86" s="35" t="b">
        <v>0</v>
      </c>
      <c r="H86" s="39" t="s">
        <v>15</v>
      </c>
      <c r="I86" s="35" t="s">
        <v>37</v>
      </c>
      <c r="J86" s="35">
        <v>0</v>
      </c>
      <c r="K86" s="35" t="s">
        <v>4204</v>
      </c>
      <c r="L86" s="35" t="s">
        <v>4201</v>
      </c>
      <c r="M86" s="35" t="s">
        <v>4073</v>
      </c>
      <c r="N86" s="35" t="s">
        <v>4201</v>
      </c>
      <c r="O86" s="35" t="s">
        <v>4201</v>
      </c>
      <c r="P86" s="35" t="s">
        <v>4201</v>
      </c>
      <c r="Q86" s="35" t="s">
        <v>2449</v>
      </c>
      <c r="R86" s="35" t="s">
        <v>4201</v>
      </c>
      <c r="S86" s="35"/>
      <c r="T86" s="35"/>
    </row>
    <row r="87" spans="1:1012" ht="14">
      <c r="A87" s="36" t="s">
        <v>2923</v>
      </c>
      <c r="B87" s="36"/>
      <c r="C87" s="36"/>
      <c r="D87" s="35" t="s">
        <v>3135</v>
      </c>
      <c r="E87" s="35"/>
      <c r="F87" s="35">
        <v>600</v>
      </c>
      <c r="G87" s="35" t="b">
        <v>0</v>
      </c>
      <c r="H87" s="39" t="s">
        <v>15</v>
      </c>
      <c r="I87" s="35" t="s">
        <v>37</v>
      </c>
      <c r="J87" s="35">
        <v>0</v>
      </c>
      <c r="K87" s="35" t="s">
        <v>4203</v>
      </c>
      <c r="L87" s="35" t="s">
        <v>4201</v>
      </c>
      <c r="M87" s="35" t="s">
        <v>4073</v>
      </c>
      <c r="N87" s="35" t="s">
        <v>4201</v>
      </c>
      <c r="O87" s="35" t="s">
        <v>4201</v>
      </c>
      <c r="P87" s="35" t="s">
        <v>4201</v>
      </c>
      <c r="Q87" s="35" t="s">
        <v>2449</v>
      </c>
      <c r="R87" s="35" t="s">
        <v>4160</v>
      </c>
      <c r="S87" s="35"/>
      <c r="T87" s="35"/>
    </row>
    <row r="88" spans="1:1012" ht="14">
      <c r="A88" s="36" t="s">
        <v>3173</v>
      </c>
      <c r="B88" s="36"/>
      <c r="C88" s="36" t="s">
        <v>3999</v>
      </c>
      <c r="D88" s="35" t="s">
        <v>3174</v>
      </c>
      <c r="E88" s="35"/>
      <c r="F88" s="35">
        <v>659</v>
      </c>
      <c r="G88" s="35" t="b">
        <v>0</v>
      </c>
      <c r="H88" s="39" t="s">
        <v>15</v>
      </c>
      <c r="I88" s="35" t="s">
        <v>37</v>
      </c>
      <c r="J88" s="35">
        <v>0</v>
      </c>
      <c r="K88" s="35" t="s">
        <v>4203</v>
      </c>
      <c r="L88" s="35" t="s">
        <v>4201</v>
      </c>
      <c r="M88" s="35" t="s">
        <v>4073</v>
      </c>
      <c r="N88" s="35" t="s">
        <v>4201</v>
      </c>
      <c r="O88" s="35" t="s">
        <v>4201</v>
      </c>
      <c r="P88" s="35" t="s">
        <v>4201</v>
      </c>
      <c r="Q88" s="35" t="s">
        <v>2449</v>
      </c>
      <c r="R88" s="35" t="s">
        <v>4160</v>
      </c>
      <c r="S88" s="35"/>
      <c r="T88" s="35"/>
    </row>
    <row r="89" spans="1:1012" ht="14">
      <c r="A89" s="36" t="s">
        <v>3044</v>
      </c>
      <c r="B89" s="36"/>
      <c r="C89" s="36"/>
      <c r="D89" s="35" t="s">
        <v>3166</v>
      </c>
      <c r="E89" s="35"/>
      <c r="F89" s="35">
        <v>600</v>
      </c>
      <c r="G89" s="35" t="b">
        <v>0</v>
      </c>
      <c r="H89" s="39" t="s">
        <v>15</v>
      </c>
      <c r="I89" s="35" t="s">
        <v>37</v>
      </c>
      <c r="J89" s="35">
        <v>0</v>
      </c>
      <c r="K89" s="35" t="s">
        <v>4203</v>
      </c>
      <c r="L89" s="35" t="s">
        <v>4201</v>
      </c>
      <c r="M89" s="35" t="s">
        <v>4073</v>
      </c>
      <c r="N89" s="35" t="s">
        <v>4201</v>
      </c>
      <c r="O89" s="35" t="s">
        <v>4201</v>
      </c>
      <c r="P89" s="35" t="s">
        <v>4201</v>
      </c>
      <c r="Q89" s="35" t="s">
        <v>2449</v>
      </c>
      <c r="R89" s="35" t="s">
        <v>4160</v>
      </c>
      <c r="S89" s="35"/>
      <c r="T89" s="35"/>
    </row>
    <row r="90" spans="1:1012" ht="14">
      <c r="A90" s="36" t="s">
        <v>120</v>
      </c>
      <c r="B90" s="36"/>
      <c r="C90" s="36"/>
      <c r="D90" s="35" t="s">
        <v>3140</v>
      </c>
      <c r="E90" s="35"/>
      <c r="F90" s="35">
        <v>500</v>
      </c>
      <c r="G90" s="35" t="b">
        <v>0</v>
      </c>
      <c r="H90" s="39" t="s">
        <v>15</v>
      </c>
      <c r="I90" s="35" t="s">
        <v>21</v>
      </c>
      <c r="J90" s="35">
        <v>2</v>
      </c>
      <c r="K90" s="35" t="s">
        <v>4203</v>
      </c>
      <c r="L90" s="35" t="s">
        <v>4201</v>
      </c>
      <c r="M90" s="35" t="s">
        <v>4073</v>
      </c>
      <c r="N90" s="35" t="s">
        <v>4201</v>
      </c>
      <c r="O90" s="35" t="s">
        <v>4201</v>
      </c>
      <c r="P90" s="35" t="s">
        <v>4201</v>
      </c>
      <c r="Q90" s="35" t="s">
        <v>2449</v>
      </c>
      <c r="R90" s="35" t="s">
        <v>4160</v>
      </c>
      <c r="S90" s="35"/>
      <c r="T90" s="35"/>
    </row>
    <row r="91" spans="1:1012" ht="24" customHeight="1">
      <c r="A91" s="36" t="s">
        <v>122</v>
      </c>
      <c r="B91" s="36"/>
      <c r="C91" s="36"/>
      <c r="D91" s="35" t="s">
        <v>3141</v>
      </c>
      <c r="E91" s="35"/>
      <c r="F91" s="35">
        <v>500</v>
      </c>
      <c r="G91" s="35" t="b">
        <v>0</v>
      </c>
      <c r="H91" s="39" t="s">
        <v>15</v>
      </c>
      <c r="I91" s="35" t="s">
        <v>21</v>
      </c>
      <c r="J91" s="35">
        <v>2</v>
      </c>
      <c r="K91" s="35" t="s">
        <v>4203</v>
      </c>
      <c r="L91" s="35" t="s">
        <v>4201</v>
      </c>
      <c r="M91" s="35" t="s">
        <v>4073</v>
      </c>
      <c r="N91" s="35" t="s">
        <v>4201</v>
      </c>
      <c r="O91" s="35" t="s">
        <v>4201</v>
      </c>
      <c r="P91" s="35" t="s">
        <v>4201</v>
      </c>
      <c r="Q91" s="35" t="s">
        <v>2449</v>
      </c>
      <c r="R91" s="35" t="s">
        <v>4160</v>
      </c>
      <c r="S91" s="35"/>
      <c r="T91" s="35"/>
    </row>
    <row r="92" spans="1:1012" ht="14">
      <c r="A92" s="35" t="s">
        <v>56</v>
      </c>
      <c r="B92" s="35"/>
      <c r="C92" s="36" t="s">
        <v>3893</v>
      </c>
      <c r="D92" s="35" t="s">
        <v>57</v>
      </c>
      <c r="E92" s="35"/>
      <c r="F92" s="35">
        <v>200</v>
      </c>
      <c r="G92" s="35" t="b">
        <v>0</v>
      </c>
      <c r="H92" s="39" t="s">
        <v>15</v>
      </c>
      <c r="I92" s="35" t="s">
        <v>55</v>
      </c>
      <c r="J92" s="35">
        <v>0</v>
      </c>
      <c r="K92" s="35" t="s">
        <v>4203</v>
      </c>
      <c r="L92" s="35" t="s">
        <v>4201</v>
      </c>
      <c r="M92" s="35" t="s">
        <v>4073</v>
      </c>
      <c r="N92" s="35" t="s">
        <v>4201</v>
      </c>
      <c r="O92" s="35" t="s">
        <v>4201</v>
      </c>
      <c r="P92" s="35" t="s">
        <v>4201</v>
      </c>
      <c r="Q92" s="35" t="s">
        <v>2449</v>
      </c>
      <c r="R92" s="35" t="s">
        <v>4201</v>
      </c>
      <c r="S92" s="35"/>
      <c r="T92" s="35"/>
    </row>
    <row r="93" spans="1:1012" ht="14">
      <c r="A93" s="36" t="s">
        <v>123</v>
      </c>
      <c r="B93" s="36"/>
      <c r="C93" s="36"/>
      <c r="D93" s="35" t="s">
        <v>3142</v>
      </c>
      <c r="E93" s="35"/>
      <c r="F93" s="35">
        <v>500</v>
      </c>
      <c r="G93" s="35" t="b">
        <v>0</v>
      </c>
      <c r="H93" s="39" t="s">
        <v>15</v>
      </c>
      <c r="I93" s="35" t="s">
        <v>21</v>
      </c>
      <c r="J93" s="35">
        <v>2</v>
      </c>
      <c r="K93" s="35" t="s">
        <v>4203</v>
      </c>
      <c r="L93" s="35" t="s">
        <v>4201</v>
      </c>
      <c r="M93" s="35" t="s">
        <v>4073</v>
      </c>
      <c r="N93" s="35" t="s">
        <v>4201</v>
      </c>
      <c r="O93" s="35" t="s">
        <v>4201</v>
      </c>
      <c r="P93" s="35" t="s">
        <v>4201</v>
      </c>
      <c r="Q93" s="35" t="s">
        <v>2449</v>
      </c>
      <c r="R93" s="35" t="s">
        <v>4160</v>
      </c>
      <c r="S93" s="35"/>
      <c r="T93" s="35"/>
    </row>
    <row r="94" spans="1:1012" ht="14">
      <c r="A94" s="36" t="s">
        <v>125</v>
      </c>
      <c r="B94" s="36"/>
      <c r="C94" s="36"/>
      <c r="D94" s="35" t="s">
        <v>3143</v>
      </c>
      <c r="E94" s="35"/>
      <c r="F94" s="35">
        <v>500</v>
      </c>
      <c r="G94" s="35" t="b">
        <v>0</v>
      </c>
      <c r="H94" s="39" t="s">
        <v>15</v>
      </c>
      <c r="I94" s="35" t="s">
        <v>21</v>
      </c>
      <c r="J94" s="35">
        <v>2</v>
      </c>
      <c r="K94" s="35" t="s">
        <v>4203</v>
      </c>
      <c r="L94" s="35" t="s">
        <v>4201</v>
      </c>
      <c r="M94" s="35" t="s">
        <v>4073</v>
      </c>
      <c r="N94" s="35" t="s">
        <v>4201</v>
      </c>
      <c r="O94" s="35" t="s">
        <v>4201</v>
      </c>
      <c r="P94" s="35" t="s">
        <v>4201</v>
      </c>
      <c r="Q94" s="35" t="s">
        <v>2449</v>
      </c>
      <c r="R94" s="35" t="s">
        <v>4160</v>
      </c>
      <c r="S94" s="35"/>
      <c r="T94" s="35"/>
    </row>
    <row r="95" spans="1:1012" ht="14">
      <c r="A95" s="35" t="s">
        <v>2945</v>
      </c>
      <c r="B95" s="35"/>
      <c r="C95" s="35"/>
      <c r="D95" s="35" t="s">
        <v>2946</v>
      </c>
      <c r="E95" s="35"/>
      <c r="F95" s="35">
        <v>500</v>
      </c>
      <c r="G95" s="35" t="b">
        <v>0</v>
      </c>
      <c r="H95" s="39" t="s">
        <v>15</v>
      </c>
      <c r="I95" s="35" t="s">
        <v>37</v>
      </c>
      <c r="J95" s="35">
        <v>0</v>
      </c>
      <c r="K95" s="35" t="s">
        <v>4204</v>
      </c>
      <c r="L95" s="35" t="s">
        <v>4201</v>
      </c>
      <c r="M95" s="35" t="s">
        <v>4073</v>
      </c>
      <c r="N95" s="35" t="s">
        <v>4201</v>
      </c>
      <c r="O95" s="35" t="s">
        <v>4201</v>
      </c>
      <c r="P95" s="35" t="s">
        <v>4201</v>
      </c>
      <c r="Q95" s="35" t="s">
        <v>2449</v>
      </c>
      <c r="R95" s="35" t="s">
        <v>4201</v>
      </c>
      <c r="S95" s="35"/>
      <c r="T95" s="35"/>
    </row>
    <row r="96" spans="1:1012" ht="14">
      <c r="A96" s="35" t="s">
        <v>126</v>
      </c>
      <c r="B96" s="35"/>
      <c r="C96" s="35"/>
      <c r="D96" s="35" t="s">
        <v>2670</v>
      </c>
      <c r="E96" s="35"/>
      <c r="F96" s="35">
        <v>500</v>
      </c>
      <c r="G96" s="35" t="b">
        <v>0</v>
      </c>
      <c r="H96" s="39" t="s">
        <v>15</v>
      </c>
      <c r="I96" s="35" t="s">
        <v>37</v>
      </c>
      <c r="J96" s="35">
        <v>0</v>
      </c>
      <c r="K96" s="35" t="s">
        <v>4204</v>
      </c>
      <c r="L96" s="35" t="s">
        <v>4201</v>
      </c>
      <c r="M96" s="35" t="s">
        <v>4073</v>
      </c>
      <c r="N96" s="35" t="s">
        <v>4201</v>
      </c>
      <c r="O96" s="35" t="s">
        <v>4201</v>
      </c>
      <c r="P96" s="35" t="s">
        <v>4201</v>
      </c>
      <c r="Q96" s="35" t="s">
        <v>2449</v>
      </c>
      <c r="R96" s="35" t="s">
        <v>4201</v>
      </c>
      <c r="S96" s="35"/>
      <c r="T96" s="35"/>
    </row>
    <row r="97" spans="1:20" ht="14">
      <c r="A97" s="36" t="s">
        <v>58</v>
      </c>
      <c r="B97" s="36"/>
      <c r="C97" s="36" t="s">
        <v>3893</v>
      </c>
      <c r="D97" s="35" t="s">
        <v>59</v>
      </c>
      <c r="E97" s="35"/>
      <c r="F97" s="35">
        <v>200</v>
      </c>
      <c r="G97" s="35" t="b">
        <v>0</v>
      </c>
      <c r="H97" s="39" t="s">
        <v>15</v>
      </c>
      <c r="I97" s="35" t="s">
        <v>55</v>
      </c>
      <c r="J97" s="35">
        <v>0</v>
      </c>
      <c r="K97" s="35" t="s">
        <v>4204</v>
      </c>
      <c r="L97" s="35" t="s">
        <v>4201</v>
      </c>
      <c r="M97" s="35" t="s">
        <v>4073</v>
      </c>
      <c r="N97" s="35" t="s">
        <v>4201</v>
      </c>
      <c r="O97" s="35" t="s">
        <v>4201</v>
      </c>
      <c r="P97" s="35" t="s">
        <v>4201</v>
      </c>
      <c r="Q97" s="35" t="s">
        <v>2449</v>
      </c>
      <c r="R97" s="35" t="s">
        <v>4201</v>
      </c>
      <c r="S97" s="35"/>
      <c r="T97" s="35"/>
    </row>
    <row r="98" spans="1:20" ht="14">
      <c r="A98" s="35" t="s">
        <v>4343</v>
      </c>
      <c r="B98" s="26"/>
      <c r="C98" s="26"/>
      <c r="D98" s="35" t="s">
        <v>4344</v>
      </c>
      <c r="E98" s="35"/>
      <c r="F98" s="35">
        <v>500</v>
      </c>
      <c r="G98" s="35" t="b">
        <v>0</v>
      </c>
      <c r="H98" s="39" t="s">
        <v>15</v>
      </c>
      <c r="I98" s="35" t="s">
        <v>37</v>
      </c>
      <c r="J98" s="35">
        <v>0</v>
      </c>
      <c r="K98" s="35" t="s">
        <v>4205</v>
      </c>
      <c r="L98" s="35" t="s">
        <v>4201</v>
      </c>
      <c r="M98" s="35"/>
      <c r="N98" s="35" t="s">
        <v>4201</v>
      </c>
      <c r="O98" s="35" t="s">
        <v>4201</v>
      </c>
      <c r="P98" s="35" t="s">
        <v>4201</v>
      </c>
      <c r="Q98" s="35" t="s">
        <v>2449</v>
      </c>
      <c r="R98" s="35" t="s">
        <v>4160</v>
      </c>
      <c r="S98" s="35"/>
      <c r="T98" s="35"/>
    </row>
    <row r="99" spans="1:20" ht="14">
      <c r="A99" s="36" t="s">
        <v>130</v>
      </c>
      <c r="B99" s="36"/>
      <c r="C99" s="36"/>
      <c r="D99" s="35" t="s">
        <v>135</v>
      </c>
      <c r="E99" s="35"/>
      <c r="F99" s="35">
        <v>400</v>
      </c>
      <c r="G99" s="35" t="b">
        <v>0</v>
      </c>
      <c r="H99" s="39" t="s">
        <v>15</v>
      </c>
      <c r="I99" s="35" t="s">
        <v>132</v>
      </c>
      <c r="J99" s="35">
        <v>1</v>
      </c>
      <c r="K99" s="35" t="s">
        <v>4204</v>
      </c>
      <c r="L99" s="35" t="s">
        <v>4201</v>
      </c>
      <c r="M99" s="35" t="s">
        <v>4073</v>
      </c>
      <c r="N99" s="35" t="s">
        <v>4201</v>
      </c>
      <c r="O99" s="35" t="s">
        <v>4201</v>
      </c>
      <c r="P99" s="35" t="s">
        <v>4201</v>
      </c>
      <c r="Q99" s="35" t="s">
        <v>2449</v>
      </c>
      <c r="R99" s="35" t="s">
        <v>4201</v>
      </c>
      <c r="S99" s="35"/>
      <c r="T99" s="35"/>
    </row>
    <row r="100" spans="1:20" ht="14">
      <c r="A100" s="36" t="s">
        <v>133</v>
      </c>
      <c r="B100" s="36"/>
      <c r="C100" s="36"/>
      <c r="D100" s="36" t="s">
        <v>134</v>
      </c>
      <c r="E100" s="36"/>
      <c r="F100" s="35">
        <v>400</v>
      </c>
      <c r="G100" s="35" t="b">
        <v>0</v>
      </c>
      <c r="H100" s="39" t="s">
        <v>15</v>
      </c>
      <c r="I100" s="35" t="s">
        <v>132</v>
      </c>
      <c r="J100" s="35">
        <v>1</v>
      </c>
      <c r="K100" s="35" t="s">
        <v>4160</v>
      </c>
      <c r="L100" s="35" t="s">
        <v>4201</v>
      </c>
      <c r="M100" s="35" t="s">
        <v>4201</v>
      </c>
      <c r="N100" s="35" t="s">
        <v>4201</v>
      </c>
      <c r="O100" s="35" t="s">
        <v>4201</v>
      </c>
      <c r="P100" s="35" t="s">
        <v>4201</v>
      </c>
      <c r="Q100" s="35" t="s">
        <v>4201</v>
      </c>
      <c r="R100" s="35" t="s">
        <v>4160</v>
      </c>
      <c r="S100" s="35"/>
      <c r="T100" s="35"/>
    </row>
    <row r="101" spans="1:20" ht="14">
      <c r="A101" s="36" t="s">
        <v>129</v>
      </c>
      <c r="B101" s="36"/>
      <c r="C101" s="36"/>
      <c r="D101" s="36" t="s">
        <v>131</v>
      </c>
      <c r="E101" s="36"/>
      <c r="F101" s="35">
        <v>400</v>
      </c>
      <c r="G101" s="35" t="b">
        <v>0</v>
      </c>
      <c r="H101" s="39" t="s">
        <v>15</v>
      </c>
      <c r="I101" s="35" t="s">
        <v>132</v>
      </c>
      <c r="J101" s="35">
        <v>1</v>
      </c>
      <c r="K101" s="35" t="s">
        <v>4204</v>
      </c>
      <c r="L101" s="35" t="s">
        <v>4201</v>
      </c>
      <c r="M101" s="35" t="s">
        <v>4073</v>
      </c>
      <c r="N101" s="35" t="s">
        <v>4201</v>
      </c>
      <c r="O101" s="35" t="s">
        <v>4201</v>
      </c>
      <c r="P101" s="35" t="s">
        <v>4201</v>
      </c>
      <c r="Q101" s="35" t="s">
        <v>2449</v>
      </c>
      <c r="R101" s="35" t="s">
        <v>4201</v>
      </c>
      <c r="S101" s="35"/>
      <c r="T101" s="35"/>
    </row>
    <row r="102" spans="1:20" ht="14">
      <c r="A102" s="35" t="s">
        <v>127</v>
      </c>
      <c r="B102" s="35"/>
      <c r="C102" s="35"/>
      <c r="D102" s="35" t="s">
        <v>138</v>
      </c>
      <c r="E102" s="35"/>
      <c r="F102" s="35">
        <v>500</v>
      </c>
      <c r="G102" s="35" t="b">
        <v>0</v>
      </c>
      <c r="H102" s="39" t="s">
        <v>15</v>
      </c>
      <c r="I102" s="35" t="s">
        <v>37</v>
      </c>
      <c r="J102" s="35">
        <v>0</v>
      </c>
      <c r="K102" s="35" t="s">
        <v>4203</v>
      </c>
      <c r="L102" s="35" t="s">
        <v>4201</v>
      </c>
      <c r="M102" s="35" t="s">
        <v>4073</v>
      </c>
      <c r="N102" s="35" t="s">
        <v>4201</v>
      </c>
      <c r="O102" s="35" t="s">
        <v>4201</v>
      </c>
      <c r="P102" s="35" t="s">
        <v>4201</v>
      </c>
      <c r="Q102" s="35" t="s">
        <v>2449</v>
      </c>
      <c r="R102" s="35" t="s">
        <v>4201</v>
      </c>
      <c r="S102" s="35"/>
      <c r="T102" s="35"/>
    </row>
    <row r="103" spans="1:20" ht="14">
      <c r="A103" s="26" t="s">
        <v>4069</v>
      </c>
      <c r="B103" s="26"/>
      <c r="C103" s="35"/>
      <c r="D103" s="36" t="s">
        <v>4070</v>
      </c>
      <c r="E103" s="36" t="s">
        <v>3161</v>
      </c>
      <c r="F103" s="35">
        <v>500</v>
      </c>
      <c r="G103" s="35" t="b">
        <v>1</v>
      </c>
      <c r="H103" s="39" t="s">
        <v>15</v>
      </c>
      <c r="I103" s="35" t="s">
        <v>3043</v>
      </c>
      <c r="J103" s="35">
        <v>2</v>
      </c>
      <c r="K103" s="35" t="s">
        <v>4203</v>
      </c>
      <c r="L103" s="35" t="s">
        <v>4201</v>
      </c>
      <c r="M103" s="35" t="s">
        <v>4073</v>
      </c>
      <c r="N103" s="35" t="s">
        <v>4201</v>
      </c>
      <c r="O103" s="35" t="s">
        <v>4201</v>
      </c>
      <c r="P103" s="35" t="s">
        <v>4201</v>
      </c>
      <c r="Q103" s="35" t="s">
        <v>2449</v>
      </c>
      <c r="R103" s="35" t="s">
        <v>4160</v>
      </c>
      <c r="S103" s="35"/>
      <c r="T103" s="35"/>
    </row>
    <row r="104" spans="1:20" ht="14">
      <c r="A104" s="26" t="s">
        <v>4076</v>
      </c>
      <c r="B104" s="26"/>
      <c r="C104" s="35"/>
      <c r="D104" s="36" t="s">
        <v>4074</v>
      </c>
      <c r="E104" s="36" t="s">
        <v>4075</v>
      </c>
      <c r="F104" s="35">
        <v>500</v>
      </c>
      <c r="G104" s="35" t="b">
        <v>1</v>
      </c>
      <c r="H104" s="39" t="s">
        <v>15</v>
      </c>
      <c r="I104" s="35" t="s">
        <v>3043</v>
      </c>
      <c r="J104" s="35">
        <v>2</v>
      </c>
      <c r="K104" s="35" t="s">
        <v>4203</v>
      </c>
      <c r="L104" s="35" t="s">
        <v>4201</v>
      </c>
      <c r="M104" s="35" t="s">
        <v>4073</v>
      </c>
      <c r="N104" s="35" t="s">
        <v>4201</v>
      </c>
      <c r="O104" s="35" t="s">
        <v>4201</v>
      </c>
      <c r="P104" s="35" t="s">
        <v>4201</v>
      </c>
      <c r="Q104" s="35" t="s">
        <v>2449</v>
      </c>
      <c r="R104" s="35" t="s">
        <v>4160</v>
      </c>
      <c r="S104" s="35"/>
      <c r="T104" s="35"/>
    </row>
    <row r="105" spans="1:20" ht="14">
      <c r="A105" s="26" t="s">
        <v>4084</v>
      </c>
      <c r="B105" s="35"/>
      <c r="C105" s="35"/>
      <c r="D105" s="36" t="s">
        <v>4480</v>
      </c>
      <c r="E105" s="36" t="s">
        <v>4085</v>
      </c>
      <c r="F105" s="35">
        <v>500</v>
      </c>
      <c r="G105" s="35" t="b">
        <v>1</v>
      </c>
      <c r="H105" s="39" t="s">
        <v>15</v>
      </c>
      <c r="I105" s="35" t="s">
        <v>3043</v>
      </c>
      <c r="J105" s="35">
        <v>2</v>
      </c>
      <c r="K105" s="35" t="s">
        <v>4203</v>
      </c>
      <c r="L105" s="35" t="s">
        <v>4201</v>
      </c>
      <c r="M105" s="35" t="s">
        <v>4073</v>
      </c>
      <c r="N105" s="35" t="s">
        <v>4201</v>
      </c>
      <c r="O105" s="35" t="s">
        <v>4201</v>
      </c>
      <c r="P105" s="35" t="s">
        <v>4201</v>
      </c>
      <c r="Q105" s="35" t="s">
        <v>2449</v>
      </c>
      <c r="R105" s="35" t="s">
        <v>4160</v>
      </c>
      <c r="S105" s="35"/>
      <c r="T105" s="35"/>
    </row>
    <row r="106" spans="1:20" ht="14">
      <c r="A106" s="35" t="s">
        <v>3872</v>
      </c>
      <c r="B106" s="35"/>
      <c r="C106" s="35"/>
      <c r="D106" s="35" t="s">
        <v>3873</v>
      </c>
      <c r="E106" s="35"/>
      <c r="F106" s="35">
        <v>450</v>
      </c>
      <c r="G106" s="35" t="b">
        <v>0</v>
      </c>
      <c r="H106" s="39" t="s">
        <v>15</v>
      </c>
      <c r="I106" s="35" t="s">
        <v>3874</v>
      </c>
      <c r="J106" s="35">
        <v>0</v>
      </c>
      <c r="K106" s="35" t="s">
        <v>4205</v>
      </c>
      <c r="L106" s="35" t="s">
        <v>4201</v>
      </c>
      <c r="M106" s="35" t="s">
        <v>4201</v>
      </c>
      <c r="N106" s="35" t="s">
        <v>4201</v>
      </c>
      <c r="O106" s="35" t="s">
        <v>4201</v>
      </c>
      <c r="P106" s="35" t="s">
        <v>4201</v>
      </c>
      <c r="Q106" s="35" t="s">
        <v>2449</v>
      </c>
      <c r="R106" s="35" t="s">
        <v>4160</v>
      </c>
      <c r="S106" s="35"/>
      <c r="T106" s="35"/>
    </row>
    <row r="107" spans="1:20" ht="14">
      <c r="A107" s="35" t="s">
        <v>141</v>
      </c>
      <c r="B107" s="35"/>
      <c r="C107" s="35" t="s">
        <v>3992</v>
      </c>
      <c r="D107" s="35" t="s">
        <v>142</v>
      </c>
      <c r="E107" s="35"/>
      <c r="F107" s="35">
        <v>500</v>
      </c>
      <c r="G107" s="35" t="b">
        <v>0</v>
      </c>
      <c r="H107" s="39" t="s">
        <v>15</v>
      </c>
      <c r="I107" s="35" t="s">
        <v>37</v>
      </c>
      <c r="J107" s="35">
        <v>0</v>
      </c>
      <c r="K107" s="35" t="s">
        <v>4203</v>
      </c>
      <c r="L107" s="35" t="s">
        <v>4201</v>
      </c>
      <c r="M107" s="35" t="s">
        <v>4073</v>
      </c>
      <c r="N107" s="35" t="s">
        <v>4201</v>
      </c>
      <c r="O107" s="35" t="s">
        <v>4201</v>
      </c>
      <c r="P107" s="35" t="s">
        <v>4201</v>
      </c>
      <c r="Q107" s="35" t="s">
        <v>2449</v>
      </c>
      <c r="R107" s="35" t="s">
        <v>4201</v>
      </c>
      <c r="S107" s="35"/>
      <c r="T107" s="35"/>
    </row>
    <row r="108" spans="1:20" ht="14">
      <c r="A108" s="26" t="s">
        <v>4077</v>
      </c>
      <c r="B108" s="26"/>
      <c r="C108" s="35"/>
      <c r="D108" s="36" t="s">
        <v>4078</v>
      </c>
      <c r="E108" s="36" t="s">
        <v>4079</v>
      </c>
      <c r="F108" s="35">
        <v>500</v>
      </c>
      <c r="G108" s="35" t="b">
        <v>1</v>
      </c>
      <c r="H108" s="39" t="s">
        <v>15</v>
      </c>
      <c r="I108" s="35" t="s">
        <v>3043</v>
      </c>
      <c r="J108" s="35">
        <v>2</v>
      </c>
      <c r="K108" s="35" t="s">
        <v>4203</v>
      </c>
      <c r="L108" s="35" t="s">
        <v>4201</v>
      </c>
      <c r="M108" s="35" t="s">
        <v>4073</v>
      </c>
      <c r="N108" s="35" t="s">
        <v>4201</v>
      </c>
      <c r="O108" s="35" t="s">
        <v>4201</v>
      </c>
      <c r="P108" s="35" t="s">
        <v>4201</v>
      </c>
      <c r="Q108" s="35" t="s">
        <v>2449</v>
      </c>
      <c r="R108" s="35" t="s">
        <v>4160</v>
      </c>
      <c r="S108" s="35"/>
      <c r="T108" s="35"/>
    </row>
    <row r="109" spans="1:20" ht="14">
      <c r="A109" s="26" t="s">
        <v>4000</v>
      </c>
      <c r="B109" s="26"/>
      <c r="C109" s="35"/>
      <c r="D109" s="36" t="s">
        <v>3984</v>
      </c>
      <c r="E109" s="36"/>
      <c r="F109" s="35">
        <v>500</v>
      </c>
      <c r="G109" s="35" t="b">
        <v>1</v>
      </c>
      <c r="H109" s="39" t="s">
        <v>15</v>
      </c>
      <c r="I109" s="35" t="s">
        <v>3043</v>
      </c>
      <c r="J109" s="35">
        <v>2</v>
      </c>
      <c r="K109" s="35" t="s">
        <v>4203</v>
      </c>
      <c r="L109" s="35" t="s">
        <v>4201</v>
      </c>
      <c r="M109" s="35" t="s">
        <v>4073</v>
      </c>
      <c r="N109" s="35" t="s">
        <v>4201</v>
      </c>
      <c r="O109" s="35" t="s">
        <v>4201</v>
      </c>
      <c r="P109" s="35" t="s">
        <v>4201</v>
      </c>
      <c r="Q109" s="35" t="s">
        <v>2449</v>
      </c>
      <c r="R109" s="35" t="s">
        <v>4160</v>
      </c>
      <c r="S109" s="35"/>
      <c r="T109" s="35"/>
    </row>
    <row r="110" spans="1:20" ht="14">
      <c r="A110" s="35" t="s">
        <v>4115</v>
      </c>
      <c r="B110" s="35" t="s">
        <v>4118</v>
      </c>
      <c r="C110" s="35"/>
      <c r="D110" s="35" t="s">
        <v>3984</v>
      </c>
      <c r="E110" s="35"/>
      <c r="F110" s="35">
        <v>500</v>
      </c>
      <c r="G110" s="35" t="b">
        <v>1</v>
      </c>
      <c r="H110" s="39" t="s">
        <v>15</v>
      </c>
      <c r="I110" s="35" t="s">
        <v>95</v>
      </c>
      <c r="J110" s="35">
        <v>0</v>
      </c>
      <c r="K110" s="35" t="s">
        <v>4214</v>
      </c>
      <c r="L110" s="35" t="s">
        <v>4201</v>
      </c>
      <c r="M110" s="35" t="s">
        <v>4073</v>
      </c>
      <c r="N110" s="35" t="s">
        <v>4201</v>
      </c>
      <c r="O110" s="35" t="s">
        <v>95</v>
      </c>
      <c r="P110" s="35" t="s">
        <v>4201</v>
      </c>
      <c r="Q110" s="35" t="s">
        <v>4201</v>
      </c>
      <c r="R110" s="35" t="s">
        <v>4201</v>
      </c>
      <c r="S110" s="35"/>
      <c r="T110" s="35"/>
    </row>
    <row r="111" spans="1:20" ht="14">
      <c r="A111" s="35" t="s">
        <v>4117</v>
      </c>
      <c r="B111" s="35" t="s">
        <v>4119</v>
      </c>
      <c r="C111" s="35"/>
      <c r="D111" s="35" t="s">
        <v>4125</v>
      </c>
      <c r="E111" s="35"/>
      <c r="F111" s="35">
        <v>500</v>
      </c>
      <c r="G111" s="35" t="b">
        <v>1</v>
      </c>
      <c r="H111" s="39" t="s">
        <v>15</v>
      </c>
      <c r="I111" s="35" t="s">
        <v>95</v>
      </c>
      <c r="J111" s="35">
        <v>0</v>
      </c>
      <c r="K111" s="35" t="s">
        <v>4214</v>
      </c>
      <c r="L111" s="35" t="s">
        <v>4201</v>
      </c>
      <c r="M111" s="35" t="s">
        <v>4073</v>
      </c>
      <c r="N111" s="35" t="s">
        <v>4201</v>
      </c>
      <c r="O111" s="35" t="s">
        <v>95</v>
      </c>
      <c r="P111" s="35" t="s">
        <v>4201</v>
      </c>
      <c r="Q111" s="35" t="s">
        <v>4201</v>
      </c>
      <c r="R111" s="35" t="s">
        <v>4201</v>
      </c>
      <c r="S111" s="35"/>
      <c r="T111" s="35"/>
    </row>
    <row r="112" spans="1:20" ht="14">
      <c r="A112" s="35" t="s">
        <v>4116</v>
      </c>
      <c r="B112" s="35" t="s">
        <v>4119</v>
      </c>
      <c r="C112" s="35"/>
      <c r="D112" s="35" t="s">
        <v>4124</v>
      </c>
      <c r="E112" s="35"/>
      <c r="F112" s="35">
        <v>600</v>
      </c>
      <c r="G112" s="35" t="b">
        <v>1</v>
      </c>
      <c r="H112" s="39" t="s">
        <v>15</v>
      </c>
      <c r="I112" s="35" t="s">
        <v>95</v>
      </c>
      <c r="J112" s="35">
        <v>0</v>
      </c>
      <c r="K112" s="35" t="s">
        <v>4214</v>
      </c>
      <c r="L112" s="35" t="s">
        <v>4201</v>
      </c>
      <c r="M112" s="35" t="s">
        <v>4073</v>
      </c>
      <c r="N112" s="35" t="s">
        <v>4201</v>
      </c>
      <c r="O112" s="35" t="s">
        <v>95</v>
      </c>
      <c r="P112" s="35" t="s">
        <v>4201</v>
      </c>
      <c r="Q112" s="35" t="s">
        <v>4201</v>
      </c>
      <c r="R112" s="35" t="s">
        <v>4201</v>
      </c>
      <c r="S112" s="35"/>
      <c r="T112" s="35"/>
    </row>
    <row r="113" spans="1:20" ht="14">
      <c r="A113" s="26" t="s">
        <v>4154</v>
      </c>
      <c r="B113" s="26"/>
      <c r="C113" s="35"/>
      <c r="D113" s="36" t="s">
        <v>4157</v>
      </c>
      <c r="E113" s="36"/>
      <c r="F113" s="35">
        <v>800</v>
      </c>
      <c r="G113" s="35" t="b">
        <v>1</v>
      </c>
      <c r="H113" s="39" t="s">
        <v>15</v>
      </c>
      <c r="I113" s="35" t="s">
        <v>3043</v>
      </c>
      <c r="J113" s="35">
        <v>2</v>
      </c>
      <c r="K113" s="35" t="s">
        <v>4203</v>
      </c>
      <c r="L113" s="35" t="s">
        <v>4201</v>
      </c>
      <c r="M113" s="35" t="s">
        <v>4073</v>
      </c>
      <c r="N113" s="35" t="s">
        <v>4201</v>
      </c>
      <c r="O113" s="35" t="s">
        <v>4201</v>
      </c>
      <c r="P113" s="35" t="s">
        <v>4201</v>
      </c>
      <c r="Q113" s="35" t="s">
        <v>2449</v>
      </c>
      <c r="R113" s="35" t="s">
        <v>4160</v>
      </c>
      <c r="S113" s="35"/>
      <c r="T113" s="35"/>
    </row>
    <row r="114" spans="1:20" ht="14">
      <c r="A114" s="36" t="s">
        <v>22</v>
      </c>
      <c r="B114" s="36"/>
      <c r="C114" s="36" t="s">
        <v>3893</v>
      </c>
      <c r="D114" s="36" t="s">
        <v>24</v>
      </c>
      <c r="E114" s="36"/>
      <c r="F114" s="35">
        <v>550</v>
      </c>
      <c r="G114" s="35" t="b">
        <v>0</v>
      </c>
      <c r="H114" s="39" t="s">
        <v>15</v>
      </c>
      <c r="I114" s="35" t="s">
        <v>25</v>
      </c>
      <c r="J114" s="35">
        <v>1</v>
      </c>
      <c r="K114" s="35" t="s">
        <v>4204</v>
      </c>
      <c r="L114" s="35" t="s">
        <v>4201</v>
      </c>
      <c r="M114" s="35" t="s">
        <v>4073</v>
      </c>
      <c r="N114" s="35" t="s">
        <v>4201</v>
      </c>
      <c r="O114" s="35" t="s">
        <v>4201</v>
      </c>
      <c r="P114" s="35" t="s">
        <v>4201</v>
      </c>
      <c r="Q114" s="35" t="s">
        <v>2449</v>
      </c>
      <c r="R114" s="35" t="s">
        <v>4201</v>
      </c>
      <c r="S114" s="35"/>
      <c r="T114" s="35"/>
    </row>
    <row r="115" spans="1:20" ht="14">
      <c r="A115" s="35" t="s">
        <v>2774</v>
      </c>
      <c r="B115" s="35"/>
      <c r="C115" s="35" t="s">
        <v>4154</v>
      </c>
      <c r="D115" s="35" t="s">
        <v>2775</v>
      </c>
      <c r="E115" s="35"/>
      <c r="F115" s="35">
        <v>500</v>
      </c>
      <c r="G115" s="35" t="b">
        <v>0</v>
      </c>
      <c r="H115" s="39" t="s">
        <v>17</v>
      </c>
      <c r="I115" s="35" t="s">
        <v>37</v>
      </c>
      <c r="J115" s="35">
        <v>0</v>
      </c>
      <c r="K115" s="35" t="s">
        <v>2449</v>
      </c>
      <c r="L115" s="35" t="s">
        <v>4201</v>
      </c>
      <c r="M115" s="35" t="s">
        <v>4201</v>
      </c>
      <c r="N115" s="35" t="s">
        <v>4201</v>
      </c>
      <c r="O115" s="35" t="s">
        <v>4201</v>
      </c>
      <c r="P115" s="35" t="s">
        <v>4201</v>
      </c>
      <c r="Q115" s="35" t="s">
        <v>2449</v>
      </c>
      <c r="R115" s="35" t="s">
        <v>4201</v>
      </c>
      <c r="S115" s="35"/>
      <c r="T115" s="35"/>
    </row>
    <row r="116" spans="1:20" ht="14">
      <c r="A116" s="35" t="s">
        <v>4219</v>
      </c>
      <c r="B116" s="35" t="s">
        <v>4200</v>
      </c>
      <c r="C116" s="35" t="s">
        <v>4154</v>
      </c>
      <c r="D116" s="35" t="s">
        <v>4220</v>
      </c>
      <c r="E116" s="35"/>
      <c r="F116" s="35">
        <v>500</v>
      </c>
      <c r="G116" s="35" t="b">
        <v>1</v>
      </c>
      <c r="H116" s="39" t="s">
        <v>15</v>
      </c>
      <c r="I116" s="35" t="s">
        <v>37</v>
      </c>
      <c r="J116" s="35">
        <v>0</v>
      </c>
      <c r="K116" s="35" t="s">
        <v>4203</v>
      </c>
      <c r="L116" s="35" t="s">
        <v>4201</v>
      </c>
      <c r="M116" s="35" t="s">
        <v>4073</v>
      </c>
      <c r="N116" s="35" t="s">
        <v>4201</v>
      </c>
      <c r="O116" s="35" t="s">
        <v>4201</v>
      </c>
      <c r="P116" s="35" t="s">
        <v>4201</v>
      </c>
      <c r="Q116" s="35" t="s">
        <v>2449</v>
      </c>
      <c r="R116" s="35" t="s">
        <v>4160</v>
      </c>
      <c r="S116" s="35"/>
      <c r="T116" s="35"/>
    </row>
    <row r="117" spans="1:20" ht="14">
      <c r="A117" s="35" t="s">
        <v>145</v>
      </c>
      <c r="B117" s="35" t="s">
        <v>4192</v>
      </c>
      <c r="C117" s="35" t="s">
        <v>147</v>
      </c>
      <c r="D117" s="35" t="s">
        <v>146</v>
      </c>
      <c r="E117" s="35"/>
      <c r="F117" s="35">
        <v>400</v>
      </c>
      <c r="G117" s="35" t="b">
        <v>0</v>
      </c>
      <c r="H117" s="39" t="s">
        <v>15</v>
      </c>
      <c r="I117" s="35" t="s">
        <v>95</v>
      </c>
      <c r="J117" s="35">
        <v>0</v>
      </c>
      <c r="K117" s="35" t="s">
        <v>4214</v>
      </c>
      <c r="L117" s="35" t="s">
        <v>4201</v>
      </c>
      <c r="M117" s="35" t="s">
        <v>4073</v>
      </c>
      <c r="N117" s="35" t="s">
        <v>4201</v>
      </c>
      <c r="O117" s="35" t="s">
        <v>95</v>
      </c>
      <c r="P117" s="35" t="s">
        <v>4201</v>
      </c>
      <c r="Q117" s="35" t="s">
        <v>4201</v>
      </c>
      <c r="R117" s="35" t="s">
        <v>4201</v>
      </c>
      <c r="S117" s="35"/>
      <c r="T117" s="35"/>
    </row>
    <row r="118" spans="1:20" ht="14">
      <c r="A118" s="35" t="s">
        <v>147</v>
      </c>
      <c r="B118" s="35"/>
      <c r="C118" s="35" t="s">
        <v>4121</v>
      </c>
      <c r="D118" s="35" t="s">
        <v>4114</v>
      </c>
      <c r="E118" s="35"/>
      <c r="F118" s="35">
        <v>500</v>
      </c>
      <c r="G118" s="35" t="b">
        <v>0</v>
      </c>
      <c r="H118" s="39" t="s">
        <v>15</v>
      </c>
      <c r="I118" s="35" t="s">
        <v>95</v>
      </c>
      <c r="J118" s="35">
        <v>0</v>
      </c>
      <c r="K118" s="35" t="s">
        <v>4214</v>
      </c>
      <c r="L118" s="35" t="s">
        <v>4201</v>
      </c>
      <c r="M118" s="35" t="s">
        <v>4073</v>
      </c>
      <c r="N118" s="35" t="s">
        <v>4201</v>
      </c>
      <c r="O118" s="35" t="s">
        <v>95</v>
      </c>
      <c r="P118" s="35" t="s">
        <v>4201</v>
      </c>
      <c r="Q118" s="35" t="s">
        <v>4201</v>
      </c>
      <c r="R118" s="35" t="s">
        <v>4201</v>
      </c>
      <c r="S118" s="35"/>
      <c r="T118" s="35"/>
    </row>
    <row r="119" spans="1:20" ht="14">
      <c r="A119" s="36" t="s">
        <v>152</v>
      </c>
      <c r="B119" s="36"/>
      <c r="C119" s="36" t="s">
        <v>4027</v>
      </c>
      <c r="D119" s="36" t="s">
        <v>153</v>
      </c>
      <c r="E119" s="36"/>
      <c r="F119" s="35">
        <v>550</v>
      </c>
      <c r="G119" s="35" t="b">
        <v>0</v>
      </c>
      <c r="H119" s="39" t="s">
        <v>15</v>
      </c>
      <c r="I119" s="35" t="s">
        <v>25</v>
      </c>
      <c r="J119" s="35">
        <v>1</v>
      </c>
      <c r="K119" s="35" t="s">
        <v>4204</v>
      </c>
      <c r="L119" s="35" t="s">
        <v>4201</v>
      </c>
      <c r="M119" s="35" t="s">
        <v>4073</v>
      </c>
      <c r="N119" s="35" t="s">
        <v>4201</v>
      </c>
      <c r="O119" s="35" t="s">
        <v>4201</v>
      </c>
      <c r="P119" s="35" t="s">
        <v>4201</v>
      </c>
      <c r="Q119" s="35" t="s">
        <v>2449</v>
      </c>
      <c r="R119" s="35" t="s">
        <v>4201</v>
      </c>
      <c r="S119" s="35"/>
      <c r="T119" s="35"/>
    </row>
    <row r="120" spans="1:20" ht="14">
      <c r="A120" s="35" t="s">
        <v>2824</v>
      </c>
      <c r="B120" s="35"/>
      <c r="C120" s="35"/>
      <c r="D120" s="35" t="s">
        <v>2825</v>
      </c>
      <c r="E120" s="35"/>
      <c r="F120" s="35">
        <v>500</v>
      </c>
      <c r="G120" s="35" t="b">
        <v>0</v>
      </c>
      <c r="H120" s="39" t="s">
        <v>15</v>
      </c>
      <c r="I120" s="35" t="s">
        <v>41</v>
      </c>
      <c r="J120" s="35">
        <v>1</v>
      </c>
      <c r="K120" s="35" t="s">
        <v>4203</v>
      </c>
      <c r="L120" s="35" t="s">
        <v>4201</v>
      </c>
      <c r="M120" s="35" t="s">
        <v>4073</v>
      </c>
      <c r="N120" s="35" t="s">
        <v>4201</v>
      </c>
      <c r="O120" s="35" t="s">
        <v>4201</v>
      </c>
      <c r="P120" s="35" t="s">
        <v>4201</v>
      </c>
      <c r="Q120" s="35" t="s">
        <v>2449</v>
      </c>
      <c r="R120" s="35" t="s">
        <v>4160</v>
      </c>
      <c r="S120" s="35"/>
      <c r="T120" s="35"/>
    </row>
    <row r="121" spans="1:20" ht="14">
      <c r="A121" s="35" t="s">
        <v>3092</v>
      </c>
      <c r="B121" s="35"/>
      <c r="C121" s="35"/>
      <c r="D121" s="35" t="s">
        <v>3093</v>
      </c>
      <c r="E121" s="35"/>
      <c r="F121" s="35">
        <v>600</v>
      </c>
      <c r="G121" s="35" t="b">
        <v>0</v>
      </c>
      <c r="H121" s="39" t="s">
        <v>15</v>
      </c>
      <c r="I121" s="35" t="s">
        <v>37</v>
      </c>
      <c r="J121" s="35">
        <v>0</v>
      </c>
      <c r="K121" s="35" t="s">
        <v>4207</v>
      </c>
      <c r="L121" s="35" t="s">
        <v>4201</v>
      </c>
      <c r="M121" s="35" t="s">
        <v>4073</v>
      </c>
      <c r="N121" s="35" t="s">
        <v>4201</v>
      </c>
      <c r="O121" s="35" t="s">
        <v>4201</v>
      </c>
      <c r="P121" s="35" t="s">
        <v>4208</v>
      </c>
      <c r="Q121" s="35" t="s">
        <v>4201</v>
      </c>
      <c r="R121" s="35" t="s">
        <v>4201</v>
      </c>
      <c r="S121" s="35"/>
      <c r="T121" s="35"/>
    </row>
    <row r="122" spans="1:20" ht="14">
      <c r="A122" s="35" t="s">
        <v>172</v>
      </c>
      <c r="B122" s="35"/>
      <c r="C122" s="35"/>
      <c r="D122" s="35" t="s">
        <v>173</v>
      </c>
      <c r="E122" s="35"/>
      <c r="F122" s="35">
        <v>500</v>
      </c>
      <c r="G122" s="35" t="b">
        <v>0</v>
      </c>
      <c r="H122" s="39" t="s">
        <v>15</v>
      </c>
      <c r="I122" s="35" t="s">
        <v>165</v>
      </c>
      <c r="J122" s="35">
        <v>0</v>
      </c>
      <c r="K122" s="35" t="s">
        <v>4202</v>
      </c>
      <c r="L122" s="35" t="s">
        <v>4201</v>
      </c>
      <c r="M122" s="35" t="s">
        <v>4073</v>
      </c>
      <c r="N122" s="35" t="s">
        <v>165</v>
      </c>
      <c r="O122" s="35" t="s">
        <v>4201</v>
      </c>
      <c r="P122" s="35" t="s">
        <v>4201</v>
      </c>
      <c r="Q122" s="35" t="s">
        <v>4201</v>
      </c>
      <c r="R122" s="35" t="s">
        <v>4201</v>
      </c>
      <c r="S122" s="35"/>
      <c r="T122" s="35"/>
    </row>
    <row r="123" spans="1:20" ht="14">
      <c r="A123" s="35" t="s">
        <v>154</v>
      </c>
      <c r="B123" s="35"/>
      <c r="C123" s="35"/>
      <c r="D123" s="35" t="s">
        <v>155</v>
      </c>
      <c r="E123" s="35"/>
      <c r="F123" s="35">
        <v>500</v>
      </c>
      <c r="G123" s="35" t="b">
        <v>0</v>
      </c>
      <c r="H123" s="39" t="s">
        <v>15</v>
      </c>
      <c r="I123" s="35" t="s">
        <v>21</v>
      </c>
      <c r="J123" s="35">
        <v>2</v>
      </c>
      <c r="K123" s="35" t="s">
        <v>4213</v>
      </c>
      <c r="L123" s="35" t="s">
        <v>4201</v>
      </c>
      <c r="M123" s="35" t="s">
        <v>4073</v>
      </c>
      <c r="N123" s="35" t="s">
        <v>4201</v>
      </c>
      <c r="O123" s="35" t="s">
        <v>4201</v>
      </c>
      <c r="P123" s="35" t="s">
        <v>4208</v>
      </c>
      <c r="Q123" s="35" t="s">
        <v>2449</v>
      </c>
      <c r="R123" s="35" t="s">
        <v>4160</v>
      </c>
      <c r="S123" s="35"/>
      <c r="T123" s="35"/>
    </row>
    <row r="124" spans="1:20" ht="14">
      <c r="A124" s="35" t="s">
        <v>174</v>
      </c>
      <c r="B124" s="35"/>
      <c r="C124" s="35"/>
      <c r="D124" s="35" t="s">
        <v>175</v>
      </c>
      <c r="E124" s="35"/>
      <c r="F124" s="35">
        <v>300</v>
      </c>
      <c r="G124" s="35" t="b">
        <v>0</v>
      </c>
      <c r="H124" s="39" t="s">
        <v>15</v>
      </c>
      <c r="I124" s="35" t="s">
        <v>165</v>
      </c>
      <c r="J124" s="35">
        <v>0</v>
      </c>
      <c r="K124" s="35" t="s">
        <v>165</v>
      </c>
      <c r="L124" s="35" t="s">
        <v>4201</v>
      </c>
      <c r="M124" s="35" t="s">
        <v>4201</v>
      </c>
      <c r="N124" s="35" t="s">
        <v>165</v>
      </c>
      <c r="O124" s="35" t="s">
        <v>4201</v>
      </c>
      <c r="P124" s="35" t="s">
        <v>4201</v>
      </c>
      <c r="Q124" s="35" t="s">
        <v>4201</v>
      </c>
      <c r="R124" s="35" t="s">
        <v>4201</v>
      </c>
      <c r="S124" s="35"/>
      <c r="T124" s="35"/>
    </row>
    <row r="125" spans="1:20" ht="14">
      <c r="A125" s="36" t="s">
        <v>26</v>
      </c>
      <c r="B125" s="36"/>
      <c r="C125" s="36"/>
      <c r="D125" s="35" t="s">
        <v>28</v>
      </c>
      <c r="E125" s="35"/>
      <c r="F125" s="35">
        <v>500</v>
      </c>
      <c r="G125" s="35" t="b">
        <v>0</v>
      </c>
      <c r="H125" s="39" t="s">
        <v>15</v>
      </c>
      <c r="I125" s="35" t="s">
        <v>29</v>
      </c>
      <c r="J125" s="35">
        <v>3</v>
      </c>
      <c r="K125" s="35" t="s">
        <v>4204</v>
      </c>
      <c r="L125" s="35" t="s">
        <v>4201</v>
      </c>
      <c r="M125" s="35" t="s">
        <v>4073</v>
      </c>
      <c r="N125" s="35" t="s">
        <v>4201</v>
      </c>
      <c r="O125" s="35" t="s">
        <v>4201</v>
      </c>
      <c r="P125" s="35" t="s">
        <v>4201</v>
      </c>
      <c r="Q125" s="35" t="s">
        <v>2449</v>
      </c>
      <c r="R125" s="35" t="s">
        <v>4201</v>
      </c>
      <c r="S125" s="35"/>
      <c r="T125" s="35"/>
    </row>
    <row r="126" spans="1:20" ht="14">
      <c r="A126" s="35" t="s">
        <v>3023</v>
      </c>
      <c r="B126" s="35"/>
      <c r="C126" s="35"/>
      <c r="D126" s="35" t="s">
        <v>3022</v>
      </c>
      <c r="E126" s="35"/>
      <c r="F126" s="35">
        <v>500</v>
      </c>
      <c r="G126" s="35" t="b">
        <v>0</v>
      </c>
      <c r="H126" s="39" t="s">
        <v>15</v>
      </c>
      <c r="I126" s="35" t="s">
        <v>37</v>
      </c>
      <c r="J126" s="35">
        <v>0</v>
      </c>
      <c r="K126" s="35" t="s">
        <v>4203</v>
      </c>
      <c r="L126" s="35" t="s">
        <v>4201</v>
      </c>
      <c r="M126" s="35" t="s">
        <v>4073</v>
      </c>
      <c r="N126" s="35" t="s">
        <v>4201</v>
      </c>
      <c r="O126" s="35" t="s">
        <v>4201</v>
      </c>
      <c r="P126" s="35" t="s">
        <v>4201</v>
      </c>
      <c r="Q126" s="35" t="s">
        <v>2449</v>
      </c>
      <c r="R126" s="35" t="s">
        <v>4160</v>
      </c>
      <c r="S126" s="35"/>
      <c r="T126" s="35"/>
    </row>
    <row r="127" spans="1:20" ht="14">
      <c r="A127" s="35" t="s">
        <v>89</v>
      </c>
      <c r="B127" s="35"/>
      <c r="C127" s="35"/>
      <c r="D127" s="35" t="s">
        <v>90</v>
      </c>
      <c r="E127" s="35"/>
      <c r="F127" s="35">
        <v>500</v>
      </c>
      <c r="G127" s="35" t="b">
        <v>0</v>
      </c>
      <c r="H127" s="39" t="s">
        <v>15</v>
      </c>
      <c r="I127" s="35" t="s">
        <v>91</v>
      </c>
      <c r="J127" s="35">
        <v>0</v>
      </c>
      <c r="K127" s="35" t="s">
        <v>4204</v>
      </c>
      <c r="L127" s="35" t="s">
        <v>4201</v>
      </c>
      <c r="M127" s="35" t="s">
        <v>4073</v>
      </c>
      <c r="N127" s="35" t="s">
        <v>4201</v>
      </c>
      <c r="O127" s="35" t="s">
        <v>4201</v>
      </c>
      <c r="P127" s="35" t="s">
        <v>4201</v>
      </c>
      <c r="Q127" s="35" t="s">
        <v>2449</v>
      </c>
      <c r="R127" s="35" t="s">
        <v>4201</v>
      </c>
      <c r="S127" s="35"/>
      <c r="T127" s="35"/>
    </row>
    <row r="128" spans="1:20" ht="14">
      <c r="A128" s="36" t="s">
        <v>157</v>
      </c>
      <c r="B128" s="36"/>
      <c r="C128" s="36"/>
      <c r="D128" s="35" t="s">
        <v>158</v>
      </c>
      <c r="E128" s="35"/>
      <c r="F128" s="35">
        <v>500</v>
      </c>
      <c r="G128" s="35" t="b">
        <v>0</v>
      </c>
      <c r="H128" s="39" t="s">
        <v>15</v>
      </c>
      <c r="I128" s="35" t="s">
        <v>132</v>
      </c>
      <c r="J128" s="35">
        <v>1</v>
      </c>
      <c r="K128" s="35" t="s">
        <v>4204</v>
      </c>
      <c r="L128" s="35" t="s">
        <v>4201</v>
      </c>
      <c r="M128" s="35" t="s">
        <v>4073</v>
      </c>
      <c r="N128" s="35" t="s">
        <v>4201</v>
      </c>
      <c r="O128" s="35" t="s">
        <v>4201</v>
      </c>
      <c r="P128" s="35" t="s">
        <v>4201</v>
      </c>
      <c r="Q128" s="35" t="s">
        <v>2449</v>
      </c>
      <c r="R128" s="35" t="s">
        <v>4201</v>
      </c>
      <c r="S128" s="35"/>
      <c r="T128" s="35"/>
    </row>
    <row r="129" spans="1:20" ht="14">
      <c r="A129" s="35" t="s">
        <v>2780</v>
      </c>
      <c r="B129" s="35"/>
      <c r="C129" s="35"/>
      <c r="D129" s="35" t="s">
        <v>3021</v>
      </c>
      <c r="E129" s="35"/>
      <c r="F129" s="35">
        <v>650</v>
      </c>
      <c r="G129" s="35" t="b">
        <v>0</v>
      </c>
      <c r="H129" s="39" t="s">
        <v>15</v>
      </c>
      <c r="I129" s="35" t="s">
        <v>41</v>
      </c>
      <c r="J129" s="35">
        <v>0</v>
      </c>
      <c r="K129" s="35" t="s">
        <v>4203</v>
      </c>
      <c r="L129" s="35" t="s">
        <v>4201</v>
      </c>
      <c r="M129" s="35" t="s">
        <v>4073</v>
      </c>
      <c r="N129" s="35" t="s">
        <v>4201</v>
      </c>
      <c r="O129" s="35" t="s">
        <v>4201</v>
      </c>
      <c r="P129" s="35" t="s">
        <v>4201</v>
      </c>
      <c r="Q129" s="35" t="s">
        <v>2449</v>
      </c>
      <c r="R129" s="35" t="s">
        <v>4160</v>
      </c>
      <c r="S129" s="35"/>
      <c r="T129" s="35"/>
    </row>
    <row r="130" spans="1:20" ht="14">
      <c r="A130" s="35" t="s">
        <v>4120</v>
      </c>
      <c r="B130" s="35" t="s">
        <v>4122</v>
      </c>
      <c r="C130" s="35"/>
      <c r="D130" s="35" t="s">
        <v>4126</v>
      </c>
      <c r="E130" s="35"/>
      <c r="F130" s="35">
        <v>500</v>
      </c>
      <c r="G130" s="35" t="b">
        <v>1</v>
      </c>
      <c r="H130" s="39" t="s">
        <v>15</v>
      </c>
      <c r="I130" s="35" t="s">
        <v>95</v>
      </c>
      <c r="J130" s="35">
        <v>0</v>
      </c>
      <c r="K130" s="35" t="s">
        <v>4214</v>
      </c>
      <c r="L130" s="35" t="s">
        <v>4201</v>
      </c>
      <c r="M130" s="35" t="s">
        <v>4073</v>
      </c>
      <c r="N130" s="35" t="s">
        <v>4201</v>
      </c>
      <c r="O130" s="35" t="s">
        <v>95</v>
      </c>
      <c r="P130" s="35" t="s">
        <v>4201</v>
      </c>
      <c r="Q130" s="35" t="s">
        <v>4201</v>
      </c>
      <c r="R130" s="35" t="s">
        <v>4201</v>
      </c>
      <c r="S130" s="35"/>
      <c r="T130" s="35"/>
    </row>
    <row r="131" spans="1:20" ht="14">
      <c r="A131" s="26" t="s">
        <v>3897</v>
      </c>
      <c r="B131" s="26"/>
      <c r="C131" s="35"/>
      <c r="D131" s="36" t="s">
        <v>3899</v>
      </c>
      <c r="E131" s="36" t="s">
        <v>2469</v>
      </c>
      <c r="F131" s="35">
        <v>500</v>
      </c>
      <c r="G131" s="35" t="b">
        <v>1</v>
      </c>
      <c r="H131" s="39" t="s">
        <v>15</v>
      </c>
      <c r="I131" s="35" t="s">
        <v>3043</v>
      </c>
      <c r="J131" s="35">
        <v>2</v>
      </c>
      <c r="K131" s="35" t="s">
        <v>4203</v>
      </c>
      <c r="L131" s="35" t="s">
        <v>4201</v>
      </c>
      <c r="M131" s="35" t="s">
        <v>4073</v>
      </c>
      <c r="N131" s="35" t="s">
        <v>4201</v>
      </c>
      <c r="O131" s="35" t="s">
        <v>4201</v>
      </c>
      <c r="P131" s="35" t="s">
        <v>4201</v>
      </c>
      <c r="Q131" s="35" t="s">
        <v>2449</v>
      </c>
      <c r="R131" s="35" t="s">
        <v>4160</v>
      </c>
      <c r="S131" s="35"/>
      <c r="T131" s="35"/>
    </row>
    <row r="132" spans="1:20" ht="14">
      <c r="A132" s="35" t="s">
        <v>60</v>
      </c>
      <c r="B132" s="35"/>
      <c r="C132" s="36" t="s">
        <v>3893</v>
      </c>
      <c r="D132" s="35" t="s">
        <v>61</v>
      </c>
      <c r="E132" s="35"/>
      <c r="F132" s="35">
        <v>200</v>
      </c>
      <c r="G132" s="35" t="b">
        <v>0</v>
      </c>
      <c r="H132" s="39" t="s">
        <v>15</v>
      </c>
      <c r="I132" s="35" t="s">
        <v>55</v>
      </c>
      <c r="J132" s="35">
        <v>0</v>
      </c>
      <c r="K132" s="35" t="s">
        <v>4203</v>
      </c>
      <c r="L132" s="35" t="s">
        <v>4201</v>
      </c>
      <c r="M132" s="35" t="s">
        <v>4073</v>
      </c>
      <c r="N132" s="35" t="s">
        <v>4201</v>
      </c>
      <c r="O132" s="35" t="s">
        <v>4201</v>
      </c>
      <c r="P132" s="35" t="s">
        <v>4201</v>
      </c>
      <c r="Q132" s="35" t="s">
        <v>2449</v>
      </c>
      <c r="R132" s="35" t="s">
        <v>4201</v>
      </c>
      <c r="S132" s="35"/>
      <c r="T132" s="35"/>
    </row>
    <row r="133" spans="1:20" ht="14">
      <c r="A133" s="36" t="s">
        <v>159</v>
      </c>
      <c r="B133" s="36"/>
      <c r="C133" s="36"/>
      <c r="D133" s="35" t="s">
        <v>160</v>
      </c>
      <c r="E133" s="35"/>
      <c r="F133" s="35">
        <v>500</v>
      </c>
      <c r="G133" s="35" t="b">
        <v>0</v>
      </c>
      <c r="H133" s="39" t="s">
        <v>15</v>
      </c>
      <c r="I133" s="35" t="s">
        <v>37</v>
      </c>
      <c r="J133" s="35">
        <v>0</v>
      </c>
      <c r="K133" s="35" t="s">
        <v>4203</v>
      </c>
      <c r="L133" s="35" t="s">
        <v>4201</v>
      </c>
      <c r="M133" s="35" t="s">
        <v>4073</v>
      </c>
      <c r="N133" s="35" t="s">
        <v>4201</v>
      </c>
      <c r="O133" s="35" t="s">
        <v>4201</v>
      </c>
      <c r="P133" s="35" t="s">
        <v>4201</v>
      </c>
      <c r="Q133" s="35" t="s">
        <v>2449</v>
      </c>
      <c r="R133" s="35" t="s">
        <v>4201</v>
      </c>
      <c r="S133" s="35"/>
      <c r="T133" s="35"/>
    </row>
    <row r="134" spans="1:20" ht="14">
      <c r="A134" s="36" t="s">
        <v>161</v>
      </c>
      <c r="B134" s="36"/>
      <c r="C134" s="36"/>
      <c r="D134" s="35" t="s">
        <v>2673</v>
      </c>
      <c r="E134" s="35"/>
      <c r="F134" s="35">
        <v>500</v>
      </c>
      <c r="G134" s="35" t="b">
        <v>0</v>
      </c>
      <c r="H134" s="39" t="s">
        <v>15</v>
      </c>
      <c r="I134" s="35" t="s">
        <v>37</v>
      </c>
      <c r="J134" s="35">
        <v>0</v>
      </c>
      <c r="K134" s="35" t="s">
        <v>4204</v>
      </c>
      <c r="L134" s="35" t="s">
        <v>4201</v>
      </c>
      <c r="M134" s="35" t="s">
        <v>4073</v>
      </c>
      <c r="N134" s="35" t="s">
        <v>4201</v>
      </c>
      <c r="O134" s="35" t="s">
        <v>4201</v>
      </c>
      <c r="P134" s="35" t="s">
        <v>4201</v>
      </c>
      <c r="Q134" s="35" t="s">
        <v>2449</v>
      </c>
      <c r="R134" s="35" t="s">
        <v>4201</v>
      </c>
      <c r="S134" s="35"/>
      <c r="T134" s="35"/>
    </row>
    <row r="135" spans="1:20" ht="14">
      <c r="A135" s="26" t="s">
        <v>3994</v>
      </c>
      <c r="B135" s="26"/>
      <c r="C135" s="35"/>
      <c r="D135" s="36" t="s">
        <v>4445</v>
      </c>
      <c r="E135" s="36" t="s">
        <v>3952</v>
      </c>
      <c r="F135" s="35">
        <v>500</v>
      </c>
      <c r="G135" s="35" t="b">
        <v>1</v>
      </c>
      <c r="H135" s="39" t="s">
        <v>15</v>
      </c>
      <c r="I135" s="35" t="s">
        <v>3043</v>
      </c>
      <c r="J135" s="35">
        <v>2</v>
      </c>
      <c r="K135" s="35" t="s">
        <v>4203</v>
      </c>
      <c r="L135" s="35" t="s">
        <v>4201</v>
      </c>
      <c r="M135" s="35" t="s">
        <v>4073</v>
      </c>
      <c r="N135" s="35" t="s">
        <v>4201</v>
      </c>
      <c r="O135" s="35" t="s">
        <v>4201</v>
      </c>
      <c r="P135" s="35" t="s">
        <v>4201</v>
      </c>
      <c r="Q135" s="35" t="s">
        <v>2449</v>
      </c>
      <c r="R135" s="35" t="s">
        <v>4160</v>
      </c>
      <c r="S135" s="35"/>
      <c r="T135" s="35"/>
    </row>
    <row r="136" spans="1:20" ht="14">
      <c r="A136" s="35" t="s">
        <v>4198</v>
      </c>
      <c r="B136" s="35" t="s">
        <v>4199</v>
      </c>
      <c r="C136" s="35" t="s">
        <v>147</v>
      </c>
      <c r="D136" s="35" t="s">
        <v>4193</v>
      </c>
      <c r="E136" s="35"/>
      <c r="F136" s="35">
        <v>400</v>
      </c>
      <c r="G136" s="35" t="b">
        <v>0</v>
      </c>
      <c r="H136" s="39" t="s">
        <v>15</v>
      </c>
      <c r="I136" s="35" t="s">
        <v>95</v>
      </c>
      <c r="J136" s="35">
        <v>0</v>
      </c>
      <c r="K136" s="35" t="s">
        <v>4214</v>
      </c>
      <c r="L136" s="35" t="s">
        <v>4201</v>
      </c>
      <c r="M136" s="35" t="s">
        <v>4073</v>
      </c>
      <c r="N136" s="35" t="s">
        <v>4201</v>
      </c>
      <c r="O136" s="35" t="s">
        <v>95</v>
      </c>
      <c r="P136" s="35" t="s">
        <v>4201</v>
      </c>
      <c r="Q136" s="35" t="s">
        <v>4201</v>
      </c>
      <c r="R136" s="35" t="s">
        <v>4201</v>
      </c>
      <c r="S136" s="35"/>
      <c r="T136" s="35"/>
    </row>
    <row r="137" spans="1:20" ht="14">
      <c r="A137" s="26" t="s">
        <v>3998</v>
      </c>
      <c r="B137" s="26"/>
      <c r="C137" s="35"/>
      <c r="D137" s="36" t="s">
        <v>3980</v>
      </c>
      <c r="E137" s="36" t="s">
        <v>3981</v>
      </c>
      <c r="F137" s="35">
        <v>500</v>
      </c>
      <c r="G137" s="35" t="b">
        <v>1</v>
      </c>
      <c r="H137" s="39" t="s">
        <v>15</v>
      </c>
      <c r="I137" s="35" t="s">
        <v>3043</v>
      </c>
      <c r="J137" s="35">
        <v>2</v>
      </c>
      <c r="K137" s="35" t="s">
        <v>4203</v>
      </c>
      <c r="L137" s="35" t="s">
        <v>4201</v>
      </c>
      <c r="M137" s="35" t="s">
        <v>4073</v>
      </c>
      <c r="N137" s="35" t="s">
        <v>4201</v>
      </c>
      <c r="O137" s="35" t="s">
        <v>4201</v>
      </c>
      <c r="P137" s="35" t="s">
        <v>4201</v>
      </c>
      <c r="Q137" s="35" t="s">
        <v>2449</v>
      </c>
      <c r="R137" s="35" t="s">
        <v>4160</v>
      </c>
      <c r="S137" s="35"/>
      <c r="T137" s="35"/>
    </row>
    <row r="138" spans="1:20" ht="14">
      <c r="A138" s="26" t="s">
        <v>3895</v>
      </c>
      <c r="B138" s="26"/>
      <c r="C138" s="35"/>
      <c r="D138" s="36" t="s">
        <v>3947</v>
      </c>
      <c r="E138" s="36" t="s">
        <v>4048</v>
      </c>
      <c r="F138" s="35">
        <v>500</v>
      </c>
      <c r="G138" s="35" t="b">
        <v>1</v>
      </c>
      <c r="H138" s="39" t="s">
        <v>15</v>
      </c>
      <c r="I138" s="35" t="s">
        <v>3043</v>
      </c>
      <c r="J138" s="35">
        <v>2</v>
      </c>
      <c r="K138" s="35" t="s">
        <v>4203</v>
      </c>
      <c r="L138" s="35" t="s">
        <v>4201</v>
      </c>
      <c r="M138" s="35" t="s">
        <v>4073</v>
      </c>
      <c r="N138" s="35" t="s">
        <v>4201</v>
      </c>
      <c r="O138" s="35" t="s">
        <v>4201</v>
      </c>
      <c r="P138" s="35" t="s">
        <v>4201</v>
      </c>
      <c r="Q138" s="35" t="s">
        <v>2449</v>
      </c>
      <c r="R138" s="35" t="s">
        <v>4160</v>
      </c>
      <c r="S138" s="35"/>
      <c r="T138" s="35"/>
    </row>
    <row r="139" spans="1:20" ht="14">
      <c r="A139" s="26" t="s">
        <v>3996</v>
      </c>
      <c r="B139" s="26"/>
      <c r="C139" s="35"/>
      <c r="D139" s="36" t="s">
        <v>3961</v>
      </c>
      <c r="E139" s="36" t="s">
        <v>3948</v>
      </c>
      <c r="F139" s="35">
        <v>500</v>
      </c>
      <c r="G139" s="35" t="b">
        <v>1</v>
      </c>
      <c r="H139" s="39" t="s">
        <v>15</v>
      </c>
      <c r="I139" s="35" t="s">
        <v>3043</v>
      </c>
      <c r="J139" s="35">
        <v>2</v>
      </c>
      <c r="K139" s="35" t="s">
        <v>4203</v>
      </c>
      <c r="L139" s="35" t="s">
        <v>4201</v>
      </c>
      <c r="M139" s="35" t="s">
        <v>4073</v>
      </c>
      <c r="N139" s="35" t="s">
        <v>4201</v>
      </c>
      <c r="O139" s="35" t="s">
        <v>4201</v>
      </c>
      <c r="P139" s="35" t="s">
        <v>4201</v>
      </c>
      <c r="Q139" s="35" t="s">
        <v>2449</v>
      </c>
      <c r="R139" s="35" t="s">
        <v>4160</v>
      </c>
      <c r="S139" s="35"/>
      <c r="T139" s="35"/>
    </row>
    <row r="140" spans="1:20" ht="14">
      <c r="A140" s="35" t="s">
        <v>93</v>
      </c>
      <c r="B140" s="35"/>
      <c r="C140" s="35"/>
      <c r="D140" s="35" t="s">
        <v>98</v>
      </c>
      <c r="E140" s="35"/>
      <c r="F140" s="35">
        <v>550</v>
      </c>
      <c r="G140" s="35" t="b">
        <v>0</v>
      </c>
      <c r="H140" s="39" t="s">
        <v>15</v>
      </c>
      <c r="I140" s="35" t="s">
        <v>95</v>
      </c>
      <c r="J140" s="35">
        <v>0</v>
      </c>
      <c r="K140" s="35" t="s">
        <v>4214</v>
      </c>
      <c r="L140" s="35" t="s">
        <v>4201</v>
      </c>
      <c r="M140" s="35" t="s">
        <v>4073</v>
      </c>
      <c r="N140" s="35" t="s">
        <v>4201</v>
      </c>
      <c r="O140" s="35" t="s">
        <v>95</v>
      </c>
      <c r="P140" s="35" t="s">
        <v>4201</v>
      </c>
      <c r="Q140" s="35" t="s">
        <v>4201</v>
      </c>
      <c r="R140" s="35" t="s">
        <v>4201</v>
      </c>
      <c r="S140" s="35"/>
      <c r="T140" s="35"/>
    </row>
    <row r="141" spans="1:20" ht="14">
      <c r="A141" s="35" t="s">
        <v>4158</v>
      </c>
      <c r="B141" s="35"/>
      <c r="C141" s="35" t="s">
        <v>3893</v>
      </c>
      <c r="D141" s="35" t="s">
        <v>4159</v>
      </c>
      <c r="E141" s="35"/>
      <c r="F141" s="35">
        <v>600</v>
      </c>
      <c r="G141" s="35" t="b">
        <v>0</v>
      </c>
      <c r="H141" s="39" t="s">
        <v>15</v>
      </c>
      <c r="I141" s="35" t="s">
        <v>37</v>
      </c>
      <c r="J141" s="35">
        <v>0</v>
      </c>
      <c r="K141" s="35" t="s">
        <v>4205</v>
      </c>
      <c r="L141" s="35"/>
      <c r="M141" s="35"/>
      <c r="N141" s="35"/>
      <c r="O141" s="35"/>
      <c r="P141" s="35"/>
      <c r="Q141" s="35" t="s">
        <v>2449</v>
      </c>
      <c r="R141" s="35" t="s">
        <v>4160</v>
      </c>
      <c r="S141" s="35"/>
      <c r="T141" s="35"/>
    </row>
    <row r="142" spans="1:20" ht="14">
      <c r="A142" s="26" t="s">
        <v>154</v>
      </c>
      <c r="B142" t="s">
        <v>4425</v>
      </c>
      <c r="D142" s="36" t="s">
        <v>4422</v>
      </c>
      <c r="E142" s="36" t="s">
        <v>1922</v>
      </c>
      <c r="F142" s="35">
        <v>500</v>
      </c>
      <c r="G142" s="35" t="b">
        <v>1</v>
      </c>
      <c r="H142" s="1" t="s">
        <v>15</v>
      </c>
      <c r="I142" s="35" t="s">
        <v>3043</v>
      </c>
      <c r="J142" s="35">
        <v>0</v>
      </c>
      <c r="K142" s="35" t="s">
        <v>4423</v>
      </c>
      <c r="M142" s="35" t="s">
        <v>4073</v>
      </c>
      <c r="N142" s="35" t="s">
        <v>4201</v>
      </c>
      <c r="O142" s="35" t="s">
        <v>4201</v>
      </c>
      <c r="P142" s="35" t="s">
        <v>4201</v>
      </c>
      <c r="Q142" s="35" t="s">
        <v>2449</v>
      </c>
      <c r="R142" s="35" t="s">
        <v>4160</v>
      </c>
    </row>
    <row r="143" spans="1:20" ht="14">
      <c r="A143" t="s">
        <v>121</v>
      </c>
      <c r="D143" s="36" t="s">
        <v>4437</v>
      </c>
      <c r="E143" s="36" t="s">
        <v>1922</v>
      </c>
      <c r="F143" s="35">
        <v>600</v>
      </c>
      <c r="G143" s="35" t="b">
        <v>1</v>
      </c>
      <c r="H143" s="1" t="s">
        <v>15</v>
      </c>
      <c r="I143" s="35" t="s">
        <v>3043</v>
      </c>
      <c r="J143" s="35">
        <v>0</v>
      </c>
      <c r="K143" s="35" t="s">
        <v>4423</v>
      </c>
      <c r="M143" s="35" t="s">
        <v>4073</v>
      </c>
      <c r="N143" s="35" t="s">
        <v>4201</v>
      </c>
      <c r="O143" s="35" t="s">
        <v>4201</v>
      </c>
      <c r="P143" s="35" t="s">
        <v>4201</v>
      </c>
      <c r="Q143" s="35" t="s">
        <v>2449</v>
      </c>
      <c r="R143" s="35" t="s">
        <v>4160</v>
      </c>
    </row>
    <row r="144" spans="1:20" ht="14">
      <c r="A144" t="s">
        <v>124</v>
      </c>
      <c r="D144" s="36" t="s">
        <v>4438</v>
      </c>
      <c r="E144" s="36" t="s">
        <v>1922</v>
      </c>
      <c r="F144" s="35">
        <v>600</v>
      </c>
      <c r="G144" s="35" t="b">
        <v>1</v>
      </c>
      <c r="H144" s="1" t="s">
        <v>15</v>
      </c>
      <c r="I144" s="35" t="s">
        <v>3043</v>
      </c>
      <c r="J144" s="35">
        <v>0</v>
      </c>
      <c r="K144" s="35" t="s">
        <v>4423</v>
      </c>
      <c r="M144" s="35" t="s">
        <v>4073</v>
      </c>
      <c r="N144" s="35" t="s">
        <v>4201</v>
      </c>
      <c r="O144" s="35" t="s">
        <v>4201</v>
      </c>
      <c r="P144" s="35" t="s">
        <v>4201</v>
      </c>
      <c r="Q144" s="35" t="s">
        <v>2449</v>
      </c>
      <c r="R144" s="35" t="s">
        <v>4160</v>
      </c>
    </row>
    <row r="145" spans="1:18" ht="14">
      <c r="A145" t="s">
        <v>71</v>
      </c>
      <c r="D145" s="36" t="s">
        <v>72</v>
      </c>
      <c r="F145" s="35">
        <v>600</v>
      </c>
      <c r="G145" s="35" t="b">
        <v>0</v>
      </c>
      <c r="H145" s="1" t="s">
        <v>15</v>
      </c>
      <c r="I145" s="35" t="s">
        <v>41</v>
      </c>
      <c r="J145" s="35">
        <v>0</v>
      </c>
      <c r="K145" s="35" t="s">
        <v>4423</v>
      </c>
      <c r="M145" s="35" t="s">
        <v>4073</v>
      </c>
      <c r="N145" s="35" t="s">
        <v>4201</v>
      </c>
      <c r="O145" s="35" t="s">
        <v>4201</v>
      </c>
      <c r="P145" s="35" t="s">
        <v>4201</v>
      </c>
      <c r="Q145" s="35" t="s">
        <v>2449</v>
      </c>
      <c r="R145" s="35" t="s">
        <v>4160</v>
      </c>
    </row>
    <row r="146" spans="1:18" ht="14">
      <c r="A146" t="s">
        <v>4465</v>
      </c>
      <c r="C146" t="s">
        <v>4477</v>
      </c>
      <c r="D146" s="36" t="s">
        <v>4460</v>
      </c>
      <c r="F146" s="35">
        <v>800</v>
      </c>
      <c r="G146" s="35" t="b">
        <v>0</v>
      </c>
      <c r="H146" s="1" t="s">
        <v>15</v>
      </c>
      <c r="I146" s="35" t="s">
        <v>41</v>
      </c>
      <c r="J146" s="35">
        <v>0</v>
      </c>
      <c r="K146" s="35" t="s">
        <v>4423</v>
      </c>
      <c r="M146" s="35" t="s">
        <v>4073</v>
      </c>
      <c r="N146" s="35" t="s">
        <v>4201</v>
      </c>
      <c r="O146" s="35" t="s">
        <v>4201</v>
      </c>
      <c r="P146" s="35" t="s">
        <v>4201</v>
      </c>
      <c r="Q146" s="35" t="s">
        <v>2449</v>
      </c>
      <c r="R146" s="35" t="s">
        <v>4160</v>
      </c>
    </row>
    <row r="147" spans="1:18" ht="14">
      <c r="A147" t="s">
        <v>4461</v>
      </c>
      <c r="D147" s="36" t="s">
        <v>4479</v>
      </c>
      <c r="F147" s="35">
        <v>750</v>
      </c>
      <c r="G147" s="35" t="b">
        <v>1</v>
      </c>
      <c r="H147" s="1" t="s">
        <v>15</v>
      </c>
      <c r="I147" s="35" t="s">
        <v>41</v>
      </c>
      <c r="J147" s="35">
        <v>0</v>
      </c>
      <c r="K147" s="35" t="s">
        <v>4423</v>
      </c>
      <c r="M147" s="35" t="s">
        <v>4073</v>
      </c>
      <c r="N147" s="35" t="s">
        <v>4201</v>
      </c>
      <c r="O147" s="35" t="s">
        <v>4201</v>
      </c>
      <c r="P147" s="35" t="s">
        <v>4201</v>
      </c>
      <c r="Q147" s="35" t="s">
        <v>2449</v>
      </c>
      <c r="R147" s="35" t="s">
        <v>4160</v>
      </c>
    </row>
    <row r="148" spans="1:18" ht="14">
      <c r="A148" t="s">
        <v>4503</v>
      </c>
      <c r="B148" t="s">
        <v>4505</v>
      </c>
      <c r="D148" s="36" t="s">
        <v>4506</v>
      </c>
      <c r="F148" s="35">
        <v>600</v>
      </c>
      <c r="G148" s="35" t="b">
        <v>1</v>
      </c>
      <c r="H148" s="1" t="s">
        <v>15</v>
      </c>
      <c r="I148" s="35" t="s">
        <v>41</v>
      </c>
      <c r="J148" s="35">
        <v>0</v>
      </c>
      <c r="K148" s="35" t="s">
        <v>4423</v>
      </c>
      <c r="M148" s="35" t="s">
        <v>4073</v>
      </c>
      <c r="N148" s="35" t="s">
        <v>4201</v>
      </c>
      <c r="O148" s="35" t="s">
        <v>4201</v>
      </c>
      <c r="P148" s="35" t="s">
        <v>4201</v>
      </c>
      <c r="Q148" s="35" t="s">
        <v>2449</v>
      </c>
      <c r="R148" s="35" t="s">
        <v>4160</v>
      </c>
    </row>
    <row r="149" spans="1:18" ht="14">
      <c r="A149" t="s">
        <v>4504</v>
      </c>
      <c r="B149" t="s">
        <v>4505</v>
      </c>
      <c r="D149" s="36" t="s">
        <v>4507</v>
      </c>
      <c r="F149" s="35">
        <v>500</v>
      </c>
      <c r="G149" s="35" t="b">
        <v>1</v>
      </c>
      <c r="H149" s="1" t="s">
        <v>15</v>
      </c>
      <c r="I149" s="35" t="s">
        <v>41</v>
      </c>
      <c r="J149" s="35">
        <v>0</v>
      </c>
      <c r="K149" s="35" t="s">
        <v>4423</v>
      </c>
      <c r="M149" s="35" t="s">
        <v>4073</v>
      </c>
      <c r="N149" s="35" t="s">
        <v>4201</v>
      </c>
      <c r="O149" s="35" t="s">
        <v>4201</v>
      </c>
      <c r="P149" s="35" t="s">
        <v>4201</v>
      </c>
      <c r="Q149" s="35" t="s">
        <v>2449</v>
      </c>
      <c r="R149" s="35" t="s">
        <v>4160</v>
      </c>
    </row>
  </sheetData>
  <autoFilter ref="A1:ALX126" xr:uid="{00000000-0001-0000-0000-000000000000}">
    <sortState xmlns:xlrd2="http://schemas.microsoft.com/office/spreadsheetml/2017/richdata2" ref="A2:ALX147">
      <sortCondition descending="1" ref="L1:L147"/>
    </sortState>
  </autoFilter>
  <conditionalFormatting sqref="H1:H92">
    <cfRule type="containsText" dxfId="5" priority="2" operator="containsText" text="TRUE">
      <formula>NOT(ISERROR(SEARCH("TRUE",H1)))</formula>
    </cfRule>
  </conditionalFormatting>
  <conditionalFormatting sqref="M1:R1">
    <cfRule type="containsText" dxfId="4" priority="1" operator="containsText" text="TRUE">
      <formula>NOT(ISERROR(SEARCH("TRUE",M1)))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cols>
    <col min="1" max="1" width="24.6640625" customWidth="1"/>
    <col min="2" max="2" width="73.5" customWidth="1"/>
  </cols>
  <sheetData>
    <row r="1" spans="1:2">
      <c r="A1" s="2" t="s">
        <v>0</v>
      </c>
      <c r="B1" s="2" t="s">
        <v>3892</v>
      </c>
    </row>
    <row r="2" spans="1:2">
      <c r="A2" t="s">
        <v>164</v>
      </c>
    </row>
    <row r="3" spans="1:2">
      <c r="A3" t="s">
        <v>166</v>
      </c>
    </row>
    <row r="4" spans="1:2">
      <c r="A4" t="s">
        <v>170</v>
      </c>
    </row>
    <row r="5" spans="1:2">
      <c r="A5" t="s">
        <v>168</v>
      </c>
    </row>
    <row r="6" spans="1:2">
      <c r="A6" t="s">
        <v>172</v>
      </c>
    </row>
    <row r="7" spans="1:2">
      <c r="A7" t="s">
        <v>174</v>
      </c>
    </row>
    <row r="8" spans="1:2">
      <c r="A8" s="19" t="s">
        <v>3990</v>
      </c>
      <c r="B8" t="s">
        <v>13</v>
      </c>
    </row>
    <row r="9" spans="1:2">
      <c r="A9" s="5" t="s">
        <v>3991</v>
      </c>
    </row>
    <row r="10" spans="1:2">
      <c r="A10" s="5" t="s">
        <v>3992</v>
      </c>
    </row>
    <row r="11" spans="1:2">
      <c r="A11" s="5" t="s">
        <v>4154</v>
      </c>
    </row>
    <row r="12" spans="1:2">
      <c r="A12" s="5" t="s">
        <v>3994</v>
      </c>
    </row>
    <row r="13" spans="1:2">
      <c r="A13" s="5" t="s">
        <v>3995</v>
      </c>
    </row>
    <row r="14" spans="1:2">
      <c r="A14" s="5" t="s">
        <v>3897</v>
      </c>
    </row>
    <row r="15" spans="1:2">
      <c r="A15" s="5" t="s">
        <v>3895</v>
      </c>
    </row>
    <row r="16" spans="1:2">
      <c r="A16" s="5" t="s">
        <v>3900</v>
      </c>
    </row>
    <row r="17" spans="1:2">
      <c r="A17" s="5" t="s">
        <v>3996</v>
      </c>
    </row>
    <row r="18" spans="1:2">
      <c r="A18" s="5" t="s">
        <v>3997</v>
      </c>
    </row>
    <row r="19" spans="1:2">
      <c r="A19" s="5" t="s">
        <v>1116</v>
      </c>
    </row>
    <row r="20" spans="1:2">
      <c r="A20" s="5" t="s">
        <v>3998</v>
      </c>
    </row>
    <row r="21" spans="1:2">
      <c r="A21" s="5" t="s">
        <v>3999</v>
      </c>
    </row>
    <row r="22" spans="1:2">
      <c r="A22" s="5" t="s">
        <v>4000</v>
      </c>
    </row>
    <row r="23" spans="1:2">
      <c r="A23" t="s">
        <v>4006</v>
      </c>
    </row>
    <row r="24" spans="1:2">
      <c r="A24" s="5" t="s">
        <v>4069</v>
      </c>
    </row>
    <row r="25" spans="1:2">
      <c r="A25" s="5" t="s">
        <v>4071</v>
      </c>
    </row>
    <row r="26" spans="1:2">
      <c r="A26" s="5" t="s">
        <v>4076</v>
      </c>
    </row>
    <row r="27" spans="1:2">
      <c r="A27" s="5" t="s">
        <v>4077</v>
      </c>
    </row>
    <row r="28" spans="1:2">
      <c r="A28" s="5" t="s">
        <v>4084</v>
      </c>
    </row>
    <row r="29" spans="1:2">
      <c r="A29" s="4" t="s">
        <v>12</v>
      </c>
      <c r="B29" s="4"/>
    </row>
    <row r="30" spans="1:2">
      <c r="A30" s="4" t="s">
        <v>75</v>
      </c>
      <c r="B30" s="4" t="s">
        <v>3992</v>
      </c>
    </row>
    <row r="31" spans="1:2">
      <c r="A31" s="4" t="s">
        <v>190</v>
      </c>
      <c r="B31" s="4"/>
    </row>
    <row r="32" spans="1:2">
      <c r="A32" t="s">
        <v>2682</v>
      </c>
    </row>
    <row r="33" spans="1:2">
      <c r="A33" s="4" t="s">
        <v>51</v>
      </c>
      <c r="B33" s="4" t="s">
        <v>3893</v>
      </c>
    </row>
    <row r="34" spans="1:2">
      <c r="A34" t="s">
        <v>2780</v>
      </c>
    </row>
    <row r="35" spans="1:2">
      <c r="A35" t="s">
        <v>1116</v>
      </c>
    </row>
    <row r="36" spans="1:2">
      <c r="A36" t="s">
        <v>2824</v>
      </c>
    </row>
    <row r="37" spans="1:2">
      <c r="A37" s="4" t="s">
        <v>40</v>
      </c>
      <c r="B37" s="4"/>
    </row>
    <row r="38" spans="1:2">
      <c r="A38" s="4" t="s">
        <v>42</v>
      </c>
      <c r="B38" s="4"/>
    </row>
    <row r="39" spans="1:2">
      <c r="A39" s="4" t="s">
        <v>2823</v>
      </c>
      <c r="B39" s="4"/>
    </row>
    <row r="40" spans="1:2">
      <c r="A40" t="s">
        <v>38</v>
      </c>
      <c r="B40" t="s">
        <v>4084</v>
      </c>
    </row>
    <row r="41" spans="1:2">
      <c r="A41" t="s">
        <v>2880</v>
      </c>
    </row>
    <row r="42" spans="1:2">
      <c r="A42" s="4" t="s">
        <v>2923</v>
      </c>
      <c r="B42" s="4"/>
    </row>
    <row r="43" spans="1:2">
      <c r="A43" s="4" t="s">
        <v>3044</v>
      </c>
      <c r="B43" s="4"/>
    </row>
    <row r="44" spans="1:2">
      <c r="A44" t="s">
        <v>2815</v>
      </c>
    </row>
    <row r="45" spans="1:2">
      <c r="A45" t="s">
        <v>35</v>
      </c>
    </row>
    <row r="46" spans="1:2">
      <c r="A46" t="s">
        <v>73</v>
      </c>
    </row>
    <row r="47" spans="1:2">
      <c r="A47" s="4" t="s">
        <v>109</v>
      </c>
      <c r="B47" s="4"/>
    </row>
    <row r="48" spans="1:2">
      <c r="A48" t="s">
        <v>114</v>
      </c>
    </row>
    <row r="49" spans="1:2">
      <c r="A49" t="s">
        <v>126</v>
      </c>
    </row>
    <row r="50" spans="1:2">
      <c r="A50" t="s">
        <v>2945</v>
      </c>
    </row>
    <row r="51" spans="1:2">
      <c r="A51" t="s">
        <v>127</v>
      </c>
    </row>
    <row r="52" spans="1:2">
      <c r="A52" s="4" t="s">
        <v>3039</v>
      </c>
      <c r="B52" s="4"/>
    </row>
    <row r="53" spans="1:2">
      <c r="A53" t="s">
        <v>141</v>
      </c>
    </row>
    <row r="54" spans="1:2">
      <c r="A54" s="4" t="s">
        <v>159</v>
      </c>
      <c r="B54" s="4"/>
    </row>
    <row r="55" spans="1:2">
      <c r="A55" s="4" t="s">
        <v>161</v>
      </c>
      <c r="B55" s="4"/>
    </row>
    <row r="56" spans="1:2">
      <c r="A56" t="s">
        <v>2774</v>
      </c>
      <c r="B56" t="s">
        <v>4154</v>
      </c>
    </row>
    <row r="57" spans="1:2">
      <c r="A57" t="s">
        <v>4025</v>
      </c>
    </row>
    <row r="58" spans="1:2">
      <c r="A58" t="s">
        <v>3023</v>
      </c>
    </row>
    <row r="59" spans="1:2">
      <c r="A59" t="s">
        <v>3054</v>
      </c>
    </row>
    <row r="60" spans="1:2" ht="16">
      <c r="A60" s="16" t="s">
        <v>3070</v>
      </c>
      <c r="B60" s="16"/>
    </row>
    <row r="61" spans="1:2">
      <c r="A61" t="s">
        <v>3076</v>
      </c>
    </row>
    <row r="62" spans="1:2">
      <c r="A62" t="s">
        <v>3092</v>
      </c>
    </row>
    <row r="63" spans="1:2">
      <c r="A63" t="s">
        <v>2712</v>
      </c>
    </row>
    <row r="64" spans="1:2">
      <c r="A64" t="s">
        <v>3880</v>
      </c>
      <c r="B64" t="s">
        <v>3893</v>
      </c>
    </row>
    <row r="65" spans="1:2">
      <c r="A65" s="4" t="s">
        <v>3173</v>
      </c>
      <c r="B65" s="4"/>
    </row>
    <row r="66" spans="1:2">
      <c r="A66" t="s">
        <v>3872</v>
      </c>
    </row>
    <row r="67" spans="1:2">
      <c r="A67" t="s">
        <v>111</v>
      </c>
    </row>
    <row r="68" spans="1:2">
      <c r="A68" t="s">
        <v>34</v>
      </c>
      <c r="B68" t="s">
        <v>3894</v>
      </c>
    </row>
    <row r="69" spans="1:2">
      <c r="A69" t="s">
        <v>80</v>
      </c>
      <c r="B69" t="s">
        <v>3895</v>
      </c>
    </row>
    <row r="70" spans="1:2">
      <c r="A70" s="4" t="s">
        <v>62</v>
      </c>
      <c r="B70" s="4"/>
    </row>
    <row r="71" spans="1:2">
      <c r="A71" s="4" t="s">
        <v>3896</v>
      </c>
      <c r="B71" s="4" t="s">
        <v>3897</v>
      </c>
    </row>
    <row r="72" spans="1:2">
      <c r="A72" t="s">
        <v>83</v>
      </c>
      <c r="B72" s="4" t="s">
        <v>3897</v>
      </c>
    </row>
    <row r="73" spans="1:2">
      <c r="A73" t="s">
        <v>85</v>
      </c>
      <c r="B73" s="4" t="s">
        <v>3897</v>
      </c>
    </row>
    <row r="74" spans="1:2">
      <c r="A74" t="s">
        <v>3780</v>
      </c>
      <c r="B74" t="s">
        <v>19</v>
      </c>
    </row>
    <row r="75" spans="1:2">
      <c r="A75" t="s">
        <v>19</v>
      </c>
      <c r="B75" t="s">
        <v>18</v>
      </c>
    </row>
    <row r="76" spans="1:2">
      <c r="A76" s="4" t="s">
        <v>18</v>
      </c>
      <c r="B76" s="4" t="s">
        <v>4005</v>
      </c>
    </row>
    <row r="77" spans="1:2">
      <c r="A77" s="4" t="s">
        <v>43</v>
      </c>
      <c r="B77" s="4"/>
    </row>
    <row r="78" spans="1:2">
      <c r="A78" s="4" t="s">
        <v>81</v>
      </c>
      <c r="B78" s="4"/>
    </row>
    <row r="79" spans="1:2">
      <c r="A79" s="4" t="s">
        <v>99</v>
      </c>
      <c r="B79" s="4"/>
    </row>
    <row r="80" spans="1:2">
      <c r="A80" s="4" t="s">
        <v>120</v>
      </c>
      <c r="B80" s="4"/>
    </row>
    <row r="81" spans="1:2">
      <c r="A81" s="4" t="s">
        <v>122</v>
      </c>
      <c r="B81" s="4"/>
    </row>
    <row r="82" spans="1:2">
      <c r="A82" s="4" t="s">
        <v>123</v>
      </c>
      <c r="B82" s="4"/>
    </row>
    <row r="83" spans="1:2">
      <c r="A83" s="4" t="s">
        <v>125</v>
      </c>
      <c r="B83" s="4"/>
    </row>
    <row r="84" spans="1:2">
      <c r="A84" t="s">
        <v>154</v>
      </c>
    </row>
    <row r="85" spans="1:2">
      <c r="A85" t="s">
        <v>82</v>
      </c>
    </row>
    <row r="86" spans="1:2">
      <c r="A86" t="s">
        <v>121</v>
      </c>
      <c r="B86" t="s">
        <v>3997</v>
      </c>
    </row>
    <row r="87" spans="1:2">
      <c r="A87" t="s">
        <v>124</v>
      </c>
      <c r="B87" t="s">
        <v>3997</v>
      </c>
    </row>
    <row r="88" spans="1:2">
      <c r="A88" s="4" t="s">
        <v>2980</v>
      </c>
      <c r="B88" s="4"/>
    </row>
    <row r="89" spans="1:2">
      <c r="A89" s="4" t="s">
        <v>2981</v>
      </c>
      <c r="B89" s="4"/>
    </row>
    <row r="90" spans="1:2">
      <c r="A90" s="4" t="s">
        <v>106</v>
      </c>
      <c r="B90" s="4"/>
    </row>
    <row r="91" spans="1:2">
      <c r="A91" s="4" t="s">
        <v>64</v>
      </c>
      <c r="B91" s="4" t="s">
        <v>106</v>
      </c>
    </row>
    <row r="92" spans="1:2">
      <c r="A92" s="4" t="s">
        <v>63</v>
      </c>
      <c r="B92" s="4" t="s">
        <v>3990</v>
      </c>
    </row>
    <row r="93" spans="1:2">
      <c r="A93" s="4" t="s">
        <v>3144</v>
      </c>
      <c r="B93" s="4" t="s">
        <v>3992</v>
      </c>
    </row>
    <row r="94" spans="1:2" ht="28">
      <c r="A94" t="s">
        <v>45</v>
      </c>
      <c r="B94" s="21" t="s">
        <v>4083</v>
      </c>
    </row>
    <row r="95" spans="1:2">
      <c r="A95" t="s">
        <v>4023</v>
      </c>
      <c r="B95" t="s">
        <v>4024</v>
      </c>
    </row>
    <row r="96" spans="1:2">
      <c r="A96" t="s">
        <v>4024</v>
      </c>
      <c r="B96" t="s">
        <v>3144</v>
      </c>
    </row>
    <row r="97" spans="1:2">
      <c r="A97" t="s">
        <v>48</v>
      </c>
      <c r="B97" s="5"/>
    </row>
    <row r="98" spans="1:2">
      <c r="A98" t="s">
        <v>145</v>
      </c>
      <c r="B98" t="s">
        <v>147</v>
      </c>
    </row>
    <row r="99" spans="1:2">
      <c r="A99" t="s">
        <v>92</v>
      </c>
      <c r="B99" t="s">
        <v>4107</v>
      </c>
    </row>
    <row r="100" spans="1:2">
      <c r="A100" t="s">
        <v>93</v>
      </c>
    </row>
    <row r="101" spans="1:2">
      <c r="A101" t="s">
        <v>96</v>
      </c>
      <c r="B101" t="s">
        <v>4155</v>
      </c>
    </row>
    <row r="102" spans="1:2">
      <c r="A102" s="4" t="s">
        <v>4090</v>
      </c>
    </row>
    <row r="103" spans="1:2">
      <c r="A103" s="4" t="s">
        <v>4104</v>
      </c>
    </row>
    <row r="104" spans="1:2">
      <c r="A104" t="s">
        <v>147</v>
      </c>
      <c r="B104" t="s">
        <v>4121</v>
      </c>
    </row>
    <row r="105" spans="1:2">
      <c r="A105" t="s">
        <v>4115</v>
      </c>
    </row>
    <row r="106" spans="1:2">
      <c r="A106" t="s">
        <v>4116</v>
      </c>
    </row>
    <row r="107" spans="1:2">
      <c r="A107" t="s">
        <v>4117</v>
      </c>
    </row>
    <row r="108" spans="1:2">
      <c r="A108" t="s">
        <v>4120</v>
      </c>
    </row>
    <row r="109" spans="1:2">
      <c r="A109" t="s">
        <v>4130</v>
      </c>
    </row>
    <row r="110" spans="1:2">
      <c r="A110" t="s">
        <v>77</v>
      </c>
    </row>
    <row r="111" spans="1:2">
      <c r="A111" t="s">
        <v>136</v>
      </c>
    </row>
    <row r="112" spans="1:2">
      <c r="A112" t="s">
        <v>89</v>
      </c>
    </row>
    <row r="113" spans="1:2">
      <c r="A113" s="4" t="s">
        <v>157</v>
      </c>
      <c r="B113" s="4"/>
    </row>
    <row r="114" spans="1:2">
      <c r="A114" s="4" t="s">
        <v>129</v>
      </c>
      <c r="B114" s="4"/>
    </row>
    <row r="115" spans="1:2">
      <c r="A115" s="4" t="s">
        <v>130</v>
      </c>
      <c r="B115" s="4"/>
    </row>
    <row r="116" spans="1:2">
      <c r="A116" s="4" t="s">
        <v>133</v>
      </c>
      <c r="B116" s="4"/>
    </row>
    <row r="117" spans="1:2">
      <c r="A117" s="4" t="s">
        <v>100</v>
      </c>
      <c r="B117" s="4" t="s">
        <v>4156</v>
      </c>
    </row>
    <row r="118" spans="1:2">
      <c r="A118" s="18" t="s">
        <v>3771</v>
      </c>
      <c r="B118" s="18"/>
    </row>
    <row r="119" spans="1:2">
      <c r="A119" s="4" t="s">
        <v>23</v>
      </c>
      <c r="B119" s="4" t="s">
        <v>4089</v>
      </c>
    </row>
    <row r="120" spans="1:2">
      <c r="A120" s="4" t="s">
        <v>152</v>
      </c>
      <c r="B120" s="4" t="s">
        <v>4027</v>
      </c>
    </row>
    <row r="121" spans="1:2">
      <c r="A121" s="4" t="s">
        <v>143</v>
      </c>
      <c r="B121" s="4"/>
    </row>
    <row r="122" spans="1:2">
      <c r="A122" s="4" t="s">
        <v>4012</v>
      </c>
      <c r="B122" s="4" t="s">
        <v>3996</v>
      </c>
    </row>
    <row r="123" spans="1:2">
      <c r="A123" s="4" t="s">
        <v>104</v>
      </c>
      <c r="B123" s="4"/>
    </row>
    <row r="124" spans="1:2">
      <c r="A124" s="4" t="s">
        <v>22</v>
      </c>
      <c r="B124" s="4" t="s">
        <v>3893</v>
      </c>
    </row>
    <row r="125" spans="1:2">
      <c r="A125" t="s">
        <v>27</v>
      </c>
      <c r="B125" t="s">
        <v>3998</v>
      </c>
    </row>
    <row r="126" spans="1:2">
      <c r="A126" s="4" t="s">
        <v>26</v>
      </c>
      <c r="B126" s="4"/>
    </row>
    <row r="127" spans="1:2">
      <c r="A127" s="4" t="s">
        <v>87</v>
      </c>
      <c r="B127" s="4"/>
    </row>
    <row r="128" spans="1:2">
      <c r="A128" s="4" t="s">
        <v>148</v>
      </c>
      <c r="B128" s="4"/>
    </row>
    <row r="129" spans="1:2">
      <c r="A129" s="4" t="s">
        <v>149</v>
      </c>
      <c r="B129" s="4"/>
    </row>
    <row r="130" spans="1:2">
      <c r="A130" t="s">
        <v>53</v>
      </c>
    </row>
    <row r="131" spans="1:2">
      <c r="A131" t="s">
        <v>56</v>
      </c>
    </row>
    <row r="132" spans="1:2">
      <c r="A132" s="4" t="s">
        <v>58</v>
      </c>
      <c r="B132" s="4"/>
    </row>
    <row r="133" spans="1:2">
      <c r="A133" t="s">
        <v>60</v>
      </c>
    </row>
    <row r="134" spans="1:2">
      <c r="A134" t="s">
        <v>30</v>
      </c>
    </row>
    <row r="135" spans="1:2">
      <c r="A135" t="s">
        <v>4158</v>
      </c>
      <c r="B135" t="s">
        <v>3893</v>
      </c>
    </row>
    <row r="141" spans="1:2">
      <c r="B141" s="5"/>
    </row>
    <row r="142" spans="1:2">
      <c r="B142" s="5"/>
    </row>
    <row r="153" spans="1:1">
      <c r="A153" s="5"/>
    </row>
    <row r="154" spans="1:1">
      <c r="A154" s="5"/>
    </row>
    <row r="155" spans="1:1">
      <c r="A155" s="5"/>
    </row>
    <row r="156" spans="1:1">
      <c r="A156" s="5"/>
    </row>
    <row r="157" spans="1:1">
      <c r="A157"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413"/>
  <sheetViews>
    <sheetView topLeftCell="A351" zoomScale="120" zoomScaleNormal="120" workbookViewId="0">
      <selection activeCell="A371" sqref="A1:A1048576"/>
    </sheetView>
  </sheetViews>
  <sheetFormatPr baseColWidth="10" defaultColWidth="10.6640625" defaultRowHeight="13"/>
  <cols>
    <col min="1" max="1" width="19.1640625" style="5" customWidth="1"/>
    <col min="2" max="2" width="27.6640625" style="22" customWidth="1"/>
    <col min="3" max="3" width="31" style="5" customWidth="1"/>
    <col min="4" max="4" width="15.1640625" style="5" customWidth="1"/>
    <col min="5" max="5" width="35.5" style="5" customWidth="1"/>
    <col min="6" max="6" width="52.5" style="5" customWidth="1"/>
    <col min="7" max="11" width="10.6640625" style="5"/>
    <col min="12" max="12" width="43.83203125" style="5" customWidth="1"/>
    <col min="13" max="1008" width="10.6640625" style="5"/>
  </cols>
  <sheetData>
    <row r="1" spans="1:1010" s="13" customFormat="1" ht="16">
      <c r="A1" s="46" t="s">
        <v>2667</v>
      </c>
      <c r="B1" s="24" t="s">
        <v>176</v>
      </c>
      <c r="C1" s="23" t="s">
        <v>0</v>
      </c>
      <c r="D1" s="23" t="s">
        <v>177</v>
      </c>
      <c r="E1" s="23" t="s">
        <v>1</v>
      </c>
      <c r="F1" s="23" t="s">
        <v>178</v>
      </c>
      <c r="G1" s="23" t="s">
        <v>2</v>
      </c>
      <c r="H1" s="23" t="s">
        <v>4026</v>
      </c>
      <c r="ALR1" s="14"/>
      <c r="ALS1" s="14"/>
      <c r="ALT1" s="14"/>
      <c r="ALU1" s="15"/>
      <c r="ALV1" s="15"/>
    </row>
    <row r="2" spans="1:1010" ht="14">
      <c r="A2" s="25" t="s">
        <v>179</v>
      </c>
      <c r="B2" s="26" t="s">
        <v>111</v>
      </c>
      <c r="C2" s="25" t="str">
        <f>A2</f>
        <v>steroid_synthesis</v>
      </c>
      <c r="D2" s="27" t="s">
        <v>13</v>
      </c>
      <c r="E2" s="25" t="s">
        <v>180</v>
      </c>
      <c r="F2" s="25" t="s">
        <v>181</v>
      </c>
      <c r="G2" s="25">
        <v>500</v>
      </c>
      <c r="H2" s="25"/>
    </row>
    <row r="3" spans="1:1010" ht="14">
      <c r="A3" s="25" t="s">
        <v>182</v>
      </c>
      <c r="B3" s="26" t="s">
        <v>111</v>
      </c>
      <c r="C3" s="25" t="str">
        <f t="shared" ref="C3:C66" si="0">A3</f>
        <v>q_linked_reactions</v>
      </c>
      <c r="D3" s="27" t="s">
        <v>13</v>
      </c>
      <c r="E3" s="25" t="s">
        <v>183</v>
      </c>
      <c r="F3" s="25" t="s">
        <v>184</v>
      </c>
      <c r="G3" s="25">
        <v>500</v>
      </c>
      <c r="H3" s="25"/>
    </row>
    <row r="4" spans="1:1010" ht="14">
      <c r="A4" s="25" t="s">
        <v>185</v>
      </c>
      <c r="B4" s="26" t="s">
        <v>111</v>
      </c>
      <c r="C4" s="25" t="str">
        <f t="shared" si="0"/>
        <v>protein_import</v>
      </c>
      <c r="D4" s="27" t="s">
        <v>13</v>
      </c>
      <c r="E4" s="25" t="s">
        <v>186</v>
      </c>
      <c r="F4" s="25" t="s">
        <v>186</v>
      </c>
      <c r="G4" s="25">
        <v>500</v>
      </c>
      <c r="H4" s="25"/>
    </row>
    <row r="5" spans="1:1010" ht="14">
      <c r="A5" s="25" t="s">
        <v>187</v>
      </c>
      <c r="B5" s="26" t="s">
        <v>47</v>
      </c>
      <c r="C5" s="25" t="str">
        <f t="shared" si="0"/>
        <v>360um</v>
      </c>
      <c r="D5" s="27" t="s">
        <v>13</v>
      </c>
      <c r="E5" s="25">
        <v>360</v>
      </c>
      <c r="F5" s="25" t="s">
        <v>188</v>
      </c>
      <c r="G5" s="25">
        <v>500</v>
      </c>
      <c r="H5" s="25"/>
    </row>
    <row r="6" spans="1:1010" ht="14">
      <c r="A6" s="25" t="s">
        <v>189</v>
      </c>
      <c r="B6" s="26" t="s">
        <v>190</v>
      </c>
      <c r="C6" s="25" t="str">
        <f t="shared" si="0"/>
        <v>arginine</v>
      </c>
      <c r="D6" s="25" t="s">
        <v>189</v>
      </c>
      <c r="E6" s="25" t="s">
        <v>191</v>
      </c>
      <c r="F6" s="25" t="s">
        <v>192</v>
      </c>
      <c r="G6" s="25">
        <v>500</v>
      </c>
      <c r="H6" s="25"/>
    </row>
    <row r="7" spans="1:1010" ht="14">
      <c r="A7" s="25" t="s">
        <v>193</v>
      </c>
      <c r="B7" s="26" t="s">
        <v>190</v>
      </c>
      <c r="C7" s="25" t="str">
        <f t="shared" si="0"/>
        <v>asparagine</v>
      </c>
      <c r="D7" s="25" t="s">
        <v>193</v>
      </c>
      <c r="E7" s="25" t="s">
        <v>194</v>
      </c>
      <c r="F7" s="25" t="s">
        <v>195</v>
      </c>
      <c r="G7" s="25">
        <v>500</v>
      </c>
      <c r="H7" s="25"/>
    </row>
    <row r="8" spans="1:1010" ht="14">
      <c r="A8" s="25" t="s">
        <v>196</v>
      </c>
      <c r="B8" s="26" t="s">
        <v>190</v>
      </c>
      <c r="C8" s="25" t="str">
        <f t="shared" si="0"/>
        <v>asparticacid</v>
      </c>
      <c r="D8" s="25" t="s">
        <v>196</v>
      </c>
      <c r="E8" s="25" t="s">
        <v>197</v>
      </c>
      <c r="F8" s="25" t="s">
        <v>198</v>
      </c>
      <c r="G8" s="25">
        <v>500</v>
      </c>
      <c r="H8" s="25"/>
    </row>
    <row r="9" spans="1:1010" ht="14">
      <c r="A9" s="25" t="s">
        <v>199</v>
      </c>
      <c r="B9" s="26" t="s">
        <v>190</v>
      </c>
      <c r="C9" s="25" t="str">
        <f t="shared" si="0"/>
        <v>cysteine</v>
      </c>
      <c r="D9" s="25" t="s">
        <v>199</v>
      </c>
      <c r="E9" s="25" t="s">
        <v>200</v>
      </c>
      <c r="F9" s="25" t="s">
        <v>201</v>
      </c>
      <c r="G9" s="25">
        <v>500</v>
      </c>
      <c r="H9" s="25"/>
    </row>
    <row r="10" spans="1:1010" ht="14">
      <c r="A10" s="25" t="s">
        <v>202</v>
      </c>
      <c r="B10" s="26" t="s">
        <v>190</v>
      </c>
      <c r="C10" s="25" t="str">
        <f t="shared" si="0"/>
        <v>glutamicacid</v>
      </c>
      <c r="D10" s="25" t="s">
        <v>202</v>
      </c>
      <c r="E10" s="25" t="s">
        <v>203</v>
      </c>
      <c r="F10" s="25" t="s">
        <v>204</v>
      </c>
      <c r="G10" s="25">
        <v>500</v>
      </c>
      <c r="H10" s="25"/>
    </row>
    <row r="11" spans="1:1010" ht="14">
      <c r="A11" s="25" t="s">
        <v>205</v>
      </c>
      <c r="B11" s="26" t="s">
        <v>190</v>
      </c>
      <c r="C11" s="25" t="str">
        <f t="shared" si="0"/>
        <v>glutamine</v>
      </c>
      <c r="D11" s="25" t="s">
        <v>205</v>
      </c>
      <c r="E11" s="25" t="s">
        <v>206</v>
      </c>
      <c r="F11" s="25" t="s">
        <v>207</v>
      </c>
      <c r="G11" s="25">
        <v>500</v>
      </c>
      <c r="H11" s="25"/>
    </row>
    <row r="12" spans="1:1010" ht="14">
      <c r="A12" s="25" t="s">
        <v>208</v>
      </c>
      <c r="B12" s="26" t="s">
        <v>190</v>
      </c>
      <c r="C12" s="25" t="str">
        <f t="shared" si="0"/>
        <v>glycine</v>
      </c>
      <c r="D12" s="25" t="s">
        <v>208</v>
      </c>
      <c r="E12" s="25" t="s">
        <v>209</v>
      </c>
      <c r="F12" s="25" t="s">
        <v>210</v>
      </c>
      <c r="G12" s="25">
        <v>500</v>
      </c>
      <c r="H12" s="25"/>
    </row>
    <row r="13" spans="1:1010" ht="14">
      <c r="A13" s="25" t="s">
        <v>211</v>
      </c>
      <c r="B13" s="26" t="s">
        <v>190</v>
      </c>
      <c r="C13" s="25" t="str">
        <f t="shared" si="0"/>
        <v>histidine</v>
      </c>
      <c r="D13" s="25" t="s">
        <v>211</v>
      </c>
      <c r="E13" s="25" t="s">
        <v>212</v>
      </c>
      <c r="F13" s="25" t="s">
        <v>213</v>
      </c>
      <c r="G13" s="25">
        <v>500</v>
      </c>
      <c r="H13" s="25"/>
    </row>
    <row r="14" spans="1:1010" ht="14">
      <c r="A14" s="25" t="s">
        <v>214</v>
      </c>
      <c r="B14" s="26" t="s">
        <v>190</v>
      </c>
      <c r="C14" s="25" t="str">
        <f t="shared" si="0"/>
        <v>isoleucine</v>
      </c>
      <c r="D14" s="25" t="s">
        <v>214</v>
      </c>
      <c r="E14" s="25" t="s">
        <v>215</v>
      </c>
      <c r="F14" s="25" t="s">
        <v>216</v>
      </c>
      <c r="G14" s="25">
        <v>500</v>
      </c>
      <c r="H14" s="25"/>
    </row>
    <row r="15" spans="1:1010" ht="14">
      <c r="A15" s="25" t="s">
        <v>217</v>
      </c>
      <c r="B15" s="26" t="s">
        <v>190</v>
      </c>
      <c r="C15" s="25" t="str">
        <f t="shared" si="0"/>
        <v>leucine</v>
      </c>
      <c r="D15" s="25" t="s">
        <v>217</v>
      </c>
      <c r="E15" s="25" t="s">
        <v>218</v>
      </c>
      <c r="F15" s="25" t="s">
        <v>219</v>
      </c>
      <c r="G15" s="25">
        <v>500</v>
      </c>
      <c r="H15" s="25"/>
    </row>
    <row r="16" spans="1:1010" ht="14">
      <c r="A16" s="25" t="s">
        <v>220</v>
      </c>
      <c r="B16" s="26" t="s">
        <v>190</v>
      </c>
      <c r="C16" s="25" t="str">
        <f t="shared" si="0"/>
        <v>lysine</v>
      </c>
      <c r="D16" s="25" t="s">
        <v>220</v>
      </c>
      <c r="E16" s="25" t="s">
        <v>221</v>
      </c>
      <c r="F16" s="25" t="s">
        <v>222</v>
      </c>
      <c r="G16" s="25">
        <v>500</v>
      </c>
      <c r="H16" s="25"/>
    </row>
    <row r="17" spans="1:8" ht="14">
      <c r="A17" s="25" t="s">
        <v>223</v>
      </c>
      <c r="B17" s="26" t="s">
        <v>190</v>
      </c>
      <c r="C17" s="25" t="str">
        <f t="shared" si="0"/>
        <v>methionine</v>
      </c>
      <c r="D17" s="25" t="s">
        <v>223</v>
      </c>
      <c r="E17" s="25" t="s">
        <v>224</v>
      </c>
      <c r="F17" s="25" t="s">
        <v>225</v>
      </c>
      <c r="G17" s="25">
        <v>500</v>
      </c>
      <c r="H17" s="25"/>
    </row>
    <row r="18" spans="1:8" ht="14">
      <c r="A18" s="25" t="s">
        <v>226</v>
      </c>
      <c r="B18" s="26" t="s">
        <v>190</v>
      </c>
      <c r="C18" s="25" t="str">
        <f t="shared" si="0"/>
        <v>phenylalanine</v>
      </c>
      <c r="D18" s="25" t="s">
        <v>226</v>
      </c>
      <c r="E18" s="25" t="s">
        <v>227</v>
      </c>
      <c r="F18" s="25" t="s">
        <v>228</v>
      </c>
      <c r="G18" s="25">
        <v>500</v>
      </c>
      <c r="H18" s="25"/>
    </row>
    <row r="19" spans="1:8" ht="14">
      <c r="A19" s="25" t="s">
        <v>229</v>
      </c>
      <c r="B19" s="26" t="s">
        <v>190</v>
      </c>
      <c r="C19" s="25" t="str">
        <f t="shared" si="0"/>
        <v>proline</v>
      </c>
      <c r="D19" s="25" t="s">
        <v>229</v>
      </c>
      <c r="E19" s="25" t="s">
        <v>230</v>
      </c>
      <c r="F19" s="25" t="s">
        <v>231</v>
      </c>
      <c r="G19" s="25">
        <v>500</v>
      </c>
      <c r="H19" s="25"/>
    </row>
    <row r="20" spans="1:8" ht="14">
      <c r="A20" s="25" t="s">
        <v>232</v>
      </c>
      <c r="B20" s="26" t="s">
        <v>190</v>
      </c>
      <c r="C20" s="25" t="str">
        <f t="shared" si="0"/>
        <v>serine</v>
      </c>
      <c r="D20" s="25" t="s">
        <v>232</v>
      </c>
      <c r="E20" s="25" t="s">
        <v>233</v>
      </c>
      <c r="F20" s="25" t="s">
        <v>234</v>
      </c>
      <c r="G20" s="25">
        <v>500</v>
      </c>
      <c r="H20" s="25"/>
    </row>
    <row r="21" spans="1:8" ht="14">
      <c r="A21" s="25" t="s">
        <v>235</v>
      </c>
      <c r="B21" s="26" t="s">
        <v>190</v>
      </c>
      <c r="C21" s="25" t="str">
        <f t="shared" si="0"/>
        <v>threonine</v>
      </c>
      <c r="D21" s="25" t="s">
        <v>235</v>
      </c>
      <c r="E21" s="25" t="s">
        <v>236</v>
      </c>
      <c r="F21" s="25" t="s">
        <v>237</v>
      </c>
      <c r="G21" s="25">
        <v>500</v>
      </c>
      <c r="H21" s="25"/>
    </row>
    <row r="22" spans="1:8" ht="14">
      <c r="A22" s="25" t="s">
        <v>238</v>
      </c>
      <c r="B22" s="26" t="s">
        <v>190</v>
      </c>
      <c r="C22" s="25" t="str">
        <f t="shared" si="0"/>
        <v>tryptophan</v>
      </c>
      <c r="D22" s="25" t="s">
        <v>238</v>
      </c>
      <c r="E22" s="25" t="s">
        <v>239</v>
      </c>
      <c r="F22" s="25" t="s">
        <v>240</v>
      </c>
      <c r="G22" s="25">
        <v>500</v>
      </c>
      <c r="H22" s="25"/>
    </row>
    <row r="23" spans="1:8" ht="14">
      <c r="A23" s="25" t="s">
        <v>241</v>
      </c>
      <c r="B23" s="26" t="s">
        <v>190</v>
      </c>
      <c r="C23" s="25" t="str">
        <f t="shared" si="0"/>
        <v>tyrosine</v>
      </c>
      <c r="D23" s="25" t="s">
        <v>241</v>
      </c>
      <c r="E23" s="25" t="s">
        <v>242</v>
      </c>
      <c r="F23" s="25" t="s">
        <v>243</v>
      </c>
      <c r="G23" s="25">
        <v>500</v>
      </c>
      <c r="H23" s="25"/>
    </row>
    <row r="24" spans="1:8" ht="14">
      <c r="A24" s="25" t="s">
        <v>244</v>
      </c>
      <c r="B24" s="26" t="s">
        <v>190</v>
      </c>
      <c r="C24" s="25" t="str">
        <f t="shared" si="0"/>
        <v>valine</v>
      </c>
      <c r="D24" s="25" t="s">
        <v>244</v>
      </c>
      <c r="E24" s="25" t="s">
        <v>245</v>
      </c>
      <c r="F24" s="25" t="s">
        <v>246</v>
      </c>
      <c r="G24" s="25">
        <v>500</v>
      </c>
      <c r="H24" s="25"/>
    </row>
    <row r="25" spans="1:8" ht="14">
      <c r="A25" s="25" t="s">
        <v>189</v>
      </c>
      <c r="B25" s="26" t="s">
        <v>12</v>
      </c>
      <c r="C25" s="25" t="str">
        <f t="shared" si="0"/>
        <v>arginine</v>
      </c>
      <c r="D25" s="27" t="s">
        <v>13</v>
      </c>
      <c r="E25" s="25" t="s">
        <v>191</v>
      </c>
      <c r="F25" s="25" t="s">
        <v>192</v>
      </c>
      <c r="G25" s="25">
        <v>500</v>
      </c>
      <c r="H25" s="25"/>
    </row>
    <row r="26" spans="1:8" ht="14">
      <c r="A26" s="25" t="s">
        <v>193</v>
      </c>
      <c r="B26" s="26" t="s">
        <v>12</v>
      </c>
      <c r="C26" s="25" t="str">
        <f t="shared" si="0"/>
        <v>asparagine</v>
      </c>
      <c r="D26" s="27" t="s">
        <v>13</v>
      </c>
      <c r="E26" s="25" t="s">
        <v>194</v>
      </c>
      <c r="F26" s="25" t="s">
        <v>195</v>
      </c>
      <c r="G26" s="25">
        <v>500</v>
      </c>
      <c r="H26" s="25"/>
    </row>
    <row r="27" spans="1:8" ht="14">
      <c r="A27" s="25" t="s">
        <v>196</v>
      </c>
      <c r="B27" s="26" t="s">
        <v>12</v>
      </c>
      <c r="C27" s="25" t="str">
        <f t="shared" si="0"/>
        <v>asparticacid</v>
      </c>
      <c r="D27" s="27" t="s">
        <v>13</v>
      </c>
      <c r="E27" s="25" t="s">
        <v>197</v>
      </c>
      <c r="F27" s="25" t="s">
        <v>198</v>
      </c>
      <c r="G27" s="25">
        <v>500</v>
      </c>
      <c r="H27" s="25"/>
    </row>
    <row r="28" spans="1:8" ht="14">
      <c r="A28" s="25" t="s">
        <v>199</v>
      </c>
      <c r="B28" s="26" t="s">
        <v>12</v>
      </c>
      <c r="C28" s="25" t="str">
        <f t="shared" si="0"/>
        <v>cysteine</v>
      </c>
      <c r="D28" s="27" t="s">
        <v>13</v>
      </c>
      <c r="E28" s="25" t="s">
        <v>200</v>
      </c>
      <c r="F28" s="25" t="s">
        <v>201</v>
      </c>
      <c r="G28" s="25">
        <v>500</v>
      </c>
      <c r="H28" s="25"/>
    </row>
    <row r="29" spans="1:8" ht="14">
      <c r="A29" s="25" t="s">
        <v>202</v>
      </c>
      <c r="B29" s="26" t="s">
        <v>12</v>
      </c>
      <c r="C29" s="25" t="str">
        <f t="shared" si="0"/>
        <v>glutamicacid</v>
      </c>
      <c r="D29" s="27" t="s">
        <v>13</v>
      </c>
      <c r="E29" s="25" t="s">
        <v>203</v>
      </c>
      <c r="F29" s="25" t="s">
        <v>204</v>
      </c>
      <c r="G29" s="25">
        <v>500</v>
      </c>
      <c r="H29" s="25"/>
    </row>
    <row r="30" spans="1:8" ht="14">
      <c r="A30" s="25" t="s">
        <v>205</v>
      </c>
      <c r="B30" s="26" t="s">
        <v>12</v>
      </c>
      <c r="C30" s="25" t="str">
        <f t="shared" si="0"/>
        <v>glutamine</v>
      </c>
      <c r="D30" s="27" t="s">
        <v>13</v>
      </c>
      <c r="E30" s="25" t="s">
        <v>206</v>
      </c>
      <c r="F30" s="25" t="s">
        <v>207</v>
      </c>
      <c r="G30" s="25">
        <v>500</v>
      </c>
      <c r="H30" s="25"/>
    </row>
    <row r="31" spans="1:8" ht="14">
      <c r="A31" s="25" t="s">
        <v>208</v>
      </c>
      <c r="B31" s="26" t="s">
        <v>12</v>
      </c>
      <c r="C31" s="25" t="str">
        <f t="shared" si="0"/>
        <v>glycine</v>
      </c>
      <c r="D31" s="27" t="s">
        <v>13</v>
      </c>
      <c r="E31" s="25" t="s">
        <v>209</v>
      </c>
      <c r="F31" s="25" t="s">
        <v>210</v>
      </c>
      <c r="G31" s="25">
        <v>500</v>
      </c>
      <c r="H31" s="25"/>
    </row>
    <row r="32" spans="1:8" ht="14">
      <c r="A32" s="25" t="s">
        <v>211</v>
      </c>
      <c r="B32" s="26" t="s">
        <v>12</v>
      </c>
      <c r="C32" s="25" t="str">
        <f t="shared" si="0"/>
        <v>histidine</v>
      </c>
      <c r="D32" s="27" t="s">
        <v>13</v>
      </c>
      <c r="E32" s="25" t="s">
        <v>212</v>
      </c>
      <c r="F32" s="25" t="s">
        <v>213</v>
      </c>
      <c r="G32" s="25">
        <v>500</v>
      </c>
      <c r="H32" s="25"/>
    </row>
    <row r="33" spans="1:8" ht="14">
      <c r="A33" s="25" t="s">
        <v>214</v>
      </c>
      <c r="B33" s="26" t="s">
        <v>12</v>
      </c>
      <c r="C33" s="25" t="str">
        <f t="shared" si="0"/>
        <v>isoleucine</v>
      </c>
      <c r="D33" s="27" t="s">
        <v>13</v>
      </c>
      <c r="E33" s="25" t="s">
        <v>215</v>
      </c>
      <c r="F33" s="25" t="s">
        <v>216</v>
      </c>
      <c r="G33" s="25">
        <v>500</v>
      </c>
      <c r="H33" s="25"/>
    </row>
    <row r="34" spans="1:8" ht="14">
      <c r="A34" s="25" t="s">
        <v>217</v>
      </c>
      <c r="B34" s="26" t="s">
        <v>12</v>
      </c>
      <c r="C34" s="25" t="str">
        <f t="shared" si="0"/>
        <v>leucine</v>
      </c>
      <c r="D34" s="27" t="s">
        <v>13</v>
      </c>
      <c r="E34" s="25" t="s">
        <v>218</v>
      </c>
      <c r="F34" s="25" t="s">
        <v>219</v>
      </c>
      <c r="G34" s="25">
        <v>500</v>
      </c>
      <c r="H34" s="25"/>
    </row>
    <row r="35" spans="1:8" ht="14">
      <c r="A35" s="25" t="s">
        <v>220</v>
      </c>
      <c r="B35" s="26" t="s">
        <v>12</v>
      </c>
      <c r="C35" s="25" t="str">
        <f t="shared" si="0"/>
        <v>lysine</v>
      </c>
      <c r="D35" s="27" t="s">
        <v>13</v>
      </c>
      <c r="E35" s="25" t="s">
        <v>221</v>
      </c>
      <c r="F35" s="25" t="s">
        <v>222</v>
      </c>
      <c r="G35" s="25">
        <v>500</v>
      </c>
      <c r="H35" s="25"/>
    </row>
    <row r="36" spans="1:8" ht="14">
      <c r="A36" s="25" t="s">
        <v>223</v>
      </c>
      <c r="B36" s="26" t="s">
        <v>12</v>
      </c>
      <c r="C36" s="25" t="str">
        <f t="shared" si="0"/>
        <v>methionine</v>
      </c>
      <c r="D36" s="27" t="s">
        <v>13</v>
      </c>
      <c r="E36" s="25" t="s">
        <v>224</v>
      </c>
      <c r="F36" s="25" t="s">
        <v>225</v>
      </c>
      <c r="G36" s="25">
        <v>500</v>
      </c>
      <c r="H36" s="25"/>
    </row>
    <row r="37" spans="1:8" ht="14">
      <c r="A37" s="25" t="s">
        <v>226</v>
      </c>
      <c r="B37" s="26" t="s">
        <v>12</v>
      </c>
      <c r="C37" s="25" t="str">
        <f t="shared" si="0"/>
        <v>phenylalanine</v>
      </c>
      <c r="D37" s="27" t="s">
        <v>13</v>
      </c>
      <c r="E37" s="25" t="s">
        <v>227</v>
      </c>
      <c r="F37" s="25" t="s">
        <v>228</v>
      </c>
      <c r="G37" s="25">
        <v>500</v>
      </c>
      <c r="H37" s="25"/>
    </row>
    <row r="38" spans="1:8" ht="14">
      <c r="A38" s="25" t="s">
        <v>229</v>
      </c>
      <c r="B38" s="26" t="s">
        <v>12</v>
      </c>
      <c r="C38" s="25" t="str">
        <f t="shared" si="0"/>
        <v>proline</v>
      </c>
      <c r="D38" s="27" t="s">
        <v>13</v>
      </c>
      <c r="E38" s="25" t="s">
        <v>230</v>
      </c>
      <c r="F38" s="25" t="s">
        <v>231</v>
      </c>
      <c r="G38" s="25">
        <v>500</v>
      </c>
      <c r="H38" s="25"/>
    </row>
    <row r="39" spans="1:8" ht="14">
      <c r="A39" s="25" t="s">
        <v>232</v>
      </c>
      <c r="B39" s="26" t="s">
        <v>12</v>
      </c>
      <c r="C39" s="25" t="str">
        <f t="shared" si="0"/>
        <v>serine</v>
      </c>
      <c r="D39" s="27" t="s">
        <v>13</v>
      </c>
      <c r="E39" s="25" t="s">
        <v>233</v>
      </c>
      <c r="F39" s="25" t="s">
        <v>234</v>
      </c>
      <c r="G39" s="25">
        <v>500</v>
      </c>
      <c r="H39" s="25"/>
    </row>
    <row r="40" spans="1:8" ht="14">
      <c r="A40" s="25" t="s">
        <v>235</v>
      </c>
      <c r="B40" s="26" t="s">
        <v>12</v>
      </c>
      <c r="C40" s="25" t="str">
        <f t="shared" si="0"/>
        <v>threonine</v>
      </c>
      <c r="D40" s="27" t="s">
        <v>13</v>
      </c>
      <c r="E40" s="25" t="s">
        <v>236</v>
      </c>
      <c r="F40" s="25" t="s">
        <v>237</v>
      </c>
      <c r="G40" s="25">
        <v>500</v>
      </c>
      <c r="H40" s="25"/>
    </row>
    <row r="41" spans="1:8" ht="14">
      <c r="A41" s="25" t="s">
        <v>238</v>
      </c>
      <c r="B41" s="26" t="s">
        <v>12</v>
      </c>
      <c r="C41" s="25" t="str">
        <f t="shared" si="0"/>
        <v>tryptophan</v>
      </c>
      <c r="D41" s="27" t="s">
        <v>13</v>
      </c>
      <c r="E41" s="25" t="s">
        <v>239</v>
      </c>
      <c r="F41" s="25" t="s">
        <v>240</v>
      </c>
      <c r="G41" s="25">
        <v>500</v>
      </c>
      <c r="H41" s="25"/>
    </row>
    <row r="42" spans="1:8" ht="14">
      <c r="A42" s="25" t="s">
        <v>241</v>
      </c>
      <c r="B42" s="26" t="s">
        <v>12</v>
      </c>
      <c r="C42" s="25" t="str">
        <f t="shared" si="0"/>
        <v>tyrosine</v>
      </c>
      <c r="D42" s="27" t="s">
        <v>13</v>
      </c>
      <c r="E42" s="25" t="s">
        <v>242</v>
      </c>
      <c r="F42" s="25" t="s">
        <v>243</v>
      </c>
      <c r="G42" s="25">
        <v>500</v>
      </c>
      <c r="H42" s="25"/>
    </row>
    <row r="43" spans="1:8" ht="14">
      <c r="A43" s="25" t="s">
        <v>244</v>
      </c>
      <c r="B43" s="26" t="s">
        <v>12</v>
      </c>
      <c r="C43" s="25" t="str">
        <f t="shared" si="0"/>
        <v>valine</v>
      </c>
      <c r="D43" s="27" t="s">
        <v>13</v>
      </c>
      <c r="E43" s="25" t="s">
        <v>245</v>
      </c>
      <c r="F43" s="25" t="s">
        <v>246</v>
      </c>
      <c r="G43" s="25">
        <v>500</v>
      </c>
      <c r="H43" s="25"/>
    </row>
    <row r="44" spans="1:8" ht="14">
      <c r="A44" s="25" t="s">
        <v>262</v>
      </c>
      <c r="B44" s="26" t="s">
        <v>12</v>
      </c>
      <c r="C44" s="25" t="str">
        <f t="shared" si="0"/>
        <v>none</v>
      </c>
      <c r="D44" s="27" t="s">
        <v>13</v>
      </c>
      <c r="E44" s="25" t="s">
        <v>2943</v>
      </c>
      <c r="F44" s="25" t="s">
        <v>2944</v>
      </c>
      <c r="G44" s="25">
        <v>500</v>
      </c>
      <c r="H44" s="25"/>
    </row>
    <row r="45" spans="1:8" ht="14">
      <c r="A45" s="25" t="s">
        <v>247</v>
      </c>
      <c r="B45" s="26" t="s">
        <v>18</v>
      </c>
      <c r="C45" s="25" t="str">
        <f t="shared" si="0"/>
        <v>dda</v>
      </c>
      <c r="D45" s="25" t="s">
        <v>247</v>
      </c>
      <c r="E45" s="25" t="s">
        <v>248</v>
      </c>
      <c r="F45" s="25" t="s">
        <v>249</v>
      </c>
      <c r="G45" s="25">
        <v>500</v>
      </c>
      <c r="H45" s="25"/>
    </row>
    <row r="46" spans="1:8" ht="14">
      <c r="A46" s="25" t="s">
        <v>250</v>
      </c>
      <c r="B46" s="26" t="s">
        <v>18</v>
      </c>
      <c r="C46" s="25" t="str">
        <f t="shared" si="0"/>
        <v>dia</v>
      </c>
      <c r="D46" s="25" t="s">
        <v>250</v>
      </c>
      <c r="E46" s="25" t="s">
        <v>251</v>
      </c>
      <c r="F46" s="25" t="s">
        <v>252</v>
      </c>
      <c r="G46" s="25">
        <v>500</v>
      </c>
      <c r="H46" s="25"/>
    </row>
    <row r="47" spans="1:8" ht="14">
      <c r="A47" s="25" t="s">
        <v>253</v>
      </c>
      <c r="B47" s="26" t="s">
        <v>18</v>
      </c>
      <c r="C47" s="25" t="str">
        <f t="shared" si="0"/>
        <v>srm</v>
      </c>
      <c r="D47" s="25" t="s">
        <v>253</v>
      </c>
      <c r="E47" s="25" t="s">
        <v>254</v>
      </c>
      <c r="F47" s="25" t="s">
        <v>255</v>
      </c>
      <c r="G47" s="25">
        <v>500</v>
      </c>
      <c r="H47" s="25"/>
    </row>
    <row r="48" spans="1:8" ht="14">
      <c r="A48" s="25" t="s">
        <v>256</v>
      </c>
      <c r="B48" s="26" t="s">
        <v>22</v>
      </c>
      <c r="C48" s="25" t="str">
        <f t="shared" si="0"/>
        <v>caa</v>
      </c>
      <c r="D48" s="27" t="s">
        <v>13</v>
      </c>
      <c r="E48" s="25" t="s">
        <v>257</v>
      </c>
      <c r="F48" s="25" t="s">
        <v>258</v>
      </c>
      <c r="G48" s="25">
        <v>500</v>
      </c>
      <c r="H48" s="25"/>
    </row>
    <row r="49" spans="1:8" ht="14">
      <c r="A49" s="25" t="s">
        <v>259</v>
      </c>
      <c r="B49" s="26" t="s">
        <v>22</v>
      </c>
      <c r="C49" s="25" t="str">
        <f t="shared" si="0"/>
        <v>iaa</v>
      </c>
      <c r="D49" s="27" t="s">
        <v>13</v>
      </c>
      <c r="E49" s="25" t="s">
        <v>260</v>
      </c>
      <c r="F49" s="25" t="s">
        <v>261</v>
      </c>
      <c r="G49" s="25">
        <v>500</v>
      </c>
      <c r="H49" s="25"/>
    </row>
    <row r="50" spans="1:8" ht="14">
      <c r="A50" s="25" t="s">
        <v>262</v>
      </c>
      <c r="B50" s="26" t="s">
        <v>22</v>
      </c>
      <c r="C50" s="25" t="str">
        <f t="shared" si="0"/>
        <v>none</v>
      </c>
      <c r="D50" s="27" t="s">
        <v>13</v>
      </c>
      <c r="E50" s="25" t="s">
        <v>263</v>
      </c>
      <c r="F50" s="25" t="s">
        <v>264</v>
      </c>
      <c r="G50" s="25">
        <v>500</v>
      </c>
      <c r="H50" s="25"/>
    </row>
    <row r="51" spans="1:8" ht="14">
      <c r="A51" s="25" t="s">
        <v>265</v>
      </c>
      <c r="B51" s="26" t="s">
        <v>26</v>
      </c>
      <c r="C51" s="25" t="str">
        <f t="shared" si="0"/>
        <v>directdia</v>
      </c>
      <c r="D51" s="27" t="s">
        <v>13</v>
      </c>
      <c r="E51" s="25" t="s">
        <v>266</v>
      </c>
      <c r="F51" s="25" t="s">
        <v>267</v>
      </c>
      <c r="G51" s="25">
        <v>500</v>
      </c>
      <c r="H51" s="25"/>
    </row>
    <row r="52" spans="1:8" ht="14">
      <c r="A52" s="25" t="s">
        <v>268</v>
      </c>
      <c r="B52" s="26" t="s">
        <v>26</v>
      </c>
      <c r="C52" s="25" t="str">
        <f t="shared" si="0"/>
        <v>libdia</v>
      </c>
      <c r="D52" s="27" t="s">
        <v>13</v>
      </c>
      <c r="E52" s="25" t="s">
        <v>269</v>
      </c>
      <c r="F52" s="25" t="s">
        <v>270</v>
      </c>
      <c r="G52" s="25">
        <v>500</v>
      </c>
      <c r="H52" s="25"/>
    </row>
    <row r="53" spans="1:8" ht="14">
      <c r="A53" s="25" t="s">
        <v>271</v>
      </c>
      <c r="B53" s="26" t="s">
        <v>272</v>
      </c>
      <c r="C53" s="25" t="str">
        <f t="shared" si="0"/>
        <v>adipoq_cre</v>
      </c>
      <c r="D53" s="27" t="s">
        <v>13</v>
      </c>
      <c r="E53" s="25" t="s">
        <v>273</v>
      </c>
      <c r="F53" s="25" t="s">
        <v>274</v>
      </c>
      <c r="G53" s="25">
        <v>500</v>
      </c>
      <c r="H53" s="25"/>
    </row>
    <row r="54" spans="1:8" ht="14">
      <c r="A54" s="25" t="s">
        <v>275</v>
      </c>
      <c r="B54" s="26" t="s">
        <v>272</v>
      </c>
      <c r="C54" s="25" t="str">
        <f t="shared" si="0"/>
        <v>alb_cre</v>
      </c>
      <c r="D54" s="27" t="s">
        <v>13</v>
      </c>
      <c r="E54" s="25" t="s">
        <v>276</v>
      </c>
      <c r="F54" s="25" t="s">
        <v>277</v>
      </c>
      <c r="G54" s="25">
        <v>500</v>
      </c>
      <c r="H54" s="25"/>
    </row>
    <row r="55" spans="1:8" ht="14">
      <c r="A55" s="25" t="s">
        <v>278</v>
      </c>
      <c r="B55" s="26" t="s">
        <v>272</v>
      </c>
      <c r="C55" s="25" t="str">
        <f t="shared" si="0"/>
        <v>asc_ko</v>
      </c>
      <c r="D55" s="27" t="s">
        <v>13</v>
      </c>
      <c r="E55" s="25" t="s">
        <v>279</v>
      </c>
      <c r="F55" s="25" t="s">
        <v>279</v>
      </c>
      <c r="G55" s="25">
        <v>500</v>
      </c>
      <c r="H55" s="25"/>
    </row>
    <row r="56" spans="1:8" ht="14">
      <c r="A56" s="25" t="s">
        <v>280</v>
      </c>
      <c r="B56" s="26" t="s">
        <v>272</v>
      </c>
      <c r="C56" s="25" t="str">
        <f t="shared" si="0"/>
        <v>baf53b_cre</v>
      </c>
      <c r="D56" s="27" t="s">
        <v>13</v>
      </c>
      <c r="E56" s="25" t="s">
        <v>281</v>
      </c>
      <c r="F56" s="25" t="s">
        <v>282</v>
      </c>
      <c r="G56" s="25">
        <v>500</v>
      </c>
      <c r="H56" s="25"/>
    </row>
    <row r="57" spans="1:8" ht="14">
      <c r="A57" s="25" t="s">
        <v>283</v>
      </c>
      <c r="B57" s="26" t="s">
        <v>272</v>
      </c>
      <c r="C57" s="25" t="str">
        <f t="shared" si="0"/>
        <v>c57_bl6j</v>
      </c>
      <c r="D57" s="27" t="s">
        <v>13</v>
      </c>
      <c r="E57" s="25" t="s">
        <v>284</v>
      </c>
      <c r="F57" s="25" t="s">
        <v>284</v>
      </c>
      <c r="G57" s="25">
        <v>500</v>
      </c>
      <c r="H57" s="25"/>
    </row>
    <row r="58" spans="1:8" ht="14">
      <c r="A58" s="25" t="s">
        <v>285</v>
      </c>
      <c r="B58" s="26" t="s">
        <v>272</v>
      </c>
      <c r="C58" s="25" t="str">
        <f t="shared" si="0"/>
        <v>clec4f_cre</v>
      </c>
      <c r="D58" s="27" t="s">
        <v>13</v>
      </c>
      <c r="E58" s="25" t="s">
        <v>286</v>
      </c>
      <c r="F58" s="25" t="s">
        <v>287</v>
      </c>
      <c r="G58" s="25">
        <v>500</v>
      </c>
      <c r="H58" s="25"/>
    </row>
    <row r="59" spans="1:8" ht="14">
      <c r="A59" s="25" t="s">
        <v>288</v>
      </c>
      <c r="B59" s="26" t="s">
        <v>272</v>
      </c>
      <c r="C59" s="25" t="str">
        <f t="shared" si="0"/>
        <v>cx3cr1_cre</v>
      </c>
      <c r="D59" s="27" t="s">
        <v>13</v>
      </c>
      <c r="E59" s="25" t="s">
        <v>289</v>
      </c>
      <c r="F59" s="25" t="s">
        <v>290</v>
      </c>
      <c r="G59" s="25">
        <v>500</v>
      </c>
      <c r="H59" s="25"/>
    </row>
    <row r="60" spans="1:8" ht="14">
      <c r="A60" s="25" t="s">
        <v>291</v>
      </c>
      <c r="B60" s="26" t="s">
        <v>272</v>
      </c>
      <c r="C60" s="25" t="str">
        <f t="shared" si="0"/>
        <v>cxcr4creert2</v>
      </c>
      <c r="D60" s="27" t="s">
        <v>13</v>
      </c>
      <c r="E60" s="25" t="s">
        <v>292</v>
      </c>
      <c r="F60" s="25" t="s">
        <v>292</v>
      </c>
      <c r="G60" s="25">
        <v>500</v>
      </c>
      <c r="H60" s="25"/>
    </row>
    <row r="61" spans="1:8" ht="14">
      <c r="A61" s="25" t="s">
        <v>293</v>
      </c>
      <c r="B61" s="26" t="s">
        <v>272</v>
      </c>
      <c r="C61" s="25" t="str">
        <f t="shared" si="0"/>
        <v>glast_cre</v>
      </c>
      <c r="D61" s="27" t="s">
        <v>13</v>
      </c>
      <c r="E61" s="25" t="s">
        <v>294</v>
      </c>
      <c r="F61" s="25" t="s">
        <v>295</v>
      </c>
      <c r="G61" s="25">
        <v>500</v>
      </c>
      <c r="H61" s="25"/>
    </row>
    <row r="62" spans="1:8" ht="14">
      <c r="A62" s="25" t="s">
        <v>296</v>
      </c>
      <c r="B62" s="26" t="s">
        <v>272</v>
      </c>
      <c r="C62" s="25" t="str">
        <f t="shared" si="0"/>
        <v>lrat_cre</v>
      </c>
      <c r="D62" s="27" t="s">
        <v>13</v>
      </c>
      <c r="E62" s="25" t="s">
        <v>297</v>
      </c>
      <c r="F62" s="25" t="s">
        <v>298</v>
      </c>
      <c r="G62" s="25">
        <v>500</v>
      </c>
      <c r="H62" s="25"/>
    </row>
    <row r="63" spans="1:8" ht="14">
      <c r="A63" s="25" t="s">
        <v>299</v>
      </c>
      <c r="B63" s="26" t="s">
        <v>272</v>
      </c>
      <c r="C63" s="25" t="str">
        <f t="shared" si="0"/>
        <v>lysm_cre</v>
      </c>
      <c r="D63" s="27" t="s">
        <v>13</v>
      </c>
      <c r="E63" s="25" t="s">
        <v>300</v>
      </c>
      <c r="F63" s="25" t="s">
        <v>301</v>
      </c>
      <c r="G63" s="25">
        <v>500</v>
      </c>
      <c r="H63" s="25"/>
    </row>
    <row r="64" spans="1:8" ht="14">
      <c r="A64" s="25" t="s">
        <v>302</v>
      </c>
      <c r="B64" s="26" t="s">
        <v>272</v>
      </c>
      <c r="C64" s="25" t="str">
        <f t="shared" si="0"/>
        <v>ms4a3_cre</v>
      </c>
      <c r="D64" s="27" t="s">
        <v>13</v>
      </c>
      <c r="E64" s="25" t="s">
        <v>303</v>
      </c>
      <c r="F64" s="25" t="s">
        <v>304</v>
      </c>
      <c r="G64" s="25">
        <v>500</v>
      </c>
      <c r="H64" s="25"/>
    </row>
    <row r="65" spans="1:8" ht="14">
      <c r="A65" s="25" t="s">
        <v>305</v>
      </c>
      <c r="B65" s="26" t="s">
        <v>272</v>
      </c>
      <c r="C65" s="25" t="str">
        <f t="shared" si="0"/>
        <v>mt_nlrp3_cre</v>
      </c>
      <c r="D65" s="27" t="s">
        <v>13</v>
      </c>
      <c r="E65" s="25" t="s">
        <v>306</v>
      </c>
      <c r="F65" s="25" t="s">
        <v>307</v>
      </c>
      <c r="G65" s="25">
        <v>500</v>
      </c>
      <c r="H65" s="25"/>
    </row>
    <row r="66" spans="1:8" ht="14">
      <c r="A66" s="25" t="s">
        <v>308</v>
      </c>
      <c r="B66" s="26" t="s">
        <v>272</v>
      </c>
      <c r="C66" s="25" t="str">
        <f t="shared" si="0"/>
        <v>nlrp3_flox</v>
      </c>
      <c r="D66" s="27" t="s">
        <v>13</v>
      </c>
      <c r="E66" s="25" t="s">
        <v>309</v>
      </c>
      <c r="F66" s="25" t="s">
        <v>309</v>
      </c>
      <c r="G66" s="25">
        <v>500</v>
      </c>
      <c r="H66" s="25"/>
    </row>
    <row r="67" spans="1:8" ht="14">
      <c r="A67" s="25" t="s">
        <v>310</v>
      </c>
      <c r="B67" s="26" t="s">
        <v>272</v>
      </c>
      <c r="C67" s="25" t="str">
        <f t="shared" ref="C67:C131" si="1">A67</f>
        <v>nlrp3_ko</v>
      </c>
      <c r="D67" s="27" t="s">
        <v>13</v>
      </c>
      <c r="E67" s="25" t="s">
        <v>311</v>
      </c>
      <c r="F67" s="25" t="s">
        <v>311</v>
      </c>
      <c r="G67" s="25">
        <v>500</v>
      </c>
      <c r="H67" s="25"/>
    </row>
    <row r="68" spans="1:8" ht="14">
      <c r="A68" s="25" t="s">
        <v>312</v>
      </c>
      <c r="B68" s="26" t="s">
        <v>272</v>
      </c>
      <c r="C68" s="25" t="str">
        <f t="shared" si="1"/>
        <v>oaf</v>
      </c>
      <c r="D68" s="27" t="s">
        <v>13</v>
      </c>
      <c r="E68" s="25" t="s">
        <v>313</v>
      </c>
      <c r="F68" s="25" t="s">
        <v>313</v>
      </c>
      <c r="G68" s="25">
        <v>500</v>
      </c>
      <c r="H68" s="25"/>
    </row>
    <row r="69" spans="1:8" ht="14">
      <c r="A69" s="25" t="s">
        <v>314</v>
      </c>
      <c r="B69" s="26" t="s">
        <v>272</v>
      </c>
      <c r="C69" s="25" t="str">
        <f t="shared" si="1"/>
        <v>r26_ert2cre</v>
      </c>
      <c r="D69" s="27" t="s">
        <v>13</v>
      </c>
      <c r="E69" s="25" t="s">
        <v>315</v>
      </c>
      <c r="F69" s="25" t="s">
        <v>316</v>
      </c>
      <c r="G69" s="25">
        <v>500</v>
      </c>
      <c r="H69" s="25"/>
    </row>
    <row r="70" spans="1:8" ht="14">
      <c r="A70" s="25" t="s">
        <v>317</v>
      </c>
      <c r="B70" s="26" t="s">
        <v>272</v>
      </c>
      <c r="C70" s="25" t="str">
        <f t="shared" si="1"/>
        <v>r26_metrs_flox</v>
      </c>
      <c r="D70" s="27" t="s">
        <v>13</v>
      </c>
      <c r="E70" s="27" t="s">
        <v>318</v>
      </c>
      <c r="F70" s="25" t="s">
        <v>319</v>
      </c>
      <c r="G70" s="25">
        <v>500</v>
      </c>
      <c r="H70" s="25"/>
    </row>
    <row r="71" spans="1:8" ht="14">
      <c r="A71" s="25" t="s">
        <v>320</v>
      </c>
      <c r="B71" s="26" t="s">
        <v>272</v>
      </c>
      <c r="C71" s="25" t="str">
        <f t="shared" si="1"/>
        <v>r26_nlrp3_flox</v>
      </c>
      <c r="D71" s="27" t="s">
        <v>13</v>
      </c>
      <c r="E71" s="25" t="s">
        <v>321</v>
      </c>
      <c r="F71" s="25" t="s">
        <v>321</v>
      </c>
      <c r="G71" s="25">
        <v>500</v>
      </c>
      <c r="H71" s="25"/>
    </row>
    <row r="72" spans="1:8" ht="14">
      <c r="A72" s="25" t="s">
        <v>322</v>
      </c>
      <c r="B72" s="26" t="s">
        <v>272</v>
      </c>
      <c r="C72" s="25" t="str">
        <f t="shared" si="1"/>
        <v>ribotag_lox</v>
      </c>
      <c r="D72" s="27" t="s">
        <v>13</v>
      </c>
      <c r="E72" s="25" t="s">
        <v>323</v>
      </c>
      <c r="F72" s="27" t="s">
        <v>13</v>
      </c>
      <c r="G72" s="25">
        <v>500</v>
      </c>
      <c r="H72" s="25"/>
    </row>
    <row r="73" spans="1:8" ht="14">
      <c r="A73" s="25" t="s">
        <v>324</v>
      </c>
      <c r="B73" s="26" t="s">
        <v>272</v>
      </c>
      <c r="C73" s="25" t="str">
        <f t="shared" si="1"/>
        <v>sox10_cre</v>
      </c>
      <c r="D73" s="27" t="s">
        <v>13</v>
      </c>
      <c r="E73" s="25" t="s">
        <v>325</v>
      </c>
      <c r="F73" s="25" t="s">
        <v>326</v>
      </c>
      <c r="G73" s="25">
        <v>500</v>
      </c>
      <c r="H73" s="25"/>
    </row>
    <row r="74" spans="1:8" ht="14">
      <c r="A74" s="25" t="s">
        <v>327</v>
      </c>
      <c r="B74" s="26" t="s">
        <v>272</v>
      </c>
      <c r="C74" s="25" t="str">
        <f t="shared" si="1"/>
        <v>ucp1_cre</v>
      </c>
      <c r="D74" s="27" t="s">
        <v>13</v>
      </c>
      <c r="E74" s="25" t="s">
        <v>328</v>
      </c>
      <c r="F74" s="25" t="s">
        <v>329</v>
      </c>
      <c r="G74" s="25">
        <v>500</v>
      </c>
      <c r="H74" s="25"/>
    </row>
    <row r="75" spans="1:8" ht="14">
      <c r="A75" s="25" t="s">
        <v>330</v>
      </c>
      <c r="B75" s="26" t="s">
        <v>272</v>
      </c>
      <c r="C75" s="25" t="str">
        <f t="shared" si="1"/>
        <v>vil_cre</v>
      </c>
      <c r="D75" s="27" t="s">
        <v>13</v>
      </c>
      <c r="E75" s="25" t="s">
        <v>331</v>
      </c>
      <c r="F75" s="25" t="s">
        <v>332</v>
      </c>
      <c r="G75" s="25">
        <v>500</v>
      </c>
      <c r="H75" s="25"/>
    </row>
    <row r="76" spans="1:8" ht="14">
      <c r="A76" s="25" t="s">
        <v>333</v>
      </c>
      <c r="B76" s="26" t="s">
        <v>35</v>
      </c>
      <c r="C76" s="25" t="str">
        <f t="shared" si="1"/>
        <v>adipose_macrophages</v>
      </c>
      <c r="D76" s="25" t="s">
        <v>334</v>
      </c>
      <c r="E76" s="25" t="s">
        <v>335</v>
      </c>
      <c r="F76" s="25" t="s">
        <v>336</v>
      </c>
      <c r="G76" s="25">
        <v>500</v>
      </c>
      <c r="H76" s="25"/>
    </row>
    <row r="77" spans="1:8" ht="14">
      <c r="A77" s="25" t="s">
        <v>337</v>
      </c>
      <c r="B77" s="26" t="s">
        <v>35</v>
      </c>
      <c r="C77" s="25" t="str">
        <f t="shared" si="1"/>
        <v>astrocytes</v>
      </c>
      <c r="D77" s="25" t="s">
        <v>337</v>
      </c>
      <c r="E77" s="25" t="s">
        <v>295</v>
      </c>
      <c r="F77" s="25" t="s">
        <v>295</v>
      </c>
      <c r="G77" s="25">
        <v>500</v>
      </c>
      <c r="H77" s="25"/>
    </row>
    <row r="78" spans="1:8" ht="14">
      <c r="A78" s="25" t="s">
        <v>338</v>
      </c>
      <c r="B78" s="26" t="s">
        <v>35</v>
      </c>
      <c r="C78" s="25" t="str">
        <f t="shared" si="1"/>
        <v>basophils</v>
      </c>
      <c r="D78" s="25" t="s">
        <v>338</v>
      </c>
      <c r="E78" s="25" t="s">
        <v>339</v>
      </c>
      <c r="F78" s="25" t="s">
        <v>340</v>
      </c>
      <c r="G78" s="25">
        <v>500</v>
      </c>
      <c r="H78" s="25"/>
    </row>
    <row r="79" spans="1:8" ht="14">
      <c r="A79" s="25" t="s">
        <v>341</v>
      </c>
      <c r="B79" s="26" t="s">
        <v>35</v>
      </c>
      <c r="C79" s="25" t="str">
        <f t="shared" si="1"/>
        <v>bcells</v>
      </c>
      <c r="D79" s="25" t="s">
        <v>341</v>
      </c>
      <c r="E79" s="25" t="s">
        <v>342</v>
      </c>
      <c r="F79" s="25" t="s">
        <v>342</v>
      </c>
      <c r="G79" s="25">
        <v>500</v>
      </c>
      <c r="H79" s="25"/>
    </row>
    <row r="80" spans="1:8" ht="14">
      <c r="A80" s="25" t="s">
        <v>343</v>
      </c>
      <c r="B80" s="26" t="s">
        <v>35</v>
      </c>
      <c r="C80" s="25" t="str">
        <f t="shared" si="1"/>
        <v>cytotoxict</v>
      </c>
      <c r="D80" s="25" t="s">
        <v>343</v>
      </c>
      <c r="E80" s="25" t="s">
        <v>344</v>
      </c>
      <c r="F80" s="25" t="s">
        <v>345</v>
      </c>
      <c r="G80" s="25">
        <v>500</v>
      </c>
      <c r="H80" s="25"/>
    </row>
    <row r="81" spans="1:8" ht="14">
      <c r="A81" s="25" t="s">
        <v>346</v>
      </c>
      <c r="B81" s="26" t="s">
        <v>35</v>
      </c>
      <c r="C81" s="25" t="str">
        <f t="shared" si="1"/>
        <v>endothelial</v>
      </c>
      <c r="D81" s="25" t="s">
        <v>346</v>
      </c>
      <c r="E81" s="25" t="s">
        <v>347</v>
      </c>
      <c r="F81" s="25" t="s">
        <v>348</v>
      </c>
      <c r="G81" s="25">
        <v>500</v>
      </c>
      <c r="H81" s="25"/>
    </row>
    <row r="82" spans="1:8" ht="14">
      <c r="A82" s="25" t="s">
        <v>349</v>
      </c>
      <c r="B82" s="26" t="s">
        <v>35</v>
      </c>
      <c r="C82" s="25" t="str">
        <f t="shared" si="1"/>
        <v>eosinophils</v>
      </c>
      <c r="D82" s="25" t="s">
        <v>349</v>
      </c>
      <c r="E82" s="25" t="s">
        <v>350</v>
      </c>
      <c r="F82" s="25" t="s">
        <v>351</v>
      </c>
      <c r="G82" s="25">
        <v>500</v>
      </c>
      <c r="H82" s="25"/>
    </row>
    <row r="83" spans="1:8" ht="14">
      <c r="A83" s="25" t="s">
        <v>352</v>
      </c>
      <c r="B83" s="26" t="s">
        <v>35</v>
      </c>
      <c r="C83" s="25" t="str">
        <f t="shared" si="1"/>
        <v>epithelioid</v>
      </c>
      <c r="D83" s="25" t="s">
        <v>352</v>
      </c>
      <c r="E83" s="25" t="s">
        <v>353</v>
      </c>
      <c r="F83" s="25" t="s">
        <v>354</v>
      </c>
      <c r="G83" s="25">
        <v>500</v>
      </c>
      <c r="H83" s="25"/>
    </row>
    <row r="84" spans="1:8" ht="14">
      <c r="A84" s="25" t="s">
        <v>355</v>
      </c>
      <c r="B84" s="26" t="s">
        <v>35</v>
      </c>
      <c r="C84" s="25" t="str">
        <f t="shared" si="1"/>
        <v>erythrocytes</v>
      </c>
      <c r="D84" s="25" t="s">
        <v>355</v>
      </c>
      <c r="E84" s="25" t="s">
        <v>356</v>
      </c>
      <c r="F84" s="25" t="s">
        <v>357</v>
      </c>
      <c r="G84" s="25">
        <v>500</v>
      </c>
      <c r="H84" s="25"/>
    </row>
    <row r="85" spans="1:8" ht="14">
      <c r="A85" s="25" t="s">
        <v>358</v>
      </c>
      <c r="B85" s="26" t="s">
        <v>35</v>
      </c>
      <c r="C85" s="25" t="str">
        <f t="shared" si="1"/>
        <v>gammadeltat</v>
      </c>
      <c r="D85" s="25" t="s">
        <v>358</v>
      </c>
      <c r="E85" s="25" t="s">
        <v>359</v>
      </c>
      <c r="F85" s="25" t="s">
        <v>360</v>
      </c>
      <c r="G85" s="25">
        <v>500</v>
      </c>
      <c r="H85" s="25"/>
    </row>
    <row r="86" spans="1:8" ht="14">
      <c r="A86" s="25" t="s">
        <v>361</v>
      </c>
      <c r="B86" s="26" t="s">
        <v>35</v>
      </c>
      <c r="C86" s="25" t="str">
        <f t="shared" si="1"/>
        <v>hofbauer</v>
      </c>
      <c r="D86" s="25" t="s">
        <v>361</v>
      </c>
      <c r="E86" s="25" t="s">
        <v>362</v>
      </c>
      <c r="F86" s="25" t="s">
        <v>363</v>
      </c>
      <c r="G86" s="25">
        <v>500</v>
      </c>
      <c r="H86" s="25"/>
    </row>
    <row r="87" spans="1:8" ht="14">
      <c r="A87" s="25" t="s">
        <v>364</v>
      </c>
      <c r="B87" s="26" t="s">
        <v>35</v>
      </c>
      <c r="C87" s="25" t="str">
        <f t="shared" si="1"/>
        <v>keratinocytes</v>
      </c>
      <c r="D87" s="25" t="s">
        <v>364</v>
      </c>
      <c r="E87" s="25" t="s">
        <v>365</v>
      </c>
      <c r="F87" s="25" t="s">
        <v>366</v>
      </c>
      <c r="G87" s="25">
        <v>500</v>
      </c>
      <c r="H87" s="25"/>
    </row>
    <row r="88" spans="1:8" ht="14">
      <c r="A88" s="25" t="s">
        <v>367</v>
      </c>
      <c r="B88" s="26" t="s">
        <v>35</v>
      </c>
      <c r="C88" s="25" t="str">
        <f t="shared" si="1"/>
        <v>kupffer</v>
      </c>
      <c r="D88" s="25" t="s">
        <v>367</v>
      </c>
      <c r="E88" s="25" t="s">
        <v>368</v>
      </c>
      <c r="F88" s="25" t="s">
        <v>369</v>
      </c>
      <c r="G88" s="25">
        <v>500</v>
      </c>
      <c r="H88" s="25"/>
    </row>
    <row r="89" spans="1:8" ht="14">
      <c r="A89" s="25" t="s">
        <v>370</v>
      </c>
      <c r="B89" s="26" t="s">
        <v>35</v>
      </c>
      <c r="C89" s="25" t="str">
        <f t="shared" si="1"/>
        <v>langerhans</v>
      </c>
      <c r="D89" s="25" t="s">
        <v>370</v>
      </c>
      <c r="E89" s="25" t="s">
        <v>371</v>
      </c>
      <c r="F89" s="25" t="s">
        <v>372</v>
      </c>
      <c r="G89" s="25">
        <v>500</v>
      </c>
      <c r="H89" s="25"/>
    </row>
    <row r="90" spans="1:8" ht="14">
      <c r="A90" s="25" t="s">
        <v>373</v>
      </c>
      <c r="B90" s="26" t="s">
        <v>35</v>
      </c>
      <c r="C90" s="25" t="str">
        <f t="shared" si="1"/>
        <v>leukocytes</v>
      </c>
      <c r="D90" s="25" t="s">
        <v>373</v>
      </c>
      <c r="E90" s="25" t="s">
        <v>374</v>
      </c>
      <c r="F90" s="25" t="s">
        <v>375</v>
      </c>
      <c r="G90" s="25">
        <v>500</v>
      </c>
      <c r="H90" s="25"/>
    </row>
    <row r="91" spans="1:8" ht="14">
      <c r="A91" s="25" t="s">
        <v>376</v>
      </c>
      <c r="B91" s="26" t="s">
        <v>35</v>
      </c>
      <c r="C91" s="25" t="str">
        <f t="shared" si="1"/>
        <v>lymphocytes</v>
      </c>
      <c r="D91" s="25" t="s">
        <v>376</v>
      </c>
      <c r="E91" s="25" t="s">
        <v>377</v>
      </c>
      <c r="F91" s="25" t="s">
        <v>378</v>
      </c>
      <c r="G91" s="25">
        <v>500</v>
      </c>
      <c r="H91" s="25"/>
    </row>
    <row r="92" spans="1:8" ht="14">
      <c r="A92" s="25" t="s">
        <v>379</v>
      </c>
      <c r="B92" s="26" t="s">
        <v>35</v>
      </c>
      <c r="C92" s="25" t="str">
        <f t="shared" si="1"/>
        <v>macrophage</v>
      </c>
      <c r="D92" s="25" t="s">
        <v>379</v>
      </c>
      <c r="E92" s="25" t="s">
        <v>380</v>
      </c>
      <c r="F92" s="25" t="s">
        <v>380</v>
      </c>
      <c r="G92" s="25">
        <v>500</v>
      </c>
      <c r="H92" s="25"/>
    </row>
    <row r="93" spans="1:8" ht="14">
      <c r="A93" s="25" t="s">
        <v>381</v>
      </c>
      <c r="B93" s="26" t="s">
        <v>35</v>
      </c>
      <c r="C93" s="25" t="str">
        <f t="shared" si="1"/>
        <v>microglia</v>
      </c>
      <c r="D93" s="25" t="s">
        <v>381</v>
      </c>
      <c r="E93" s="25" t="s">
        <v>382</v>
      </c>
      <c r="F93" s="25" t="s">
        <v>383</v>
      </c>
      <c r="G93" s="25">
        <v>500</v>
      </c>
      <c r="H93" s="25"/>
    </row>
    <row r="94" spans="1:8" ht="14">
      <c r="A94" s="25" t="s">
        <v>384</v>
      </c>
      <c r="B94" s="26" t="s">
        <v>35</v>
      </c>
      <c r="C94" s="25" t="str">
        <f t="shared" si="1"/>
        <v>monoblast</v>
      </c>
      <c r="D94" s="25" t="s">
        <v>384</v>
      </c>
      <c r="E94" s="25" t="s">
        <v>385</v>
      </c>
      <c r="F94" s="25" t="s">
        <v>385</v>
      </c>
      <c r="G94" s="25">
        <v>500</v>
      </c>
      <c r="H94" s="25"/>
    </row>
    <row r="95" spans="1:8" ht="14">
      <c r="A95" s="25" t="s">
        <v>386</v>
      </c>
      <c r="B95" s="26" t="s">
        <v>35</v>
      </c>
      <c r="C95" s="25" t="str">
        <f t="shared" si="1"/>
        <v>monocytes</v>
      </c>
      <c r="D95" s="25" t="s">
        <v>386</v>
      </c>
      <c r="E95" s="25" t="s">
        <v>304</v>
      </c>
      <c r="F95" s="25" t="s">
        <v>387</v>
      </c>
      <c r="G95" s="25">
        <v>500</v>
      </c>
      <c r="H95" s="25"/>
    </row>
    <row r="96" spans="1:8" ht="14">
      <c r="A96" s="25" t="s">
        <v>388</v>
      </c>
      <c r="B96" s="26" t="s">
        <v>35</v>
      </c>
      <c r="C96" s="25" t="str">
        <f t="shared" si="1"/>
        <v>neutrophils</v>
      </c>
      <c r="D96" s="25" t="s">
        <v>388</v>
      </c>
      <c r="E96" s="25" t="s">
        <v>389</v>
      </c>
      <c r="F96" s="25" t="s">
        <v>390</v>
      </c>
      <c r="G96" s="25">
        <v>500</v>
      </c>
      <c r="H96" s="25"/>
    </row>
    <row r="97" spans="1:8" ht="14">
      <c r="A97" s="25" t="s">
        <v>391</v>
      </c>
      <c r="B97" s="26" t="s">
        <v>35</v>
      </c>
      <c r="C97" s="25" t="str">
        <f t="shared" si="1"/>
        <v>nk</v>
      </c>
      <c r="D97" s="25" t="s">
        <v>391</v>
      </c>
      <c r="E97" s="25" t="s">
        <v>392</v>
      </c>
      <c r="F97" s="25" t="s">
        <v>393</v>
      </c>
      <c r="G97" s="25">
        <v>500</v>
      </c>
      <c r="H97" s="25"/>
    </row>
    <row r="98" spans="1:8" ht="14">
      <c r="A98" s="25" t="s">
        <v>394</v>
      </c>
      <c r="B98" s="26" t="s">
        <v>35</v>
      </c>
      <c r="C98" s="25" t="str">
        <f t="shared" si="1"/>
        <v>osteoblast</v>
      </c>
      <c r="D98" s="25" t="s">
        <v>394</v>
      </c>
      <c r="E98" s="25" t="s">
        <v>395</v>
      </c>
      <c r="F98" s="25" t="s">
        <v>396</v>
      </c>
      <c r="G98" s="25">
        <v>500</v>
      </c>
      <c r="H98" s="25"/>
    </row>
    <row r="99" spans="1:8" ht="14">
      <c r="A99" s="25" t="s">
        <v>397</v>
      </c>
      <c r="B99" s="26" t="s">
        <v>35</v>
      </c>
      <c r="C99" s="25" t="str">
        <f t="shared" si="1"/>
        <v>osteoclast</v>
      </c>
      <c r="D99" s="25" t="s">
        <v>397</v>
      </c>
      <c r="E99" s="25" t="s">
        <v>398</v>
      </c>
      <c r="F99" s="25" t="s">
        <v>399</v>
      </c>
      <c r="G99" s="25">
        <v>500</v>
      </c>
      <c r="H99" s="25"/>
    </row>
    <row r="100" spans="1:8" ht="14">
      <c r="A100" s="25" t="s">
        <v>400</v>
      </c>
      <c r="B100" s="26" t="s">
        <v>35</v>
      </c>
      <c r="C100" s="25" t="str">
        <f t="shared" si="1"/>
        <v>osteocytes</v>
      </c>
      <c r="D100" s="25" t="s">
        <v>400</v>
      </c>
      <c r="E100" s="25" t="s">
        <v>401</v>
      </c>
      <c r="F100" s="25" t="s">
        <v>402</v>
      </c>
      <c r="G100" s="25">
        <v>500</v>
      </c>
      <c r="H100" s="25"/>
    </row>
    <row r="101" spans="1:8" ht="14">
      <c r="A101" s="25" t="s">
        <v>403</v>
      </c>
      <c r="B101" s="26" t="s">
        <v>35</v>
      </c>
      <c r="C101" s="25" t="str">
        <f t="shared" si="1"/>
        <v>osteogenic</v>
      </c>
      <c r="D101" s="25" t="s">
        <v>403</v>
      </c>
      <c r="E101" s="25" t="s">
        <v>404</v>
      </c>
      <c r="F101" s="25" t="s">
        <v>405</v>
      </c>
      <c r="G101" s="25">
        <v>500</v>
      </c>
      <c r="H101" s="25"/>
    </row>
    <row r="102" spans="1:8" ht="14">
      <c r="A102" s="25" t="s">
        <v>406</v>
      </c>
      <c r="B102" s="26" t="s">
        <v>35</v>
      </c>
      <c r="C102" s="25" t="str">
        <f t="shared" si="1"/>
        <v>regt</v>
      </c>
      <c r="D102" s="25" t="s">
        <v>406</v>
      </c>
      <c r="E102" s="25" t="s">
        <v>407</v>
      </c>
      <c r="F102" s="25" t="s">
        <v>408</v>
      </c>
      <c r="G102" s="25">
        <v>500</v>
      </c>
      <c r="H102" s="25"/>
    </row>
    <row r="103" spans="1:8" ht="14">
      <c r="A103" s="25" t="s">
        <v>409</v>
      </c>
      <c r="B103" s="26" t="s">
        <v>35</v>
      </c>
      <c r="C103" s="25" t="str">
        <f t="shared" si="1"/>
        <v>stemcells</v>
      </c>
      <c r="D103" s="25" t="s">
        <v>409</v>
      </c>
      <c r="E103" s="25" t="s">
        <v>410</v>
      </c>
      <c r="F103" s="25" t="s">
        <v>411</v>
      </c>
      <c r="G103" s="25">
        <v>500</v>
      </c>
      <c r="H103" s="25"/>
    </row>
    <row r="104" spans="1:8" ht="14">
      <c r="A104" s="25" t="s">
        <v>412</v>
      </c>
      <c r="B104" s="26" t="s">
        <v>35</v>
      </c>
      <c r="C104" s="25" t="str">
        <f t="shared" si="1"/>
        <v>tcells</v>
      </c>
      <c r="D104" s="25" t="s">
        <v>412</v>
      </c>
      <c r="E104" s="25" t="s">
        <v>413</v>
      </c>
      <c r="F104" s="25" t="s">
        <v>413</v>
      </c>
      <c r="G104" s="25">
        <v>500</v>
      </c>
      <c r="H104" s="25"/>
    </row>
    <row r="105" spans="1:8" ht="14">
      <c r="A105" s="25" t="s">
        <v>414</v>
      </c>
      <c r="B105" s="26" t="s">
        <v>35</v>
      </c>
      <c r="C105" s="25" t="str">
        <f t="shared" si="1"/>
        <v>thelper</v>
      </c>
      <c r="D105" s="25" t="s">
        <v>414</v>
      </c>
      <c r="E105" s="25" t="s">
        <v>415</v>
      </c>
      <c r="F105" s="25" t="s">
        <v>416</v>
      </c>
      <c r="G105" s="25">
        <v>500</v>
      </c>
      <c r="H105" s="25"/>
    </row>
    <row r="106" spans="1:8" ht="14">
      <c r="A106" s="25" t="s">
        <v>417</v>
      </c>
      <c r="B106" s="26" t="s">
        <v>35</v>
      </c>
      <c r="C106" s="25" t="str">
        <f t="shared" si="1"/>
        <v>thrombocytes</v>
      </c>
      <c r="D106" s="25" t="s">
        <v>417</v>
      </c>
      <c r="E106" s="25" t="s">
        <v>418</v>
      </c>
      <c r="F106" s="25" t="s">
        <v>419</v>
      </c>
      <c r="G106" s="25">
        <v>500</v>
      </c>
      <c r="H106" s="25"/>
    </row>
    <row r="107" spans="1:8" ht="14">
      <c r="A107" s="25" t="s">
        <v>420</v>
      </c>
      <c r="B107" s="26" t="s">
        <v>38</v>
      </c>
      <c r="C107" s="25" t="str">
        <f t="shared" si="1"/>
        <v>786_0</v>
      </c>
      <c r="D107" s="25">
        <v>786</v>
      </c>
      <c r="E107" s="25" t="s">
        <v>421</v>
      </c>
      <c r="F107" s="25" t="s">
        <v>422</v>
      </c>
      <c r="G107" s="25">
        <v>500</v>
      </c>
      <c r="H107" s="25"/>
    </row>
    <row r="108" spans="1:8" ht="14">
      <c r="A108" s="25" t="s">
        <v>423</v>
      </c>
      <c r="B108" s="26" t="s">
        <v>38</v>
      </c>
      <c r="C108" s="25" t="str">
        <f t="shared" si="1"/>
        <v>a498</v>
      </c>
      <c r="D108" s="25" t="s">
        <v>423</v>
      </c>
      <c r="E108" s="25" t="s">
        <v>424</v>
      </c>
      <c r="F108" s="25" t="s">
        <v>422</v>
      </c>
      <c r="G108" s="25">
        <v>500</v>
      </c>
      <c r="H108" s="25"/>
    </row>
    <row r="109" spans="1:8" ht="14">
      <c r="A109" s="25" t="s">
        <v>425</v>
      </c>
      <c r="B109" s="26" t="s">
        <v>38</v>
      </c>
      <c r="C109" s="25" t="str">
        <f t="shared" si="1"/>
        <v>a549</v>
      </c>
      <c r="D109" s="25" t="s">
        <v>425</v>
      </c>
      <c r="E109" s="25" t="s">
        <v>426</v>
      </c>
      <c r="F109" s="25" t="s">
        <v>427</v>
      </c>
      <c r="G109" s="25">
        <v>500</v>
      </c>
      <c r="H109" s="25"/>
    </row>
    <row r="110" spans="1:8" ht="14">
      <c r="A110" s="25" t="s">
        <v>428</v>
      </c>
      <c r="B110" s="26" t="s">
        <v>38</v>
      </c>
      <c r="C110" s="25" t="str">
        <f t="shared" si="1"/>
        <v>achn</v>
      </c>
      <c r="D110" s="25" t="s">
        <v>428</v>
      </c>
      <c r="E110" s="25" t="s">
        <v>429</v>
      </c>
      <c r="F110" s="25" t="s">
        <v>422</v>
      </c>
      <c r="G110" s="25">
        <v>500</v>
      </c>
      <c r="H110" s="25"/>
    </row>
    <row r="111" spans="1:8" ht="14">
      <c r="A111" s="25" t="s">
        <v>430</v>
      </c>
      <c r="B111" s="26" t="s">
        <v>38</v>
      </c>
      <c r="C111" s="25" t="str">
        <f t="shared" si="1"/>
        <v>bmdc</v>
      </c>
      <c r="D111" s="25" t="s">
        <v>430</v>
      </c>
      <c r="E111" s="25" t="s">
        <v>431</v>
      </c>
      <c r="F111" s="25" t="s">
        <v>431</v>
      </c>
      <c r="G111" s="25">
        <v>500</v>
      </c>
      <c r="H111" s="25"/>
    </row>
    <row r="112" spans="1:8" ht="14">
      <c r="A112" s="25" t="s">
        <v>432</v>
      </c>
      <c r="B112" s="26" t="s">
        <v>38</v>
      </c>
      <c r="C112" s="25" t="str">
        <f t="shared" si="1"/>
        <v>bmm</v>
      </c>
      <c r="D112" s="25" t="s">
        <v>432</v>
      </c>
      <c r="E112" s="25" t="s">
        <v>433</v>
      </c>
      <c r="F112" s="25" t="s">
        <v>434</v>
      </c>
      <c r="G112" s="25">
        <v>500</v>
      </c>
      <c r="H112" s="25"/>
    </row>
    <row r="113" spans="1:8" ht="14">
      <c r="A113" s="25" t="s">
        <v>435</v>
      </c>
      <c r="B113" s="26" t="s">
        <v>38</v>
      </c>
      <c r="C113" s="25" t="str">
        <f t="shared" si="1"/>
        <v>bt549</v>
      </c>
      <c r="D113" s="25" t="s">
        <v>435</v>
      </c>
      <c r="E113" s="25" t="s">
        <v>436</v>
      </c>
      <c r="F113" s="25" t="s">
        <v>437</v>
      </c>
      <c r="G113" s="25">
        <v>500</v>
      </c>
      <c r="H113" s="25"/>
    </row>
    <row r="114" spans="1:8" ht="14">
      <c r="A114" s="25" t="s">
        <v>438</v>
      </c>
      <c r="B114" s="26" t="s">
        <v>38</v>
      </c>
      <c r="C114" s="25" t="str">
        <f t="shared" si="1"/>
        <v>caki1</v>
      </c>
      <c r="D114" s="25" t="s">
        <v>438</v>
      </c>
      <c r="E114" s="25" t="s">
        <v>439</v>
      </c>
      <c r="F114" s="25" t="s">
        <v>422</v>
      </c>
      <c r="G114" s="25">
        <v>500</v>
      </c>
      <c r="H114" s="25"/>
    </row>
    <row r="115" spans="1:8" ht="14">
      <c r="A115" s="25" t="s">
        <v>440</v>
      </c>
      <c r="B115" s="26" t="s">
        <v>38</v>
      </c>
      <c r="C115" s="25" t="str">
        <f t="shared" si="1"/>
        <v>cho</v>
      </c>
      <c r="D115" s="25" t="s">
        <v>440</v>
      </c>
      <c r="E115" s="25" t="s">
        <v>441</v>
      </c>
      <c r="F115" s="25" t="s">
        <v>442</v>
      </c>
      <c r="G115" s="25">
        <v>500</v>
      </c>
      <c r="H115" s="25"/>
    </row>
    <row r="116" spans="1:8" ht="14">
      <c r="A116" s="25" t="s">
        <v>443</v>
      </c>
      <c r="B116" s="26" t="s">
        <v>38</v>
      </c>
      <c r="C116" s="25" t="str">
        <f t="shared" si="1"/>
        <v>colo205</v>
      </c>
      <c r="D116" s="25" t="s">
        <v>443</v>
      </c>
      <c r="E116" s="25" t="s">
        <v>444</v>
      </c>
      <c r="F116" s="25" t="s">
        <v>445</v>
      </c>
      <c r="G116" s="25">
        <v>500</v>
      </c>
      <c r="H116" s="25"/>
    </row>
    <row r="117" spans="1:8" ht="14">
      <c r="A117" s="25" t="s">
        <v>446</v>
      </c>
      <c r="B117" s="26" t="s">
        <v>38</v>
      </c>
      <c r="C117" s="25" t="str">
        <f t="shared" si="1"/>
        <v>crfcem</v>
      </c>
      <c r="D117" s="25" t="s">
        <v>446</v>
      </c>
      <c r="E117" s="25" t="s">
        <v>447</v>
      </c>
      <c r="F117" s="25" t="s">
        <v>448</v>
      </c>
      <c r="G117" s="25">
        <v>500</v>
      </c>
      <c r="H117" s="25"/>
    </row>
    <row r="118" spans="1:8" ht="14">
      <c r="A118" s="25" t="s">
        <v>449</v>
      </c>
      <c r="B118" s="26" t="s">
        <v>38</v>
      </c>
      <c r="C118" s="25" t="str">
        <f t="shared" si="1"/>
        <v>du145</v>
      </c>
      <c r="D118" s="25" t="s">
        <v>449</v>
      </c>
      <c r="E118" s="25" t="s">
        <v>450</v>
      </c>
      <c r="F118" s="25" t="s">
        <v>451</v>
      </c>
      <c r="G118" s="25">
        <v>500</v>
      </c>
      <c r="H118" s="25"/>
    </row>
    <row r="119" spans="1:8" ht="14">
      <c r="A119" s="25" t="s">
        <v>452</v>
      </c>
      <c r="B119" s="26" t="s">
        <v>38</v>
      </c>
      <c r="C119" s="25" t="str">
        <f t="shared" si="1"/>
        <v>ekvx</v>
      </c>
      <c r="D119" s="25" t="s">
        <v>452</v>
      </c>
      <c r="E119" s="25" t="s">
        <v>453</v>
      </c>
      <c r="F119" s="25" t="s">
        <v>427</v>
      </c>
      <c r="G119" s="25">
        <v>500</v>
      </c>
      <c r="H119" s="25"/>
    </row>
    <row r="120" spans="1:8" ht="14">
      <c r="A120" s="25" t="s">
        <v>454</v>
      </c>
      <c r="B120" s="26" t="s">
        <v>38</v>
      </c>
      <c r="C120" s="25" t="str">
        <f t="shared" si="1"/>
        <v>hcc2998</v>
      </c>
      <c r="D120" s="25" t="s">
        <v>454</v>
      </c>
      <c r="E120" s="25" t="s">
        <v>455</v>
      </c>
      <c r="F120" s="25" t="s">
        <v>445</v>
      </c>
      <c r="G120" s="25">
        <v>500</v>
      </c>
      <c r="H120" s="25"/>
    </row>
    <row r="121" spans="1:8" ht="14">
      <c r="A121" s="25" t="s">
        <v>456</v>
      </c>
      <c r="B121" s="26" t="s">
        <v>38</v>
      </c>
      <c r="C121" s="25" t="str">
        <f t="shared" si="1"/>
        <v>hct116</v>
      </c>
      <c r="D121" s="25" t="s">
        <v>456</v>
      </c>
      <c r="E121" s="25" t="s">
        <v>457</v>
      </c>
      <c r="F121" s="25" t="s">
        <v>445</v>
      </c>
      <c r="G121" s="25">
        <v>500</v>
      </c>
      <c r="H121" s="25"/>
    </row>
    <row r="122" spans="1:8" ht="14">
      <c r="A122" s="25" t="s">
        <v>458</v>
      </c>
      <c r="B122" s="26" t="s">
        <v>38</v>
      </c>
      <c r="C122" s="25" t="str">
        <f t="shared" si="1"/>
        <v>hct15</v>
      </c>
      <c r="D122" s="25" t="s">
        <v>458</v>
      </c>
      <c r="E122" s="25" t="s">
        <v>459</v>
      </c>
      <c r="F122" s="25" t="s">
        <v>445</v>
      </c>
      <c r="G122" s="25">
        <v>500</v>
      </c>
      <c r="H122" s="25"/>
    </row>
    <row r="123" spans="1:8" ht="14">
      <c r="A123" s="25" t="s">
        <v>460</v>
      </c>
      <c r="B123" s="26" t="s">
        <v>38</v>
      </c>
      <c r="C123" s="25" t="str">
        <f t="shared" si="1"/>
        <v>hek293</v>
      </c>
      <c r="D123" s="25" t="s">
        <v>460</v>
      </c>
      <c r="E123" s="25" t="s">
        <v>461</v>
      </c>
      <c r="F123" s="25" t="s">
        <v>462</v>
      </c>
      <c r="G123" s="25">
        <v>500</v>
      </c>
      <c r="H123" s="25"/>
    </row>
    <row r="124" spans="1:8" ht="14">
      <c r="A124" s="25" t="s">
        <v>463</v>
      </c>
      <c r="B124" s="26" t="s">
        <v>38</v>
      </c>
      <c r="C124" s="25" t="str">
        <f t="shared" si="1"/>
        <v>hek293t</v>
      </c>
      <c r="D124" s="25" t="s">
        <v>463</v>
      </c>
      <c r="E124" s="25" t="s">
        <v>464</v>
      </c>
      <c r="F124" s="25" t="s">
        <v>465</v>
      </c>
      <c r="G124" s="25">
        <v>500</v>
      </c>
      <c r="H124" s="25"/>
    </row>
    <row r="125" spans="1:8" ht="14">
      <c r="A125" s="25" t="s">
        <v>466</v>
      </c>
      <c r="B125" s="26" t="s">
        <v>38</v>
      </c>
      <c r="C125" s="25" t="str">
        <f t="shared" si="1"/>
        <v>hela</v>
      </c>
      <c r="D125" s="25" t="s">
        <v>466</v>
      </c>
      <c r="E125" s="25" t="s">
        <v>467</v>
      </c>
      <c r="F125" s="25" t="s">
        <v>468</v>
      </c>
      <c r="G125" s="25">
        <v>500</v>
      </c>
      <c r="H125" s="25"/>
    </row>
    <row r="126" spans="1:8" ht="14">
      <c r="A126" s="25" t="s">
        <v>3123</v>
      </c>
      <c r="B126" s="26" t="s">
        <v>38</v>
      </c>
      <c r="C126" s="25" t="str">
        <f t="shared" si="1"/>
        <v>trexflip</v>
      </c>
      <c r="D126" s="25" t="s">
        <v>3124</v>
      </c>
      <c r="E126" s="25" t="s">
        <v>3125</v>
      </c>
      <c r="F126" s="25" t="s">
        <v>3126</v>
      </c>
      <c r="G126" s="25">
        <v>500</v>
      </c>
      <c r="H126" s="25"/>
    </row>
    <row r="127" spans="1:8" ht="14">
      <c r="A127" s="25" t="s">
        <v>469</v>
      </c>
      <c r="B127" s="26" t="s">
        <v>38</v>
      </c>
      <c r="C127" s="25" t="str">
        <f t="shared" si="1"/>
        <v>hl60</v>
      </c>
      <c r="D127" s="25" t="s">
        <v>469</v>
      </c>
      <c r="E127" s="25" t="s">
        <v>470</v>
      </c>
      <c r="F127" s="25" t="s">
        <v>448</v>
      </c>
      <c r="G127" s="25">
        <v>500</v>
      </c>
      <c r="H127" s="25"/>
    </row>
    <row r="128" spans="1:8" ht="14">
      <c r="A128" s="25" t="s">
        <v>471</v>
      </c>
      <c r="B128" s="26" t="s">
        <v>38</v>
      </c>
      <c r="C128" s="25" t="str">
        <f t="shared" si="1"/>
        <v>hop62</v>
      </c>
      <c r="D128" s="25" t="s">
        <v>471</v>
      </c>
      <c r="E128" s="25" t="s">
        <v>472</v>
      </c>
      <c r="F128" s="25" t="s">
        <v>427</v>
      </c>
      <c r="G128" s="25">
        <v>500</v>
      </c>
      <c r="H128" s="25"/>
    </row>
    <row r="129" spans="1:8" ht="14">
      <c r="A129" s="25" t="s">
        <v>473</v>
      </c>
      <c r="B129" s="26" t="s">
        <v>38</v>
      </c>
      <c r="C129" s="25" t="str">
        <f t="shared" si="1"/>
        <v>hop92</v>
      </c>
      <c r="D129" s="25" t="s">
        <v>473</v>
      </c>
      <c r="E129" s="25" t="s">
        <v>474</v>
      </c>
      <c r="F129" s="25" t="s">
        <v>427</v>
      </c>
      <c r="G129" s="25">
        <v>500</v>
      </c>
      <c r="H129" s="25"/>
    </row>
    <row r="130" spans="1:8" ht="14">
      <c r="A130" s="25" t="s">
        <v>475</v>
      </c>
      <c r="B130" s="26" t="s">
        <v>38</v>
      </c>
      <c r="C130" s="25" t="str">
        <f t="shared" si="1"/>
        <v>hs578t</v>
      </c>
      <c r="D130" s="25" t="s">
        <v>475</v>
      </c>
      <c r="E130" s="25" t="s">
        <v>476</v>
      </c>
      <c r="F130" s="25" t="s">
        <v>437</v>
      </c>
      <c r="G130" s="25">
        <v>500</v>
      </c>
      <c r="H130" s="25"/>
    </row>
    <row r="131" spans="1:8" ht="14">
      <c r="A131" s="25" t="s">
        <v>477</v>
      </c>
      <c r="B131" s="26" t="s">
        <v>38</v>
      </c>
      <c r="C131" s="25" t="str">
        <f t="shared" si="1"/>
        <v>ht29</v>
      </c>
      <c r="D131" s="25" t="s">
        <v>477</v>
      </c>
      <c r="E131" s="25" t="s">
        <v>478</v>
      </c>
      <c r="F131" s="25" t="s">
        <v>445</v>
      </c>
      <c r="G131" s="25">
        <v>500</v>
      </c>
      <c r="H131" s="25"/>
    </row>
    <row r="132" spans="1:8" ht="14">
      <c r="A132" s="25" t="s">
        <v>479</v>
      </c>
      <c r="B132" s="26" t="s">
        <v>38</v>
      </c>
      <c r="C132" s="25" t="str">
        <f t="shared" ref="C132:C188" si="2">A132</f>
        <v>igrov1</v>
      </c>
      <c r="D132" s="25" t="s">
        <v>479</v>
      </c>
      <c r="E132" s="25" t="s">
        <v>480</v>
      </c>
      <c r="F132" s="25" t="s">
        <v>481</v>
      </c>
      <c r="G132" s="25">
        <v>500</v>
      </c>
      <c r="H132" s="25"/>
    </row>
    <row r="133" spans="1:8" ht="14">
      <c r="A133" s="25" t="s">
        <v>482</v>
      </c>
      <c r="B133" s="26" t="s">
        <v>38</v>
      </c>
      <c r="C133" s="25" t="str">
        <f t="shared" si="2"/>
        <v>immmef</v>
      </c>
      <c r="D133" s="25" t="s">
        <v>482</v>
      </c>
      <c r="E133" s="25" t="s">
        <v>483</v>
      </c>
      <c r="F133" s="25" t="s">
        <v>484</v>
      </c>
      <c r="G133" s="25">
        <v>500</v>
      </c>
      <c r="H133" s="25"/>
    </row>
    <row r="134" spans="1:8" ht="14">
      <c r="A134" s="25" t="s">
        <v>485</v>
      </c>
      <c r="B134" s="26" t="s">
        <v>38</v>
      </c>
      <c r="C134" s="25" t="str">
        <f t="shared" si="2"/>
        <v>jeko1</v>
      </c>
      <c r="D134" s="25" t="s">
        <v>485</v>
      </c>
      <c r="E134" s="25" t="s">
        <v>486</v>
      </c>
      <c r="F134" s="25" t="s">
        <v>487</v>
      </c>
      <c r="G134" s="25">
        <v>500</v>
      </c>
      <c r="H134" s="25"/>
    </row>
    <row r="135" spans="1:8" ht="14">
      <c r="A135" s="25" t="s">
        <v>488</v>
      </c>
      <c r="B135" s="26" t="s">
        <v>38</v>
      </c>
      <c r="C135" s="25" t="str">
        <f t="shared" si="2"/>
        <v>jurkat</v>
      </c>
      <c r="D135" s="25" t="s">
        <v>488</v>
      </c>
      <c r="E135" s="25" t="s">
        <v>489</v>
      </c>
      <c r="F135" s="25" t="s">
        <v>490</v>
      </c>
      <c r="G135" s="25">
        <v>500</v>
      </c>
      <c r="H135" s="25"/>
    </row>
    <row r="136" spans="1:8" ht="14">
      <c r="A136" s="25" t="s">
        <v>491</v>
      </c>
      <c r="B136" s="26" t="s">
        <v>38</v>
      </c>
      <c r="C136" s="25" t="str">
        <f t="shared" si="2"/>
        <v>jvm13</v>
      </c>
      <c r="D136" s="25" t="s">
        <v>491</v>
      </c>
      <c r="E136" s="25" t="s">
        <v>492</v>
      </c>
      <c r="F136" s="25" t="s">
        <v>487</v>
      </c>
      <c r="G136" s="25">
        <v>500</v>
      </c>
      <c r="H136" s="25"/>
    </row>
    <row r="137" spans="1:8" ht="14">
      <c r="A137" s="25" t="s">
        <v>493</v>
      </c>
      <c r="B137" s="26" t="s">
        <v>38</v>
      </c>
      <c r="C137" s="25" t="str">
        <f t="shared" si="2"/>
        <v>jvm2</v>
      </c>
      <c r="D137" s="25" t="s">
        <v>493</v>
      </c>
      <c r="E137" s="25" t="s">
        <v>494</v>
      </c>
      <c r="F137" s="25" t="s">
        <v>487</v>
      </c>
      <c r="G137" s="25">
        <v>500</v>
      </c>
      <c r="H137" s="25"/>
    </row>
    <row r="138" spans="1:8" ht="14">
      <c r="A138" s="25" t="s">
        <v>495</v>
      </c>
      <c r="B138" s="26" t="s">
        <v>38</v>
      </c>
      <c r="C138" s="25" t="str">
        <f t="shared" si="2"/>
        <v>k562</v>
      </c>
      <c r="D138" s="25" t="s">
        <v>495</v>
      </c>
      <c r="E138" s="25" t="s">
        <v>496</v>
      </c>
      <c r="F138" s="25" t="s">
        <v>448</v>
      </c>
      <c r="G138" s="25">
        <v>500</v>
      </c>
      <c r="H138" s="25"/>
    </row>
    <row r="139" spans="1:8" ht="14">
      <c r="A139" s="25" t="s">
        <v>497</v>
      </c>
      <c r="B139" s="26" t="s">
        <v>38</v>
      </c>
      <c r="C139" s="25" t="str">
        <f t="shared" si="2"/>
        <v>km12</v>
      </c>
      <c r="D139" s="25" t="s">
        <v>497</v>
      </c>
      <c r="E139" s="25" t="s">
        <v>498</v>
      </c>
      <c r="F139" s="25" t="s">
        <v>445</v>
      </c>
      <c r="G139" s="25">
        <v>500</v>
      </c>
      <c r="H139" s="25"/>
    </row>
    <row r="140" spans="1:8" ht="14">
      <c r="A140" s="25" t="s">
        <v>499</v>
      </c>
      <c r="B140" s="26" t="s">
        <v>38</v>
      </c>
      <c r="C140" s="25" t="str">
        <f t="shared" si="2"/>
        <v>lox_imvi</v>
      </c>
      <c r="D140" s="25" t="s">
        <v>499</v>
      </c>
      <c r="E140" s="25" t="s">
        <v>500</v>
      </c>
      <c r="F140" s="25" t="s">
        <v>501</v>
      </c>
      <c r="G140" s="25">
        <v>500</v>
      </c>
      <c r="H140" s="25"/>
    </row>
    <row r="141" spans="1:8" ht="14">
      <c r="A141" s="25" t="s">
        <v>502</v>
      </c>
      <c r="B141" s="26" t="s">
        <v>38</v>
      </c>
      <c r="C141" s="25" t="str">
        <f t="shared" si="2"/>
        <v>m14</v>
      </c>
      <c r="D141" s="25" t="s">
        <v>502</v>
      </c>
      <c r="E141" s="25" t="s">
        <v>503</v>
      </c>
      <c r="F141" s="25" t="s">
        <v>501</v>
      </c>
      <c r="G141" s="25">
        <v>500</v>
      </c>
      <c r="H141" s="25"/>
    </row>
    <row r="142" spans="1:8" ht="14">
      <c r="A142" s="25" t="s">
        <v>504</v>
      </c>
      <c r="B142" s="26" t="s">
        <v>38</v>
      </c>
      <c r="C142" s="25" t="str">
        <f t="shared" si="2"/>
        <v>malme3m</v>
      </c>
      <c r="D142" s="25" t="s">
        <v>504</v>
      </c>
      <c r="E142" s="25" t="s">
        <v>505</v>
      </c>
      <c r="F142" s="25" t="s">
        <v>501</v>
      </c>
      <c r="G142" s="25">
        <v>500</v>
      </c>
      <c r="H142" s="25"/>
    </row>
    <row r="143" spans="1:8" ht="14">
      <c r="A143" s="25" t="s">
        <v>506</v>
      </c>
      <c r="B143" s="26" t="s">
        <v>38</v>
      </c>
      <c r="C143" s="25" t="str">
        <f t="shared" si="2"/>
        <v>maver1</v>
      </c>
      <c r="D143" s="25" t="s">
        <v>506</v>
      </c>
      <c r="E143" s="25" t="s">
        <v>507</v>
      </c>
      <c r="F143" s="25" t="s">
        <v>487</v>
      </c>
      <c r="G143" s="25">
        <v>500</v>
      </c>
      <c r="H143" s="25"/>
    </row>
    <row r="144" spans="1:8" ht="14">
      <c r="A144" s="25" t="s">
        <v>508</v>
      </c>
      <c r="B144" s="26" t="s">
        <v>38</v>
      </c>
      <c r="C144" s="25" t="str">
        <f t="shared" si="2"/>
        <v>mcf7</v>
      </c>
      <c r="D144" s="25" t="s">
        <v>508</v>
      </c>
      <c r="E144" s="25" t="s">
        <v>509</v>
      </c>
      <c r="F144" s="25" t="s">
        <v>437</v>
      </c>
      <c r="G144" s="25">
        <v>500</v>
      </c>
      <c r="H144" s="25"/>
    </row>
    <row r="145" spans="1:8" ht="14">
      <c r="A145" s="25" t="s">
        <v>510</v>
      </c>
      <c r="B145" s="26" t="s">
        <v>38</v>
      </c>
      <c r="C145" s="25" t="str">
        <f t="shared" si="2"/>
        <v>mdamb231</v>
      </c>
      <c r="D145" s="25" t="s">
        <v>510</v>
      </c>
      <c r="E145" s="25" t="s">
        <v>511</v>
      </c>
      <c r="F145" s="25" t="s">
        <v>437</v>
      </c>
      <c r="G145" s="25">
        <v>500</v>
      </c>
      <c r="H145" s="25"/>
    </row>
    <row r="146" spans="1:8" ht="14">
      <c r="A146" s="25" t="s">
        <v>512</v>
      </c>
      <c r="B146" s="26" t="s">
        <v>38</v>
      </c>
      <c r="C146" s="25" t="str">
        <f t="shared" si="2"/>
        <v>mdamb435</v>
      </c>
      <c r="D146" s="25" t="s">
        <v>512</v>
      </c>
      <c r="E146" s="25" t="s">
        <v>513</v>
      </c>
      <c r="F146" s="25" t="s">
        <v>501</v>
      </c>
      <c r="G146" s="25">
        <v>500</v>
      </c>
      <c r="H146" s="25"/>
    </row>
    <row r="147" spans="1:8" ht="14">
      <c r="A147" s="25" t="s">
        <v>514</v>
      </c>
      <c r="B147" s="26" t="s">
        <v>38</v>
      </c>
      <c r="C147" s="25" t="str">
        <f t="shared" si="2"/>
        <v>mdamb468</v>
      </c>
      <c r="D147" s="25" t="s">
        <v>514</v>
      </c>
      <c r="E147" s="25" t="s">
        <v>515</v>
      </c>
      <c r="F147" s="25" t="s">
        <v>437</v>
      </c>
      <c r="G147" s="25">
        <v>500</v>
      </c>
      <c r="H147" s="25"/>
    </row>
    <row r="148" spans="1:8" ht="14">
      <c r="A148" s="25" t="s">
        <v>516</v>
      </c>
      <c r="B148" s="26" t="s">
        <v>38</v>
      </c>
      <c r="C148" s="25" t="str">
        <f t="shared" si="2"/>
        <v>mef</v>
      </c>
      <c r="D148" s="25" t="s">
        <v>516</v>
      </c>
      <c r="E148" s="25" t="s">
        <v>517</v>
      </c>
      <c r="F148" s="25" t="s">
        <v>518</v>
      </c>
      <c r="G148" s="25">
        <v>500</v>
      </c>
      <c r="H148" s="25"/>
    </row>
    <row r="149" spans="1:8" ht="14">
      <c r="A149" s="25" t="s">
        <v>519</v>
      </c>
      <c r="B149" s="26" t="s">
        <v>38</v>
      </c>
      <c r="C149" s="25" t="str">
        <f t="shared" si="2"/>
        <v>mino</v>
      </c>
      <c r="D149" s="25" t="s">
        <v>519</v>
      </c>
      <c r="E149" s="25" t="s">
        <v>520</v>
      </c>
      <c r="F149" s="25" t="s">
        <v>487</v>
      </c>
      <c r="G149" s="25">
        <v>500</v>
      </c>
      <c r="H149" s="25"/>
    </row>
    <row r="150" spans="1:8" ht="14">
      <c r="A150" s="25" t="s">
        <v>521</v>
      </c>
      <c r="B150" s="26" t="s">
        <v>38</v>
      </c>
      <c r="C150" s="25" t="str">
        <f t="shared" si="2"/>
        <v>molt4</v>
      </c>
      <c r="D150" s="25" t="s">
        <v>521</v>
      </c>
      <c r="E150" s="25" t="s">
        <v>522</v>
      </c>
      <c r="F150" s="25" t="s">
        <v>448</v>
      </c>
      <c r="G150" s="25">
        <v>500</v>
      </c>
      <c r="H150" s="25"/>
    </row>
    <row r="151" spans="1:8" ht="14">
      <c r="A151" s="25" t="s">
        <v>523</v>
      </c>
      <c r="B151" s="26" t="s">
        <v>38</v>
      </c>
      <c r="C151" s="25" t="str">
        <f t="shared" si="2"/>
        <v>nceb1</v>
      </c>
      <c r="D151" s="25" t="s">
        <v>523</v>
      </c>
      <c r="E151" s="25" t="s">
        <v>524</v>
      </c>
      <c r="F151" s="25" t="s">
        <v>487</v>
      </c>
      <c r="G151" s="25">
        <v>500</v>
      </c>
      <c r="H151" s="25"/>
    </row>
    <row r="152" spans="1:8" ht="14">
      <c r="A152" s="25" t="s">
        <v>525</v>
      </c>
      <c r="B152" s="26" t="s">
        <v>38</v>
      </c>
      <c r="C152" s="25" t="str">
        <f t="shared" si="2"/>
        <v>nci_adrres</v>
      </c>
      <c r="D152" s="25" t="s">
        <v>526</v>
      </c>
      <c r="E152" s="25" t="s">
        <v>527</v>
      </c>
      <c r="F152" s="25" t="s">
        <v>481</v>
      </c>
      <c r="G152" s="25">
        <v>500</v>
      </c>
      <c r="H152" s="25"/>
    </row>
    <row r="153" spans="1:8" ht="14">
      <c r="A153" s="25" t="s">
        <v>528</v>
      </c>
      <c r="B153" s="26" t="s">
        <v>38</v>
      </c>
      <c r="C153" s="25" t="str">
        <f t="shared" si="2"/>
        <v>nci_h226</v>
      </c>
      <c r="D153" s="25" t="s">
        <v>529</v>
      </c>
      <c r="E153" s="25" t="s">
        <v>530</v>
      </c>
      <c r="F153" s="25" t="s">
        <v>427</v>
      </c>
      <c r="G153" s="25">
        <v>500</v>
      </c>
      <c r="H153" s="25"/>
    </row>
    <row r="154" spans="1:8" ht="14">
      <c r="A154" s="25" t="s">
        <v>531</v>
      </c>
      <c r="B154" s="26" t="s">
        <v>38</v>
      </c>
      <c r="C154" s="25" t="str">
        <f t="shared" si="2"/>
        <v>nci_h23</v>
      </c>
      <c r="D154" s="25" t="s">
        <v>532</v>
      </c>
      <c r="E154" s="25" t="s">
        <v>533</v>
      </c>
      <c r="F154" s="25" t="s">
        <v>427</v>
      </c>
      <c r="G154" s="25">
        <v>500</v>
      </c>
      <c r="H154" s="25"/>
    </row>
    <row r="155" spans="1:8" ht="14">
      <c r="A155" s="25" t="s">
        <v>534</v>
      </c>
      <c r="B155" s="26" t="s">
        <v>38</v>
      </c>
      <c r="C155" s="25" t="str">
        <f t="shared" si="2"/>
        <v>nci_h322m</v>
      </c>
      <c r="D155" s="25" t="s">
        <v>535</v>
      </c>
      <c r="E155" s="25" t="s">
        <v>536</v>
      </c>
      <c r="F155" s="25" t="s">
        <v>427</v>
      </c>
      <c r="G155" s="25">
        <v>500</v>
      </c>
      <c r="H155" s="25"/>
    </row>
    <row r="156" spans="1:8" ht="14">
      <c r="A156" s="25" t="s">
        <v>537</v>
      </c>
      <c r="B156" s="26" t="s">
        <v>38</v>
      </c>
      <c r="C156" s="25" t="str">
        <f t="shared" si="2"/>
        <v>nci_h460</v>
      </c>
      <c r="D156" s="25" t="s">
        <v>538</v>
      </c>
      <c r="E156" s="25" t="s">
        <v>539</v>
      </c>
      <c r="F156" s="25" t="s">
        <v>427</v>
      </c>
      <c r="G156" s="25">
        <v>500</v>
      </c>
      <c r="H156" s="25"/>
    </row>
    <row r="157" spans="1:8" ht="14">
      <c r="A157" s="25" t="s">
        <v>540</v>
      </c>
      <c r="B157" s="26" t="s">
        <v>38</v>
      </c>
      <c r="C157" s="25" t="str">
        <f t="shared" si="2"/>
        <v>nci_h522</v>
      </c>
      <c r="D157" s="25" t="s">
        <v>541</v>
      </c>
      <c r="E157" s="25" t="s">
        <v>542</v>
      </c>
      <c r="F157" s="25" t="s">
        <v>427</v>
      </c>
      <c r="G157" s="25">
        <v>500</v>
      </c>
      <c r="H157" s="25"/>
    </row>
    <row r="158" spans="1:8" ht="14">
      <c r="A158" s="25" t="s">
        <v>543</v>
      </c>
      <c r="B158" s="26" t="s">
        <v>38</v>
      </c>
      <c r="C158" s="25" t="str">
        <f t="shared" si="2"/>
        <v>ovcar3</v>
      </c>
      <c r="D158" s="25" t="s">
        <v>543</v>
      </c>
      <c r="E158" s="25" t="s">
        <v>544</v>
      </c>
      <c r="F158" s="25" t="s">
        <v>481</v>
      </c>
      <c r="G158" s="25">
        <v>500</v>
      </c>
      <c r="H158" s="25"/>
    </row>
    <row r="159" spans="1:8" ht="14">
      <c r="A159" s="25" t="s">
        <v>545</v>
      </c>
      <c r="B159" s="26" t="s">
        <v>38</v>
      </c>
      <c r="C159" s="25" t="str">
        <f t="shared" si="2"/>
        <v>ovcar4</v>
      </c>
      <c r="D159" s="25" t="s">
        <v>545</v>
      </c>
      <c r="E159" s="25" t="s">
        <v>546</v>
      </c>
      <c r="F159" s="25" t="s">
        <v>481</v>
      </c>
      <c r="G159" s="25">
        <v>500</v>
      </c>
      <c r="H159" s="25"/>
    </row>
    <row r="160" spans="1:8" ht="14">
      <c r="A160" s="25" t="s">
        <v>547</v>
      </c>
      <c r="B160" s="26" t="s">
        <v>38</v>
      </c>
      <c r="C160" s="25" t="str">
        <f t="shared" si="2"/>
        <v>ovcar5</v>
      </c>
      <c r="D160" s="25" t="s">
        <v>547</v>
      </c>
      <c r="E160" s="25" t="s">
        <v>548</v>
      </c>
      <c r="F160" s="25" t="s">
        <v>481</v>
      </c>
      <c r="G160" s="25">
        <v>500</v>
      </c>
      <c r="H160" s="25"/>
    </row>
    <row r="161" spans="1:8" ht="14">
      <c r="A161" s="25" t="s">
        <v>549</v>
      </c>
      <c r="B161" s="26" t="s">
        <v>38</v>
      </c>
      <c r="C161" s="25" t="str">
        <f t="shared" si="2"/>
        <v>ovcar8</v>
      </c>
      <c r="D161" s="25" t="s">
        <v>549</v>
      </c>
      <c r="E161" s="25" t="s">
        <v>550</v>
      </c>
      <c r="F161" s="25" t="s">
        <v>481</v>
      </c>
      <c r="G161" s="25">
        <v>500</v>
      </c>
      <c r="H161" s="25"/>
    </row>
    <row r="162" spans="1:8" ht="14">
      <c r="A162" s="25" t="s">
        <v>551</v>
      </c>
      <c r="B162" s="26" t="s">
        <v>38</v>
      </c>
      <c r="C162" s="25" t="str">
        <f t="shared" si="2"/>
        <v>p388</v>
      </c>
      <c r="D162" s="25" t="s">
        <v>551</v>
      </c>
      <c r="E162" s="25" t="s">
        <v>552</v>
      </c>
      <c r="F162" s="25" t="s">
        <v>553</v>
      </c>
      <c r="G162" s="25">
        <v>500</v>
      </c>
      <c r="H162" s="25"/>
    </row>
    <row r="163" spans="1:8" ht="14">
      <c r="A163" s="25" t="s">
        <v>554</v>
      </c>
      <c r="B163" s="26" t="s">
        <v>38</v>
      </c>
      <c r="C163" s="25" t="str">
        <f t="shared" si="2"/>
        <v>pc3</v>
      </c>
      <c r="D163" s="25" t="s">
        <v>554</v>
      </c>
      <c r="E163" s="25" t="s">
        <v>555</v>
      </c>
      <c r="F163" s="25" t="s">
        <v>451</v>
      </c>
      <c r="G163" s="25">
        <v>500</v>
      </c>
      <c r="H163" s="25"/>
    </row>
    <row r="164" spans="1:8" ht="14">
      <c r="A164" s="25" t="s">
        <v>556</v>
      </c>
      <c r="B164" s="26" t="s">
        <v>38</v>
      </c>
      <c r="C164" s="25" t="str">
        <f t="shared" si="2"/>
        <v>rec1</v>
      </c>
      <c r="D164" s="25" t="s">
        <v>556</v>
      </c>
      <c r="E164" s="25" t="s">
        <v>557</v>
      </c>
      <c r="F164" s="25" t="s">
        <v>487</v>
      </c>
      <c r="G164" s="25">
        <v>500</v>
      </c>
      <c r="H164" s="25"/>
    </row>
    <row r="165" spans="1:8" ht="14">
      <c r="A165" s="25" t="s">
        <v>558</v>
      </c>
      <c r="B165" s="26" t="s">
        <v>38</v>
      </c>
      <c r="C165" s="25" t="str">
        <f t="shared" si="2"/>
        <v>rpmi8226</v>
      </c>
      <c r="D165" s="25" t="s">
        <v>558</v>
      </c>
      <c r="E165" s="25" t="s">
        <v>559</v>
      </c>
      <c r="F165" s="25" t="s">
        <v>448</v>
      </c>
      <c r="G165" s="25">
        <v>500</v>
      </c>
      <c r="H165" s="25"/>
    </row>
    <row r="166" spans="1:8" ht="14">
      <c r="A166" s="25" t="s">
        <v>560</v>
      </c>
      <c r="B166" s="26" t="s">
        <v>38</v>
      </c>
      <c r="C166" s="25" t="str">
        <f t="shared" si="2"/>
        <v>rxf393</v>
      </c>
      <c r="D166" s="25" t="s">
        <v>560</v>
      </c>
      <c r="E166" s="25" t="s">
        <v>561</v>
      </c>
      <c r="F166" s="25" t="s">
        <v>422</v>
      </c>
      <c r="G166" s="25">
        <v>500</v>
      </c>
      <c r="H166" s="25"/>
    </row>
    <row r="167" spans="1:8" ht="14">
      <c r="A167" s="25" t="s">
        <v>562</v>
      </c>
      <c r="B167" s="26" t="s">
        <v>38</v>
      </c>
      <c r="C167" s="25" t="str">
        <f t="shared" si="2"/>
        <v>sf268</v>
      </c>
      <c r="D167" s="25" t="s">
        <v>562</v>
      </c>
      <c r="E167" s="25" t="s">
        <v>563</v>
      </c>
      <c r="F167" s="25" t="s">
        <v>564</v>
      </c>
      <c r="G167" s="25">
        <v>500</v>
      </c>
      <c r="H167" s="25"/>
    </row>
    <row r="168" spans="1:8" ht="14">
      <c r="A168" s="25" t="s">
        <v>565</v>
      </c>
      <c r="B168" s="26" t="s">
        <v>38</v>
      </c>
      <c r="C168" s="25" t="str">
        <f t="shared" si="2"/>
        <v>sf295</v>
      </c>
      <c r="D168" s="25" t="s">
        <v>565</v>
      </c>
      <c r="E168" s="25" t="s">
        <v>566</v>
      </c>
      <c r="F168" s="25" t="s">
        <v>564</v>
      </c>
      <c r="G168" s="25">
        <v>500</v>
      </c>
      <c r="H168" s="25"/>
    </row>
    <row r="169" spans="1:8" ht="14">
      <c r="A169" s="25" t="s">
        <v>567</v>
      </c>
      <c r="B169" s="26" t="s">
        <v>38</v>
      </c>
      <c r="C169" s="25" t="str">
        <f t="shared" si="2"/>
        <v>sf539</v>
      </c>
      <c r="D169" s="25" t="s">
        <v>567</v>
      </c>
      <c r="E169" s="25" t="s">
        <v>568</v>
      </c>
      <c r="F169" s="25" t="s">
        <v>564</v>
      </c>
      <c r="G169" s="25">
        <v>500</v>
      </c>
      <c r="H169" s="25"/>
    </row>
    <row r="170" spans="1:8" ht="14">
      <c r="A170" s="25" t="s">
        <v>569</v>
      </c>
      <c r="B170" s="26" t="s">
        <v>38</v>
      </c>
      <c r="C170" s="25" t="str">
        <f t="shared" si="2"/>
        <v>skmel2</v>
      </c>
      <c r="D170" s="25" t="s">
        <v>569</v>
      </c>
      <c r="E170" s="25" t="s">
        <v>570</v>
      </c>
      <c r="F170" s="25" t="s">
        <v>501</v>
      </c>
      <c r="G170" s="25">
        <v>500</v>
      </c>
      <c r="H170" s="25"/>
    </row>
    <row r="171" spans="1:8" ht="14">
      <c r="A171" s="25" t="s">
        <v>571</v>
      </c>
      <c r="B171" s="26" t="s">
        <v>38</v>
      </c>
      <c r="C171" s="25" t="str">
        <f t="shared" si="2"/>
        <v>skmel28</v>
      </c>
      <c r="D171" s="25" t="s">
        <v>571</v>
      </c>
      <c r="E171" s="25" t="s">
        <v>572</v>
      </c>
      <c r="F171" s="25" t="s">
        <v>501</v>
      </c>
      <c r="G171" s="25">
        <v>500</v>
      </c>
      <c r="H171" s="25"/>
    </row>
    <row r="172" spans="1:8" ht="14">
      <c r="A172" s="25" t="s">
        <v>573</v>
      </c>
      <c r="B172" s="26" t="s">
        <v>38</v>
      </c>
      <c r="C172" s="25" t="str">
        <f t="shared" si="2"/>
        <v>skmel5</v>
      </c>
      <c r="D172" s="25" t="s">
        <v>573</v>
      </c>
      <c r="E172" s="25" t="s">
        <v>574</v>
      </c>
      <c r="F172" s="25" t="s">
        <v>501</v>
      </c>
      <c r="G172" s="25">
        <v>500</v>
      </c>
      <c r="H172" s="25"/>
    </row>
    <row r="173" spans="1:8" ht="14">
      <c r="A173" s="25" t="s">
        <v>575</v>
      </c>
      <c r="B173" s="26" t="s">
        <v>38</v>
      </c>
      <c r="C173" s="25" t="str">
        <f t="shared" si="2"/>
        <v>skov3</v>
      </c>
      <c r="D173" s="25" t="s">
        <v>575</v>
      </c>
      <c r="E173" s="25" t="s">
        <v>576</v>
      </c>
      <c r="F173" s="25" t="s">
        <v>481</v>
      </c>
      <c r="G173" s="25">
        <v>500</v>
      </c>
      <c r="H173" s="25"/>
    </row>
    <row r="174" spans="1:8" ht="14">
      <c r="A174" s="25" t="s">
        <v>577</v>
      </c>
      <c r="B174" s="26" t="s">
        <v>38</v>
      </c>
      <c r="C174" s="25" t="str">
        <f t="shared" si="2"/>
        <v>sn12c</v>
      </c>
      <c r="D174" s="25" t="s">
        <v>577</v>
      </c>
      <c r="E174" s="25" t="s">
        <v>578</v>
      </c>
      <c r="F174" s="25" t="s">
        <v>422</v>
      </c>
      <c r="G174" s="25">
        <v>500</v>
      </c>
      <c r="H174" s="25"/>
    </row>
    <row r="175" spans="1:8" ht="14">
      <c r="A175" s="25" t="s">
        <v>579</v>
      </c>
      <c r="B175" s="26" t="s">
        <v>38</v>
      </c>
      <c r="C175" s="25" t="str">
        <f t="shared" si="2"/>
        <v>snb19</v>
      </c>
      <c r="D175" s="25" t="s">
        <v>579</v>
      </c>
      <c r="E175" s="25" t="s">
        <v>580</v>
      </c>
      <c r="F175" s="25" t="s">
        <v>564</v>
      </c>
      <c r="G175" s="25">
        <v>500</v>
      </c>
      <c r="H175" s="25"/>
    </row>
    <row r="176" spans="1:8" ht="14">
      <c r="A176" s="25" t="s">
        <v>581</v>
      </c>
      <c r="B176" s="26" t="s">
        <v>38</v>
      </c>
      <c r="C176" s="25" t="str">
        <f t="shared" si="2"/>
        <v>snb75</v>
      </c>
      <c r="D176" s="25" t="s">
        <v>581</v>
      </c>
      <c r="E176" s="25" t="s">
        <v>582</v>
      </c>
      <c r="F176" s="25" t="s">
        <v>564</v>
      </c>
      <c r="G176" s="25">
        <v>500</v>
      </c>
      <c r="H176" s="25"/>
    </row>
    <row r="177" spans="1:8" ht="14">
      <c r="A177" s="25" t="s">
        <v>583</v>
      </c>
      <c r="B177" s="26" t="s">
        <v>38</v>
      </c>
      <c r="C177" s="25" t="str">
        <f t="shared" si="2"/>
        <v>sr</v>
      </c>
      <c r="D177" s="25" t="s">
        <v>583</v>
      </c>
      <c r="E177" s="25" t="s">
        <v>584</v>
      </c>
      <c r="F177" s="25" t="s">
        <v>448</v>
      </c>
      <c r="G177" s="25">
        <v>500</v>
      </c>
      <c r="H177" s="25"/>
    </row>
    <row r="178" spans="1:8" ht="14">
      <c r="A178" s="25" t="s">
        <v>585</v>
      </c>
      <c r="B178" s="26" t="s">
        <v>38</v>
      </c>
      <c r="C178" s="25" t="str">
        <f t="shared" si="2"/>
        <v>sw620</v>
      </c>
      <c r="D178" s="25" t="s">
        <v>585</v>
      </c>
      <c r="E178" s="25" t="s">
        <v>586</v>
      </c>
      <c r="F178" s="25" t="s">
        <v>445</v>
      </c>
      <c r="G178" s="25">
        <v>500</v>
      </c>
      <c r="H178" s="25"/>
    </row>
    <row r="179" spans="1:8" ht="14">
      <c r="A179" s="25" t="s">
        <v>587</v>
      </c>
      <c r="B179" s="26" t="s">
        <v>38</v>
      </c>
      <c r="C179" s="25" t="str">
        <f t="shared" si="2"/>
        <v>t47d</v>
      </c>
      <c r="D179" s="25" t="s">
        <v>587</v>
      </c>
      <c r="E179" s="25" t="s">
        <v>588</v>
      </c>
      <c r="F179" s="25" t="s">
        <v>437</v>
      </c>
      <c r="G179" s="25">
        <v>500</v>
      </c>
      <c r="H179" s="25"/>
    </row>
    <row r="180" spans="1:8" ht="14">
      <c r="A180" s="25" t="s">
        <v>589</v>
      </c>
      <c r="B180" s="26" t="s">
        <v>38</v>
      </c>
      <c r="C180" s="25" t="str">
        <f t="shared" si="2"/>
        <v>thp1</v>
      </c>
      <c r="D180" s="25" t="s">
        <v>589</v>
      </c>
      <c r="E180" s="25" t="s">
        <v>590</v>
      </c>
      <c r="F180" s="25" t="s">
        <v>591</v>
      </c>
      <c r="G180" s="25">
        <v>500</v>
      </c>
      <c r="H180" s="25"/>
    </row>
    <row r="181" spans="1:8" ht="14">
      <c r="A181" s="25" t="s">
        <v>592</v>
      </c>
      <c r="B181" s="26" t="s">
        <v>38</v>
      </c>
      <c r="C181" s="25" t="str">
        <f t="shared" si="2"/>
        <v>tk10</v>
      </c>
      <c r="D181" s="25" t="s">
        <v>592</v>
      </c>
      <c r="E181" s="25" t="s">
        <v>593</v>
      </c>
      <c r="F181" s="25" t="s">
        <v>422</v>
      </c>
      <c r="G181" s="25">
        <v>500</v>
      </c>
      <c r="H181" s="25"/>
    </row>
    <row r="182" spans="1:8" ht="14">
      <c r="A182" s="25" t="s">
        <v>594</v>
      </c>
      <c r="B182" s="26" t="s">
        <v>38</v>
      </c>
      <c r="C182" s="25" t="str">
        <f t="shared" si="2"/>
        <v>u251</v>
      </c>
      <c r="D182" s="25" t="s">
        <v>594</v>
      </c>
      <c r="E182" s="25" t="s">
        <v>595</v>
      </c>
      <c r="F182" s="25" t="s">
        <v>564</v>
      </c>
      <c r="G182" s="25">
        <v>500</v>
      </c>
      <c r="H182" s="25"/>
    </row>
    <row r="183" spans="1:8" ht="14">
      <c r="A183" s="25" t="s">
        <v>596</v>
      </c>
      <c r="B183" s="26" t="s">
        <v>38</v>
      </c>
      <c r="C183" s="25" t="str">
        <f t="shared" si="2"/>
        <v>u937</v>
      </c>
      <c r="D183" s="25" t="s">
        <v>596</v>
      </c>
      <c r="E183" s="25" t="s">
        <v>597</v>
      </c>
      <c r="F183" s="25" t="s">
        <v>598</v>
      </c>
      <c r="G183" s="25">
        <v>500</v>
      </c>
      <c r="H183" s="25"/>
    </row>
    <row r="184" spans="1:8" ht="14">
      <c r="A184" s="25" t="s">
        <v>599</v>
      </c>
      <c r="B184" s="26" t="s">
        <v>38</v>
      </c>
      <c r="C184" s="25" t="str">
        <f t="shared" si="2"/>
        <v>uacc257</v>
      </c>
      <c r="D184" s="25" t="s">
        <v>599</v>
      </c>
      <c r="E184" s="25" t="s">
        <v>600</v>
      </c>
      <c r="F184" s="25" t="s">
        <v>501</v>
      </c>
      <c r="G184" s="25">
        <v>500</v>
      </c>
      <c r="H184" s="25"/>
    </row>
    <row r="185" spans="1:8" ht="14">
      <c r="A185" s="25" t="s">
        <v>601</v>
      </c>
      <c r="B185" s="26" t="s">
        <v>38</v>
      </c>
      <c r="C185" s="25" t="str">
        <f t="shared" si="2"/>
        <v>uacc62</v>
      </c>
      <c r="D185" s="25" t="s">
        <v>601</v>
      </c>
      <c r="E185" s="25" t="s">
        <v>602</v>
      </c>
      <c r="F185" s="25" t="s">
        <v>501</v>
      </c>
      <c r="G185" s="25">
        <v>500</v>
      </c>
      <c r="H185" s="25"/>
    </row>
    <row r="186" spans="1:8" ht="14">
      <c r="A186" s="25" t="s">
        <v>603</v>
      </c>
      <c r="B186" s="26" t="s">
        <v>38</v>
      </c>
      <c r="C186" s="25" t="str">
        <f t="shared" si="2"/>
        <v>uo31</v>
      </c>
      <c r="D186" s="25" t="s">
        <v>603</v>
      </c>
      <c r="E186" s="25" t="s">
        <v>604</v>
      </c>
      <c r="F186" s="25" t="s">
        <v>422</v>
      </c>
      <c r="G186" s="25">
        <v>500</v>
      </c>
      <c r="H186" s="25"/>
    </row>
    <row r="187" spans="1:8" ht="14">
      <c r="A187" s="25" t="s">
        <v>605</v>
      </c>
      <c r="B187" s="26" t="s">
        <v>38</v>
      </c>
      <c r="C187" s="25" t="str">
        <f t="shared" si="2"/>
        <v>z138</v>
      </c>
      <c r="D187" s="25" t="s">
        <v>605</v>
      </c>
      <c r="E187" s="25" t="s">
        <v>606</v>
      </c>
      <c r="F187" s="25" t="s">
        <v>487</v>
      </c>
      <c r="G187" s="25">
        <v>500</v>
      </c>
      <c r="H187" s="25"/>
    </row>
    <row r="188" spans="1:8" ht="14">
      <c r="A188" s="25" t="s">
        <v>3104</v>
      </c>
      <c r="B188" s="26" t="s">
        <v>38</v>
      </c>
      <c r="C188" s="25" t="str">
        <f t="shared" si="2"/>
        <v>bv2</v>
      </c>
      <c r="D188" s="25" t="s">
        <v>3104</v>
      </c>
      <c r="E188" s="25" t="s">
        <v>3102</v>
      </c>
      <c r="F188" s="28" t="s">
        <v>3103</v>
      </c>
      <c r="G188" s="25">
        <v>500</v>
      </c>
      <c r="H188" s="25"/>
    </row>
    <row r="189" spans="1:8" ht="14">
      <c r="A189" s="25" t="s">
        <v>610</v>
      </c>
      <c r="B189" s="26" t="s">
        <v>48</v>
      </c>
      <c r="C189" s="25" t="str">
        <f t="shared" ref="C189:C252" si="3">A189</f>
        <v>c18</v>
      </c>
      <c r="D189" s="27" t="s">
        <v>13</v>
      </c>
      <c r="E189" s="25" t="s">
        <v>4447</v>
      </c>
      <c r="F189" s="25" t="s">
        <v>611</v>
      </c>
      <c r="G189" s="25">
        <v>500</v>
      </c>
      <c r="H189" s="25"/>
    </row>
    <row r="190" spans="1:8" ht="14">
      <c r="A190" s="25" t="s">
        <v>612</v>
      </c>
      <c r="B190" s="26" t="s">
        <v>48</v>
      </c>
      <c r="C190" s="25" t="str">
        <f t="shared" si="3"/>
        <v>c8</v>
      </c>
      <c r="D190" s="27" t="s">
        <v>13</v>
      </c>
      <c r="E190" s="25" t="s">
        <v>4448</v>
      </c>
      <c r="F190" s="25" t="s">
        <v>613</v>
      </c>
      <c r="G190" s="25">
        <v>500</v>
      </c>
      <c r="H190" s="25"/>
    </row>
    <row r="191" spans="1:8" ht="14">
      <c r="A191" s="25" t="s">
        <v>614</v>
      </c>
      <c r="B191" s="26" t="s">
        <v>45</v>
      </c>
      <c r="C191" s="25" t="str">
        <f t="shared" si="3"/>
        <v>aurora</v>
      </c>
      <c r="D191" s="27" t="s">
        <v>13</v>
      </c>
      <c r="E191" s="25" t="s">
        <v>2718</v>
      </c>
      <c r="F191" s="25" t="s">
        <v>2719</v>
      </c>
      <c r="G191" s="25">
        <v>500</v>
      </c>
      <c r="H191" s="25"/>
    </row>
    <row r="192" spans="1:8" ht="14">
      <c r="A192" s="25" t="s">
        <v>617</v>
      </c>
      <c r="B192" s="26" t="s">
        <v>45</v>
      </c>
      <c r="C192" s="25" t="str">
        <f t="shared" si="3"/>
        <v>easyspray</v>
      </c>
      <c r="D192" s="27" t="s">
        <v>13</v>
      </c>
      <c r="E192" s="25" t="s">
        <v>618</v>
      </c>
      <c r="F192" s="25" t="s">
        <v>619</v>
      </c>
      <c r="G192" s="25">
        <v>500</v>
      </c>
      <c r="H192" s="25"/>
    </row>
    <row r="193" spans="1:8" ht="14">
      <c r="A193" s="25" t="s">
        <v>620</v>
      </c>
      <c r="B193" s="26" t="s">
        <v>45</v>
      </c>
      <c r="C193" s="25" t="str">
        <f t="shared" si="3"/>
        <v>inhouse</v>
      </c>
      <c r="D193" s="27" t="s">
        <v>13</v>
      </c>
      <c r="E193" s="25" t="s">
        <v>621</v>
      </c>
      <c r="F193" s="25" t="s">
        <v>622</v>
      </c>
      <c r="G193" s="25">
        <v>500</v>
      </c>
      <c r="H193" s="25"/>
    </row>
    <row r="194" spans="1:8" ht="14">
      <c r="A194" s="25" t="s">
        <v>623</v>
      </c>
      <c r="B194" s="26" t="s">
        <v>45</v>
      </c>
      <c r="C194" s="25" t="str">
        <f t="shared" si="3"/>
        <v>upac_doubleviper</v>
      </c>
      <c r="D194" s="27" t="s">
        <v>13</v>
      </c>
      <c r="E194" s="25" t="s">
        <v>624</v>
      </c>
      <c r="F194" s="25" t="s">
        <v>625</v>
      </c>
      <c r="G194" s="25">
        <v>500</v>
      </c>
      <c r="H194" s="25"/>
    </row>
    <row r="195" spans="1:8" ht="14">
      <c r="A195" s="25" t="s">
        <v>626</v>
      </c>
      <c r="B195" s="26" t="s">
        <v>45</v>
      </c>
      <c r="C195" s="25" t="str">
        <f t="shared" si="3"/>
        <v>upac_low_loadneo</v>
      </c>
      <c r="D195" s="27" t="s">
        <v>13</v>
      </c>
      <c r="E195" s="25" t="s">
        <v>627</v>
      </c>
      <c r="F195" s="25" t="s">
        <v>628</v>
      </c>
      <c r="G195" s="25">
        <v>500</v>
      </c>
      <c r="H195" s="25"/>
    </row>
    <row r="196" spans="1:8" ht="14">
      <c r="A196" s="25" t="s">
        <v>629</v>
      </c>
      <c r="B196" s="26" t="s">
        <v>45</v>
      </c>
      <c r="C196" s="25" t="str">
        <f t="shared" si="3"/>
        <v>upac_neo</v>
      </c>
      <c r="D196" s="27" t="s">
        <v>13</v>
      </c>
      <c r="E196" s="25" t="s">
        <v>630</v>
      </c>
      <c r="F196" s="25" t="s">
        <v>631</v>
      </c>
      <c r="G196" s="25">
        <v>500</v>
      </c>
      <c r="H196" s="25"/>
    </row>
    <row r="197" spans="1:8" ht="14">
      <c r="A197" s="25" t="s">
        <v>2982</v>
      </c>
      <c r="B197" s="26" t="s">
        <v>45</v>
      </c>
      <c r="C197" s="25" t="str">
        <f t="shared" si="3"/>
        <v>pepsep</v>
      </c>
      <c r="D197" s="27" t="s">
        <v>2982</v>
      </c>
      <c r="E197" s="25" t="s">
        <v>2983</v>
      </c>
      <c r="F197" s="25" t="s">
        <v>2984</v>
      </c>
      <c r="G197" s="25">
        <v>500</v>
      </c>
      <c r="H197" s="25"/>
    </row>
    <row r="198" spans="1:8" ht="14">
      <c r="A198" s="25" t="s">
        <v>2985</v>
      </c>
      <c r="B198" s="26" t="s">
        <v>45</v>
      </c>
      <c r="C198" s="25" t="str">
        <f t="shared" si="3"/>
        <v>pepsepultra</v>
      </c>
      <c r="D198" s="27" t="s">
        <v>2982</v>
      </c>
      <c r="E198" s="25" t="s">
        <v>2986</v>
      </c>
      <c r="F198" s="25" t="s">
        <v>2994</v>
      </c>
      <c r="G198" s="25">
        <v>500</v>
      </c>
      <c r="H198" s="25"/>
    </row>
    <row r="199" spans="1:8" ht="14">
      <c r="A199" s="25" t="s">
        <v>2987</v>
      </c>
      <c r="B199" s="26" t="s">
        <v>45</v>
      </c>
      <c r="C199" s="25" t="str">
        <f t="shared" si="3"/>
        <v>pepsepmax</v>
      </c>
      <c r="D199" s="27" t="s">
        <v>2982</v>
      </c>
      <c r="E199" s="25" t="s">
        <v>2988</v>
      </c>
      <c r="F199" s="25" t="s">
        <v>2993</v>
      </c>
      <c r="G199" s="25">
        <v>500</v>
      </c>
      <c r="H199" s="25"/>
    </row>
    <row r="200" spans="1:8" ht="14">
      <c r="A200" s="25" t="s">
        <v>2989</v>
      </c>
      <c r="B200" s="26" t="s">
        <v>45</v>
      </c>
      <c r="C200" s="25" t="str">
        <f t="shared" si="3"/>
        <v>pepsepmaxht</v>
      </c>
      <c r="D200" s="27" t="s">
        <v>2990</v>
      </c>
      <c r="E200" s="25" t="s">
        <v>2991</v>
      </c>
      <c r="F200" s="25" t="s">
        <v>2992</v>
      </c>
      <c r="G200" s="25">
        <v>500</v>
      </c>
      <c r="H200" s="25"/>
    </row>
    <row r="201" spans="1:8" ht="14">
      <c r="A201" s="25" t="s">
        <v>632</v>
      </c>
      <c r="B201" s="26" t="s">
        <v>51</v>
      </c>
      <c r="C201" s="25" t="str">
        <f t="shared" si="3"/>
        <v>5_fluorouracil</v>
      </c>
      <c r="D201" s="25" t="s">
        <v>633</v>
      </c>
      <c r="E201" s="25" t="s">
        <v>634</v>
      </c>
      <c r="F201" s="25" t="s">
        <v>635</v>
      </c>
      <c r="G201" s="25">
        <v>500</v>
      </c>
      <c r="H201" s="25"/>
    </row>
    <row r="202" spans="1:8" ht="14">
      <c r="A202" s="25" t="s">
        <v>636</v>
      </c>
      <c r="B202" s="26" t="s">
        <v>51</v>
      </c>
      <c r="C202" s="25" t="str">
        <f t="shared" si="3"/>
        <v>anisomycin</v>
      </c>
      <c r="D202" s="25" t="s">
        <v>636</v>
      </c>
      <c r="E202" s="25" t="s">
        <v>637</v>
      </c>
      <c r="F202" s="25" t="s">
        <v>637</v>
      </c>
      <c r="G202" s="25">
        <v>500</v>
      </c>
      <c r="H202" s="25"/>
    </row>
    <row r="203" spans="1:8" ht="14">
      <c r="A203" s="25" t="s">
        <v>4397</v>
      </c>
      <c r="B203" s="26" t="s">
        <v>51</v>
      </c>
      <c r="C203" s="25" t="s">
        <v>4397</v>
      </c>
      <c r="D203" s="25" t="s">
        <v>4397</v>
      </c>
      <c r="E203" s="25" t="s">
        <v>4396</v>
      </c>
      <c r="F203" s="25" t="s">
        <v>4398</v>
      </c>
      <c r="G203" s="25">
        <v>500</v>
      </c>
      <c r="H203" s="25"/>
    </row>
    <row r="204" spans="1:8" ht="14">
      <c r="A204" s="25" t="s">
        <v>638</v>
      </c>
      <c r="B204" s="26" t="s">
        <v>51</v>
      </c>
      <c r="C204" s="25" t="str">
        <f t="shared" si="3"/>
        <v>antimycin</v>
      </c>
      <c r="D204" s="25" t="s">
        <v>638</v>
      </c>
      <c r="E204" s="25" t="s">
        <v>639</v>
      </c>
      <c r="F204" s="25" t="s">
        <v>640</v>
      </c>
      <c r="G204" s="25">
        <v>500</v>
      </c>
      <c r="H204" s="25"/>
    </row>
    <row r="205" spans="1:8" ht="14">
      <c r="A205" s="25" t="s">
        <v>641</v>
      </c>
      <c r="B205" s="26" t="s">
        <v>51</v>
      </c>
      <c r="C205" s="25" t="str">
        <f t="shared" si="3"/>
        <v>atp</v>
      </c>
      <c r="D205" s="25" t="s">
        <v>641</v>
      </c>
      <c r="E205" s="25" t="s">
        <v>642</v>
      </c>
      <c r="F205" s="25" t="s">
        <v>643</v>
      </c>
      <c r="G205" s="25">
        <v>500</v>
      </c>
      <c r="H205" s="25"/>
    </row>
    <row r="206" spans="1:8" ht="14">
      <c r="A206" s="25" t="s">
        <v>644</v>
      </c>
      <c r="B206" s="26" t="s">
        <v>51</v>
      </c>
      <c r="C206" s="25" t="str">
        <f t="shared" si="3"/>
        <v>berzosertib</v>
      </c>
      <c r="D206" s="25" t="s">
        <v>644</v>
      </c>
      <c r="E206" s="25" t="s">
        <v>645</v>
      </c>
      <c r="F206" s="25" t="s">
        <v>645</v>
      </c>
      <c r="G206" s="25">
        <v>500</v>
      </c>
      <c r="H206" s="25"/>
    </row>
    <row r="207" spans="1:8" ht="14">
      <c r="A207" s="25" t="s">
        <v>646</v>
      </c>
      <c r="B207" s="26" t="s">
        <v>51</v>
      </c>
      <c r="C207" s="25" t="str">
        <f t="shared" si="3"/>
        <v>bortezomib</v>
      </c>
      <c r="D207" s="25" t="s">
        <v>646</v>
      </c>
      <c r="E207" s="25" t="s">
        <v>647</v>
      </c>
      <c r="F207" s="25" t="s">
        <v>647</v>
      </c>
      <c r="G207" s="25">
        <v>500</v>
      </c>
      <c r="H207" s="25"/>
    </row>
    <row r="208" spans="1:8" ht="14">
      <c r="A208" s="25" t="s">
        <v>648</v>
      </c>
      <c r="B208" s="26" t="s">
        <v>51</v>
      </c>
      <c r="C208" s="25" t="str">
        <f t="shared" si="3"/>
        <v>cccp</v>
      </c>
      <c r="D208" s="25" t="s">
        <v>648</v>
      </c>
      <c r="E208" s="25" t="s">
        <v>649</v>
      </c>
      <c r="F208" s="25" t="s">
        <v>650</v>
      </c>
      <c r="G208" s="25">
        <v>500</v>
      </c>
      <c r="H208" s="25"/>
    </row>
    <row r="209" spans="1:8" ht="14">
      <c r="A209" s="25" t="s">
        <v>651</v>
      </c>
      <c r="B209" s="26" t="s">
        <v>51</v>
      </c>
      <c r="C209" s="25" t="str">
        <f t="shared" si="3"/>
        <v>cycloheximide</v>
      </c>
      <c r="D209" s="25" t="s">
        <v>651</v>
      </c>
      <c r="E209" s="25" t="s">
        <v>652</v>
      </c>
      <c r="F209" s="25" t="s">
        <v>652</v>
      </c>
      <c r="G209" s="25">
        <v>500</v>
      </c>
      <c r="H209" s="25"/>
    </row>
    <row r="210" spans="1:8" ht="14">
      <c r="A210" s="25" t="s">
        <v>653</v>
      </c>
      <c r="B210" s="26" t="s">
        <v>51</v>
      </c>
      <c r="C210" s="25" t="str">
        <f t="shared" si="3"/>
        <v>dmso</v>
      </c>
      <c r="D210" s="25" t="s">
        <v>653</v>
      </c>
      <c r="E210" s="25" t="s">
        <v>654</v>
      </c>
      <c r="F210" s="25" t="s">
        <v>655</v>
      </c>
      <c r="G210" s="25">
        <v>500</v>
      </c>
      <c r="H210" s="25"/>
    </row>
    <row r="211" spans="1:8" ht="14">
      <c r="A211" s="25" t="s">
        <v>656</v>
      </c>
      <c r="B211" s="26" t="s">
        <v>51</v>
      </c>
      <c r="C211" s="25" t="str">
        <f t="shared" si="3"/>
        <v>doxorubicin</v>
      </c>
      <c r="D211" s="25" t="s">
        <v>656</v>
      </c>
      <c r="E211" s="25" t="s">
        <v>657</v>
      </c>
      <c r="F211" s="25" t="s">
        <v>658</v>
      </c>
      <c r="G211" s="25">
        <v>500</v>
      </c>
      <c r="H211" s="25"/>
    </row>
    <row r="212" spans="1:8" ht="14">
      <c r="A212" s="25" t="s">
        <v>659</v>
      </c>
      <c r="B212" s="26" t="s">
        <v>51</v>
      </c>
      <c r="C212" s="25" t="str">
        <f t="shared" si="3"/>
        <v>doxycycline</v>
      </c>
      <c r="D212" s="25" t="s">
        <v>659</v>
      </c>
      <c r="E212" s="25" t="s">
        <v>660</v>
      </c>
      <c r="F212" s="25" t="s">
        <v>661</v>
      </c>
      <c r="G212" s="25">
        <v>500</v>
      </c>
      <c r="H212" s="25"/>
    </row>
    <row r="213" spans="1:8" ht="14">
      <c r="A213" s="25" t="s">
        <v>2730</v>
      </c>
      <c r="B213" s="26" t="s">
        <v>51</v>
      </c>
      <c r="C213" s="25" t="str">
        <f t="shared" si="3"/>
        <v>epoximicin</v>
      </c>
      <c r="D213" s="25" t="s">
        <v>2729</v>
      </c>
      <c r="E213" s="25" t="s">
        <v>2728</v>
      </c>
      <c r="F213" s="25" t="s">
        <v>2731</v>
      </c>
      <c r="G213" s="25">
        <v>500</v>
      </c>
      <c r="H213" s="25"/>
    </row>
    <row r="214" spans="1:8" ht="14">
      <c r="A214" s="25" t="s">
        <v>662</v>
      </c>
      <c r="B214" s="26" t="s">
        <v>51</v>
      </c>
      <c r="C214" s="25" t="str">
        <f t="shared" si="3"/>
        <v>etoposide</v>
      </c>
      <c r="D214" s="25" t="s">
        <v>662</v>
      </c>
      <c r="E214" s="25" t="s">
        <v>663</v>
      </c>
      <c r="F214" s="25" t="s">
        <v>664</v>
      </c>
      <c r="G214" s="25">
        <v>500</v>
      </c>
      <c r="H214" s="25"/>
    </row>
    <row r="215" spans="1:8" ht="14">
      <c r="A215" s="25" t="s">
        <v>665</v>
      </c>
      <c r="B215" s="26" t="s">
        <v>51</v>
      </c>
      <c r="C215" s="25" t="str">
        <f t="shared" si="3"/>
        <v>fccp</v>
      </c>
      <c r="D215" s="25" t="s">
        <v>665</v>
      </c>
      <c r="E215" s="25" t="s">
        <v>666</v>
      </c>
      <c r="F215" s="25" t="s">
        <v>667</v>
      </c>
      <c r="G215" s="25">
        <v>500</v>
      </c>
      <c r="H215" s="25"/>
    </row>
    <row r="216" spans="1:8" ht="14">
      <c r="A216" s="25" t="s">
        <v>668</v>
      </c>
      <c r="B216" s="26" t="s">
        <v>51</v>
      </c>
      <c r="C216" s="25" t="str">
        <f t="shared" si="3"/>
        <v>h2o</v>
      </c>
      <c r="D216" s="25" t="s">
        <v>668</v>
      </c>
      <c r="E216" s="25" t="s">
        <v>669</v>
      </c>
      <c r="F216" s="25" t="s">
        <v>670</v>
      </c>
      <c r="G216" s="25">
        <v>500</v>
      </c>
      <c r="H216" s="25"/>
    </row>
    <row r="217" spans="1:8" ht="14">
      <c r="A217" s="25" t="s">
        <v>2725</v>
      </c>
      <c r="B217" s="26" t="s">
        <v>51</v>
      </c>
      <c r="C217" s="25" t="str">
        <f t="shared" si="3"/>
        <v>h2o2</v>
      </c>
      <c r="D217" s="25" t="s">
        <v>2725</v>
      </c>
      <c r="E217" s="25" t="s">
        <v>2726</v>
      </c>
      <c r="F217" s="25" t="s">
        <v>2727</v>
      </c>
      <c r="G217" s="25">
        <v>500</v>
      </c>
      <c r="H217" s="25"/>
    </row>
    <row r="218" spans="1:8" ht="14">
      <c r="A218" s="25" t="s">
        <v>671</v>
      </c>
      <c r="B218" s="26" t="s">
        <v>51</v>
      </c>
      <c r="C218" s="25" t="str">
        <f t="shared" si="3"/>
        <v>hydroxyurea</v>
      </c>
      <c r="D218" s="25" t="s">
        <v>671</v>
      </c>
      <c r="E218" s="25" t="s">
        <v>672</v>
      </c>
      <c r="F218" s="25" t="s">
        <v>673</v>
      </c>
      <c r="G218" s="25">
        <v>500</v>
      </c>
      <c r="H218" s="25"/>
    </row>
    <row r="219" spans="1:8" ht="14">
      <c r="A219" s="25" t="s">
        <v>674</v>
      </c>
      <c r="B219" s="26" t="s">
        <v>51</v>
      </c>
      <c r="C219" s="25" t="str">
        <f t="shared" si="3"/>
        <v>oligomycin</v>
      </c>
      <c r="D219" s="25" t="s">
        <v>674</v>
      </c>
      <c r="E219" s="25" t="s">
        <v>675</v>
      </c>
      <c r="F219" s="25" t="s">
        <v>676</v>
      </c>
      <c r="G219" s="25">
        <v>500</v>
      </c>
      <c r="H219" s="25"/>
    </row>
    <row r="220" spans="1:8" ht="14">
      <c r="A220" s="25" t="s">
        <v>677</v>
      </c>
      <c r="B220" s="26" t="s">
        <v>51</v>
      </c>
      <c r="C220" s="25" t="str">
        <f t="shared" si="3"/>
        <v>rapamycin</v>
      </c>
      <c r="D220" s="25" t="s">
        <v>677</v>
      </c>
      <c r="E220" s="25" t="s">
        <v>678</v>
      </c>
      <c r="F220" s="25" t="s">
        <v>679</v>
      </c>
      <c r="G220" s="25">
        <v>500</v>
      </c>
      <c r="H220" s="25"/>
    </row>
    <row r="221" spans="1:8" ht="14">
      <c r="A221" s="25" t="s">
        <v>680</v>
      </c>
      <c r="B221" s="26" t="s">
        <v>51</v>
      </c>
      <c r="C221" s="25" t="str">
        <f t="shared" si="3"/>
        <v>rotenone</v>
      </c>
      <c r="D221" s="25" t="s">
        <v>680</v>
      </c>
      <c r="E221" s="25" t="s">
        <v>681</v>
      </c>
      <c r="F221" s="25" t="s">
        <v>682</v>
      </c>
      <c r="G221" s="25">
        <v>500</v>
      </c>
      <c r="H221" s="25"/>
    </row>
    <row r="222" spans="1:8" ht="14">
      <c r="A222" s="25" t="s">
        <v>683</v>
      </c>
      <c r="B222" s="26" t="s">
        <v>51</v>
      </c>
      <c r="C222" s="25" t="str">
        <f t="shared" si="3"/>
        <v>tamoxifen</v>
      </c>
      <c r="D222" s="25" t="s">
        <v>683</v>
      </c>
      <c r="E222" s="25" t="s">
        <v>684</v>
      </c>
      <c r="F222" s="25" t="s">
        <v>684</v>
      </c>
      <c r="G222" s="25">
        <v>500</v>
      </c>
      <c r="H222" s="25"/>
    </row>
    <row r="223" spans="1:8" ht="14">
      <c r="A223" s="25" t="s">
        <v>685</v>
      </c>
      <c r="B223" s="26" t="s">
        <v>51</v>
      </c>
      <c r="C223" s="25" t="str">
        <f t="shared" si="3"/>
        <v>torin</v>
      </c>
      <c r="D223" s="25" t="s">
        <v>685</v>
      </c>
      <c r="E223" s="25" t="s">
        <v>686</v>
      </c>
      <c r="F223" s="25" t="s">
        <v>687</v>
      </c>
      <c r="G223" s="25">
        <v>500</v>
      </c>
      <c r="H223" s="25"/>
    </row>
    <row r="224" spans="1:8" ht="14">
      <c r="A224" s="25" t="s">
        <v>688</v>
      </c>
      <c r="B224" s="26" t="s">
        <v>51</v>
      </c>
      <c r="C224" s="25" t="str">
        <f t="shared" si="3"/>
        <v>trametinib</v>
      </c>
      <c r="D224" s="25" t="s">
        <v>688</v>
      </c>
      <c r="E224" s="25" t="s">
        <v>689</v>
      </c>
      <c r="F224" s="25" t="s">
        <v>689</v>
      </c>
      <c r="G224" s="25">
        <v>500</v>
      </c>
      <c r="H224" s="25"/>
    </row>
    <row r="225" spans="1:8" ht="14">
      <c r="A225" s="25" t="s">
        <v>690</v>
      </c>
      <c r="B225" s="26" t="s">
        <v>51</v>
      </c>
      <c r="C225" s="25" t="str">
        <f t="shared" si="3"/>
        <v>unstimulated</v>
      </c>
      <c r="D225" s="25" t="s">
        <v>690</v>
      </c>
      <c r="E225" s="25" t="s">
        <v>691</v>
      </c>
      <c r="F225" s="25" t="s">
        <v>692</v>
      </c>
      <c r="G225" s="25">
        <v>500</v>
      </c>
      <c r="H225" s="25"/>
    </row>
    <row r="226" spans="1:8" ht="14">
      <c r="A226" s="25" t="s">
        <v>3120</v>
      </c>
      <c r="B226" s="26" t="s">
        <v>51</v>
      </c>
      <c r="C226" s="25" t="str">
        <f t="shared" si="3"/>
        <v>pbs</v>
      </c>
      <c r="D226" s="25" t="s">
        <v>3120</v>
      </c>
      <c r="E226" s="25" t="s">
        <v>3121</v>
      </c>
      <c r="F226" s="25" t="s">
        <v>3122</v>
      </c>
      <c r="G226" s="25">
        <v>500</v>
      </c>
      <c r="H226" s="25"/>
    </row>
    <row r="227" spans="1:8" ht="14">
      <c r="A227" s="25" t="s">
        <v>4399</v>
      </c>
      <c r="B227" s="26" t="s">
        <v>51</v>
      </c>
      <c r="C227" s="25" t="s">
        <v>4399</v>
      </c>
      <c r="D227" s="25" t="s">
        <v>4399</v>
      </c>
      <c r="E227" s="25" t="s">
        <v>4400</v>
      </c>
      <c r="F227" s="25" t="s">
        <v>4401</v>
      </c>
      <c r="G227" s="25">
        <v>500</v>
      </c>
      <c r="H227" s="25"/>
    </row>
    <row r="228" spans="1:8" ht="14">
      <c r="A228" s="25" t="s">
        <v>4450</v>
      </c>
      <c r="B228" s="26" t="s">
        <v>51</v>
      </c>
      <c r="C228" s="25" t="s">
        <v>4450</v>
      </c>
      <c r="D228" s="25" t="s">
        <v>4450</v>
      </c>
      <c r="E228" s="25" t="s">
        <v>4452</v>
      </c>
      <c r="F228" s="25" t="s">
        <v>4451</v>
      </c>
      <c r="G228" s="25">
        <v>550</v>
      </c>
      <c r="H228" s="25"/>
    </row>
    <row r="229" spans="1:8" ht="14">
      <c r="A229" s="25" t="s">
        <v>693</v>
      </c>
      <c r="B229" s="26" t="s">
        <v>51</v>
      </c>
      <c r="C229" s="25" t="str">
        <f t="shared" si="3"/>
        <v>microenvironment</v>
      </c>
      <c r="D229" s="27" t="s">
        <v>13</v>
      </c>
      <c r="E229" s="25" t="s">
        <v>693</v>
      </c>
      <c r="F229" s="25" t="s">
        <v>693</v>
      </c>
      <c r="G229" s="25">
        <v>500</v>
      </c>
      <c r="H229" s="25"/>
    </row>
    <row r="230" spans="1:8" ht="14">
      <c r="A230" s="25" t="s">
        <v>694</v>
      </c>
      <c r="B230" s="26" t="s">
        <v>53</v>
      </c>
      <c r="C230" s="25" t="str">
        <f t="shared" si="3"/>
        <v>egs</v>
      </c>
      <c r="D230" s="27" t="s">
        <v>13</v>
      </c>
      <c r="E230" s="25" t="s">
        <v>695</v>
      </c>
      <c r="F230" s="25" t="s">
        <v>696</v>
      </c>
      <c r="G230" s="25">
        <v>500</v>
      </c>
      <c r="H230" s="25"/>
    </row>
    <row r="231" spans="1:8" ht="14">
      <c r="A231" s="25" t="s">
        <v>697</v>
      </c>
      <c r="B231" s="26" t="s">
        <v>53</v>
      </c>
      <c r="C231" s="25" t="str">
        <f t="shared" si="3"/>
        <v>suflo_egs</v>
      </c>
      <c r="D231" s="27" t="s">
        <v>13</v>
      </c>
      <c r="E231" s="25" t="s">
        <v>698</v>
      </c>
      <c r="F231" s="25" t="s">
        <v>699</v>
      </c>
      <c r="G231" s="25">
        <v>500</v>
      </c>
      <c r="H231" s="25"/>
    </row>
    <row r="232" spans="1:8" ht="14">
      <c r="A232" s="25" t="s">
        <v>700</v>
      </c>
      <c r="B232" s="26" t="s">
        <v>56</v>
      </c>
      <c r="C232" s="25" t="str">
        <f t="shared" si="3"/>
        <v>dsbu</v>
      </c>
      <c r="D232" s="27" t="s">
        <v>13</v>
      </c>
      <c r="E232" s="25" t="s">
        <v>701</v>
      </c>
      <c r="F232" s="25" t="s">
        <v>702</v>
      </c>
      <c r="G232" s="25">
        <v>500</v>
      </c>
      <c r="H232" s="25"/>
    </row>
    <row r="233" spans="1:8" ht="14">
      <c r="A233" s="25" t="s">
        <v>703</v>
      </c>
      <c r="B233" s="26" t="s">
        <v>56</v>
      </c>
      <c r="C233" s="25" t="str">
        <f t="shared" si="3"/>
        <v>dsso</v>
      </c>
      <c r="D233" s="27" t="s">
        <v>13</v>
      </c>
      <c r="E233" s="25" t="s">
        <v>704</v>
      </c>
      <c r="F233" s="25" t="s">
        <v>705</v>
      </c>
      <c r="G233" s="25">
        <v>500</v>
      </c>
      <c r="H233" s="25"/>
    </row>
    <row r="234" spans="1:8" ht="14">
      <c r="A234" s="25" t="s">
        <v>706</v>
      </c>
      <c r="B234" s="26" t="s">
        <v>58</v>
      </c>
      <c r="C234" s="25" t="str">
        <f t="shared" si="3"/>
        <v>amas</v>
      </c>
      <c r="D234" s="27" t="s">
        <v>13</v>
      </c>
      <c r="E234" s="25" t="s">
        <v>707</v>
      </c>
      <c r="F234" s="25" t="s">
        <v>708</v>
      </c>
      <c r="G234" s="25">
        <v>500</v>
      </c>
      <c r="H234" s="25"/>
    </row>
    <row r="235" spans="1:8" ht="14">
      <c r="A235" s="25" t="s">
        <v>709</v>
      </c>
      <c r="B235" s="26" t="s">
        <v>58</v>
      </c>
      <c r="C235" s="25" t="str">
        <f t="shared" si="3"/>
        <v>bm_peg_3</v>
      </c>
      <c r="D235" s="27" t="s">
        <v>13</v>
      </c>
      <c r="E235" s="25" t="s">
        <v>710</v>
      </c>
      <c r="F235" s="25" t="s">
        <v>711</v>
      </c>
      <c r="G235" s="25">
        <v>500</v>
      </c>
      <c r="H235" s="25"/>
    </row>
    <row r="236" spans="1:8" ht="14">
      <c r="A236" s="25" t="s">
        <v>712</v>
      </c>
      <c r="B236" s="26" t="s">
        <v>58</v>
      </c>
      <c r="C236" s="25" t="str">
        <f t="shared" si="3"/>
        <v>bmb</v>
      </c>
      <c r="D236" s="27" t="s">
        <v>13</v>
      </c>
      <c r="E236" s="25" t="s">
        <v>713</v>
      </c>
      <c r="F236" s="25" t="s">
        <v>714</v>
      </c>
      <c r="G236" s="25">
        <v>500</v>
      </c>
      <c r="H236" s="25"/>
    </row>
    <row r="237" spans="1:8" ht="14">
      <c r="A237" s="25" t="s">
        <v>715</v>
      </c>
      <c r="B237" s="26" t="s">
        <v>58</v>
      </c>
      <c r="C237" s="25" t="str">
        <f t="shared" si="3"/>
        <v>bmh</v>
      </c>
      <c r="D237" s="27" t="s">
        <v>13</v>
      </c>
      <c r="E237" s="25" t="s">
        <v>716</v>
      </c>
      <c r="F237" s="25" t="s">
        <v>717</v>
      </c>
      <c r="G237" s="25">
        <v>500</v>
      </c>
      <c r="H237" s="25"/>
    </row>
    <row r="238" spans="1:8" ht="14">
      <c r="A238" s="25" t="s">
        <v>718</v>
      </c>
      <c r="B238" s="26" t="s">
        <v>58</v>
      </c>
      <c r="C238" s="25" t="str">
        <f t="shared" si="3"/>
        <v>bmoe</v>
      </c>
      <c r="D238" s="27" t="s">
        <v>13</v>
      </c>
      <c r="E238" s="25" t="s">
        <v>719</v>
      </c>
      <c r="F238" s="25" t="s">
        <v>720</v>
      </c>
      <c r="G238" s="25">
        <v>500</v>
      </c>
      <c r="H238" s="25"/>
    </row>
    <row r="239" spans="1:8" ht="14">
      <c r="A239" s="25" t="s">
        <v>721</v>
      </c>
      <c r="B239" s="26" t="s">
        <v>58</v>
      </c>
      <c r="C239" s="25" t="str">
        <f t="shared" si="3"/>
        <v>bmph</v>
      </c>
      <c r="D239" s="27" t="s">
        <v>13</v>
      </c>
      <c r="E239" s="25" t="s">
        <v>722</v>
      </c>
      <c r="F239" s="25" t="s">
        <v>723</v>
      </c>
      <c r="G239" s="25">
        <v>500</v>
      </c>
      <c r="H239" s="25"/>
    </row>
    <row r="240" spans="1:8" ht="14">
      <c r="A240" s="25" t="s">
        <v>724</v>
      </c>
      <c r="B240" s="26" t="s">
        <v>58</v>
      </c>
      <c r="C240" s="25" t="str">
        <f t="shared" si="3"/>
        <v>bmps</v>
      </c>
      <c r="D240" s="27" t="s">
        <v>13</v>
      </c>
      <c r="E240" s="25" t="s">
        <v>725</v>
      </c>
      <c r="F240" s="25" t="s">
        <v>726</v>
      </c>
      <c r="G240" s="25">
        <v>500</v>
      </c>
      <c r="H240" s="25"/>
    </row>
    <row r="241" spans="1:8" ht="14">
      <c r="A241" s="25" t="s">
        <v>727</v>
      </c>
      <c r="B241" s="26" t="s">
        <v>58</v>
      </c>
      <c r="C241" s="25" t="str">
        <f t="shared" si="3"/>
        <v>bs_peg_5</v>
      </c>
      <c r="D241" s="27" t="s">
        <v>13</v>
      </c>
      <c r="E241" s="25" t="s">
        <v>728</v>
      </c>
      <c r="F241" s="25" t="s">
        <v>729</v>
      </c>
      <c r="G241" s="25">
        <v>500</v>
      </c>
      <c r="H241" s="25"/>
    </row>
    <row r="242" spans="1:8" ht="14">
      <c r="A242" s="25" t="s">
        <v>730</v>
      </c>
      <c r="B242" s="26" t="s">
        <v>58</v>
      </c>
      <c r="C242" s="25" t="str">
        <f t="shared" si="3"/>
        <v>bs_peg_9</v>
      </c>
      <c r="D242" s="27" t="s">
        <v>13</v>
      </c>
      <c r="E242" s="25" t="s">
        <v>731</v>
      </c>
      <c r="F242" s="25" t="s">
        <v>732</v>
      </c>
      <c r="G242" s="25">
        <v>500</v>
      </c>
      <c r="H242" s="25"/>
    </row>
    <row r="243" spans="1:8" ht="14">
      <c r="A243" s="25" t="s">
        <v>733</v>
      </c>
      <c r="B243" s="26" t="s">
        <v>58</v>
      </c>
      <c r="C243" s="25" t="str">
        <f t="shared" si="3"/>
        <v>bs2g_d0</v>
      </c>
      <c r="D243" s="27" t="s">
        <v>13</v>
      </c>
      <c r="E243" s="25" t="s">
        <v>734</v>
      </c>
      <c r="F243" s="25" t="s">
        <v>735</v>
      </c>
      <c r="G243" s="25">
        <v>500</v>
      </c>
      <c r="H243" s="25"/>
    </row>
    <row r="244" spans="1:8" ht="14">
      <c r="A244" s="25" t="s">
        <v>736</v>
      </c>
      <c r="B244" s="26" t="s">
        <v>58</v>
      </c>
      <c r="C244" s="25" t="str">
        <f t="shared" si="3"/>
        <v>bs3</v>
      </c>
      <c r="D244" s="27" t="s">
        <v>13</v>
      </c>
      <c r="E244" s="25" t="s">
        <v>737</v>
      </c>
      <c r="F244" s="25" t="s">
        <v>738</v>
      </c>
      <c r="G244" s="25">
        <v>500</v>
      </c>
      <c r="H244" s="25"/>
    </row>
    <row r="245" spans="1:8" ht="10.5" customHeight="1">
      <c r="A245" s="25" t="s">
        <v>739</v>
      </c>
      <c r="B245" s="26" t="s">
        <v>58</v>
      </c>
      <c r="C245" s="25" t="str">
        <f t="shared" si="3"/>
        <v>bs3_d0</v>
      </c>
      <c r="D245" s="27" t="s">
        <v>13</v>
      </c>
      <c r="E245" s="25" t="s">
        <v>740</v>
      </c>
      <c r="F245" s="25" t="s">
        <v>741</v>
      </c>
      <c r="G245" s="25">
        <v>500</v>
      </c>
      <c r="H245" s="25"/>
    </row>
    <row r="246" spans="1:8" ht="14">
      <c r="A246" s="25" t="s">
        <v>742</v>
      </c>
      <c r="B246" s="26" t="s">
        <v>58</v>
      </c>
      <c r="C246" s="25" t="str">
        <f t="shared" si="3"/>
        <v>bs3_d4</v>
      </c>
      <c r="D246" s="27" t="s">
        <v>13</v>
      </c>
      <c r="E246" s="25" t="s">
        <v>743</v>
      </c>
      <c r="F246" s="25" t="s">
        <v>741</v>
      </c>
      <c r="G246" s="25">
        <v>500</v>
      </c>
      <c r="H246" s="25"/>
    </row>
    <row r="247" spans="1:8" ht="14">
      <c r="A247" s="25" t="s">
        <v>744</v>
      </c>
      <c r="B247" s="26" t="s">
        <v>58</v>
      </c>
      <c r="C247" s="25" t="str">
        <f t="shared" si="3"/>
        <v>dmp</v>
      </c>
      <c r="D247" s="27" t="s">
        <v>13</v>
      </c>
      <c r="E247" s="25" t="s">
        <v>745</v>
      </c>
      <c r="F247" s="25" t="s">
        <v>746</v>
      </c>
      <c r="G247" s="25">
        <v>500</v>
      </c>
      <c r="H247" s="25"/>
    </row>
    <row r="248" spans="1:8" ht="14">
      <c r="A248" s="25" t="s">
        <v>747</v>
      </c>
      <c r="B248" s="26" t="s">
        <v>58</v>
      </c>
      <c r="C248" s="25" t="str">
        <f t="shared" si="3"/>
        <v>dms</v>
      </c>
      <c r="D248" s="27" t="s">
        <v>13</v>
      </c>
      <c r="E248" s="25" t="s">
        <v>748</v>
      </c>
      <c r="F248" s="25" t="s">
        <v>749</v>
      </c>
      <c r="G248" s="25">
        <v>500</v>
      </c>
      <c r="H248" s="25"/>
    </row>
    <row r="249" spans="1:8" ht="14">
      <c r="A249" s="25" t="s">
        <v>750</v>
      </c>
      <c r="B249" s="26" t="s">
        <v>58</v>
      </c>
      <c r="C249" s="25" t="str">
        <f t="shared" si="3"/>
        <v>dss</v>
      </c>
      <c r="D249" s="27" t="s">
        <v>13</v>
      </c>
      <c r="E249" s="25" t="s">
        <v>751</v>
      </c>
      <c r="F249" s="25" t="s">
        <v>752</v>
      </c>
      <c r="G249" s="25">
        <v>500</v>
      </c>
      <c r="H249" s="25"/>
    </row>
    <row r="250" spans="1:8" ht="14">
      <c r="A250" s="25" t="s">
        <v>753</v>
      </c>
      <c r="B250" s="26" t="s">
        <v>58</v>
      </c>
      <c r="C250" s="25" t="str">
        <f t="shared" si="3"/>
        <v>edc</v>
      </c>
      <c r="D250" s="27" t="s">
        <v>13</v>
      </c>
      <c r="E250" s="25" t="s">
        <v>754</v>
      </c>
      <c r="F250" s="25" t="s">
        <v>755</v>
      </c>
      <c r="G250" s="25">
        <v>500</v>
      </c>
      <c r="H250" s="25"/>
    </row>
    <row r="251" spans="1:8" ht="14">
      <c r="A251" s="25" t="s">
        <v>756</v>
      </c>
      <c r="B251" s="26" t="s">
        <v>58</v>
      </c>
      <c r="C251" s="25" t="str">
        <f t="shared" si="3"/>
        <v>emch</v>
      </c>
      <c r="D251" s="27" t="s">
        <v>13</v>
      </c>
      <c r="E251" s="25" t="s">
        <v>757</v>
      </c>
      <c r="F251" s="25" t="s">
        <v>758</v>
      </c>
      <c r="G251" s="25">
        <v>500</v>
      </c>
      <c r="H251" s="25"/>
    </row>
    <row r="252" spans="1:8" ht="14">
      <c r="A252" s="25" t="s">
        <v>759</v>
      </c>
      <c r="B252" s="26" t="s">
        <v>58</v>
      </c>
      <c r="C252" s="25" t="str">
        <f t="shared" si="3"/>
        <v>emcs</v>
      </c>
      <c r="D252" s="27" t="s">
        <v>13</v>
      </c>
      <c r="E252" s="25" t="s">
        <v>760</v>
      </c>
      <c r="F252" s="25" t="s">
        <v>761</v>
      </c>
      <c r="G252" s="25">
        <v>500</v>
      </c>
      <c r="H252" s="25"/>
    </row>
    <row r="253" spans="1:8" ht="14">
      <c r="A253" s="25" t="s">
        <v>762</v>
      </c>
      <c r="B253" s="26" t="s">
        <v>58</v>
      </c>
      <c r="C253" s="25" t="str">
        <f t="shared" ref="C253:C316" si="4">A253</f>
        <v>gmbs</v>
      </c>
      <c r="D253" s="27" t="s">
        <v>13</v>
      </c>
      <c r="E253" s="25" t="s">
        <v>763</v>
      </c>
      <c r="F253" s="25" t="s">
        <v>764</v>
      </c>
      <c r="G253" s="25">
        <v>500</v>
      </c>
      <c r="H253" s="25"/>
    </row>
    <row r="254" spans="1:8" ht="14">
      <c r="A254" s="25" t="s">
        <v>765</v>
      </c>
      <c r="B254" s="26" t="s">
        <v>58</v>
      </c>
      <c r="C254" s="25" t="str">
        <f t="shared" si="4"/>
        <v>kmuh</v>
      </c>
      <c r="D254" s="27" t="s">
        <v>13</v>
      </c>
      <c r="E254" s="25" t="s">
        <v>766</v>
      </c>
      <c r="F254" s="25" t="s">
        <v>767</v>
      </c>
      <c r="G254" s="25">
        <v>500</v>
      </c>
      <c r="H254" s="25"/>
    </row>
    <row r="255" spans="1:8" ht="14">
      <c r="A255" s="25" t="s">
        <v>768</v>
      </c>
      <c r="B255" s="26" t="s">
        <v>58</v>
      </c>
      <c r="C255" s="25" t="str">
        <f t="shared" si="4"/>
        <v>l_photo_methionine</v>
      </c>
      <c r="D255" s="27" t="s">
        <v>13</v>
      </c>
      <c r="E255" s="25" t="s">
        <v>769</v>
      </c>
      <c r="F255" s="25" t="s">
        <v>770</v>
      </c>
      <c r="G255" s="25">
        <v>500</v>
      </c>
      <c r="H255" s="25"/>
    </row>
    <row r="256" spans="1:8" ht="14">
      <c r="A256" s="25" t="s">
        <v>771</v>
      </c>
      <c r="B256" s="26" t="s">
        <v>58</v>
      </c>
      <c r="C256" s="25" t="str">
        <f t="shared" si="4"/>
        <v>lc_smcc</v>
      </c>
      <c r="D256" s="27" t="s">
        <v>13</v>
      </c>
      <c r="E256" s="25" t="s">
        <v>772</v>
      </c>
      <c r="F256" s="25" t="s">
        <v>773</v>
      </c>
      <c r="G256" s="25">
        <v>500</v>
      </c>
      <c r="H256" s="25"/>
    </row>
    <row r="257" spans="1:8" ht="14">
      <c r="A257" s="25" t="s">
        <v>774</v>
      </c>
      <c r="B257" s="26" t="s">
        <v>58</v>
      </c>
      <c r="C257" s="25" t="str">
        <f t="shared" si="4"/>
        <v>maleimide_peg4_dbco</v>
      </c>
      <c r="D257" s="27" t="s">
        <v>13</v>
      </c>
      <c r="E257" s="25" t="s">
        <v>775</v>
      </c>
      <c r="F257" s="25" t="s">
        <v>776</v>
      </c>
      <c r="G257" s="25">
        <v>500</v>
      </c>
      <c r="H257" s="25"/>
    </row>
    <row r="258" spans="1:8" ht="14">
      <c r="A258" s="25" t="s">
        <v>777</v>
      </c>
      <c r="B258" s="26" t="s">
        <v>58</v>
      </c>
      <c r="C258" s="25" t="str">
        <f t="shared" si="4"/>
        <v>mpbh</v>
      </c>
      <c r="D258" s="27" t="s">
        <v>13</v>
      </c>
      <c r="E258" s="25" t="s">
        <v>778</v>
      </c>
      <c r="F258" s="25" t="s">
        <v>779</v>
      </c>
      <c r="G258" s="25">
        <v>500</v>
      </c>
      <c r="H258" s="25"/>
    </row>
    <row r="259" spans="1:8" ht="14">
      <c r="A259" s="25" t="s">
        <v>780</v>
      </c>
      <c r="B259" s="26" t="s">
        <v>58</v>
      </c>
      <c r="C259" s="25" t="str">
        <f t="shared" si="4"/>
        <v>nhs</v>
      </c>
      <c r="D259" s="27" t="s">
        <v>13</v>
      </c>
      <c r="E259" s="25" t="s">
        <v>781</v>
      </c>
      <c r="F259" s="25" t="s">
        <v>782</v>
      </c>
      <c r="G259" s="25">
        <v>500</v>
      </c>
      <c r="H259" s="25"/>
    </row>
    <row r="260" spans="1:8" ht="14">
      <c r="A260" s="25" t="s">
        <v>783</v>
      </c>
      <c r="B260" s="26" t="s">
        <v>58</v>
      </c>
      <c r="C260" s="25" t="str">
        <f t="shared" si="4"/>
        <v>nhs_azide</v>
      </c>
      <c r="D260" s="27" t="s">
        <v>13</v>
      </c>
      <c r="E260" s="25" t="s">
        <v>784</v>
      </c>
      <c r="F260" s="25" t="s">
        <v>785</v>
      </c>
      <c r="G260" s="25">
        <v>500</v>
      </c>
      <c r="H260" s="25"/>
    </row>
    <row r="261" spans="1:8" ht="14">
      <c r="A261" s="25" t="s">
        <v>786</v>
      </c>
      <c r="B261" s="26" t="s">
        <v>58</v>
      </c>
      <c r="C261" s="25" t="str">
        <f t="shared" si="4"/>
        <v>nhs_peg4_azide</v>
      </c>
      <c r="D261" s="27" t="s">
        <v>13</v>
      </c>
      <c r="E261" s="25" t="s">
        <v>787</v>
      </c>
      <c r="F261" s="25" t="s">
        <v>788</v>
      </c>
      <c r="G261" s="25">
        <v>500</v>
      </c>
      <c r="H261" s="25"/>
    </row>
    <row r="262" spans="1:8" ht="14">
      <c r="A262" s="25" t="s">
        <v>789</v>
      </c>
      <c r="B262" s="26" t="s">
        <v>58</v>
      </c>
      <c r="C262" s="25" t="str">
        <f t="shared" si="4"/>
        <v>nhs_phosphine</v>
      </c>
      <c r="D262" s="27" t="s">
        <v>13</v>
      </c>
      <c r="E262" s="25" t="s">
        <v>790</v>
      </c>
      <c r="F262" s="25" t="s">
        <v>791</v>
      </c>
      <c r="G262" s="25">
        <v>500</v>
      </c>
      <c r="H262" s="25"/>
    </row>
    <row r="263" spans="1:8" ht="14">
      <c r="A263" s="25" t="s">
        <v>792</v>
      </c>
      <c r="B263" s="26" t="s">
        <v>58</v>
      </c>
      <c r="C263" s="25" t="str">
        <f t="shared" si="4"/>
        <v>pmpi</v>
      </c>
      <c r="D263" s="27" t="s">
        <v>13</v>
      </c>
      <c r="E263" s="25" t="s">
        <v>793</v>
      </c>
      <c r="F263" s="25" t="s">
        <v>794</v>
      </c>
      <c r="G263" s="25">
        <v>500</v>
      </c>
      <c r="H263" s="25"/>
    </row>
    <row r="264" spans="1:8" ht="14">
      <c r="A264" s="25" t="s">
        <v>795</v>
      </c>
      <c r="B264" s="26" t="s">
        <v>58</v>
      </c>
      <c r="C264" s="25" t="str">
        <f t="shared" si="4"/>
        <v>sbap</v>
      </c>
      <c r="D264" s="27" t="s">
        <v>13</v>
      </c>
      <c r="E264" s="25" t="s">
        <v>796</v>
      </c>
      <c r="F264" s="25" t="s">
        <v>797</v>
      </c>
      <c r="G264" s="25">
        <v>500</v>
      </c>
      <c r="H264" s="25"/>
    </row>
    <row r="265" spans="1:8" ht="14">
      <c r="A265" s="25" t="s">
        <v>798</v>
      </c>
      <c r="B265" s="26" t="s">
        <v>58</v>
      </c>
      <c r="C265" s="25" t="str">
        <f t="shared" si="4"/>
        <v>sda</v>
      </c>
      <c r="D265" s="27" t="s">
        <v>13</v>
      </c>
      <c r="E265" s="25" t="s">
        <v>799</v>
      </c>
      <c r="F265" s="25" t="s">
        <v>800</v>
      </c>
      <c r="G265" s="25">
        <v>500</v>
      </c>
      <c r="H265" s="25"/>
    </row>
    <row r="266" spans="1:8" ht="14">
      <c r="A266" s="25" t="s">
        <v>801</v>
      </c>
      <c r="B266" s="26" t="s">
        <v>58</v>
      </c>
      <c r="C266" s="25" t="str">
        <f t="shared" si="4"/>
        <v>sia</v>
      </c>
      <c r="D266" s="27" t="s">
        <v>13</v>
      </c>
      <c r="E266" s="25" t="s">
        <v>802</v>
      </c>
      <c r="F266" s="25" t="s">
        <v>803</v>
      </c>
      <c r="G266" s="25">
        <v>500</v>
      </c>
      <c r="H266" s="25"/>
    </row>
    <row r="267" spans="1:8" ht="14">
      <c r="A267" s="25" t="s">
        <v>804</v>
      </c>
      <c r="B267" s="26" t="s">
        <v>58</v>
      </c>
      <c r="C267" s="25" t="str">
        <f t="shared" si="4"/>
        <v>smpb</v>
      </c>
      <c r="D267" s="27" t="s">
        <v>13</v>
      </c>
      <c r="E267" s="25" t="s">
        <v>805</v>
      </c>
      <c r="F267" s="25" t="s">
        <v>806</v>
      </c>
      <c r="G267" s="25">
        <v>500</v>
      </c>
      <c r="H267" s="25"/>
    </row>
    <row r="268" spans="1:8" ht="14">
      <c r="A268" s="25" t="s">
        <v>807</v>
      </c>
      <c r="B268" s="26" t="s">
        <v>58</v>
      </c>
      <c r="C268" s="25" t="str">
        <f t="shared" si="4"/>
        <v>smph</v>
      </c>
      <c r="D268" s="27" t="s">
        <v>13</v>
      </c>
      <c r="E268" s="25" t="s">
        <v>808</v>
      </c>
      <c r="F268" s="25" t="s">
        <v>809</v>
      </c>
      <c r="G268" s="25">
        <v>500</v>
      </c>
      <c r="H268" s="25"/>
    </row>
    <row r="269" spans="1:8" ht="14">
      <c r="A269" s="25" t="s">
        <v>810</v>
      </c>
      <c r="B269" s="26" t="s">
        <v>58</v>
      </c>
      <c r="C269" s="25" t="str">
        <f t="shared" si="4"/>
        <v>spb</v>
      </c>
      <c r="D269" s="27" t="s">
        <v>13</v>
      </c>
      <c r="E269" s="25" t="s">
        <v>811</v>
      </c>
      <c r="F269" s="25" t="s">
        <v>812</v>
      </c>
      <c r="G269" s="25">
        <v>500</v>
      </c>
      <c r="H269" s="25"/>
    </row>
    <row r="270" spans="1:8" ht="14">
      <c r="A270" s="25" t="s">
        <v>813</v>
      </c>
      <c r="B270" s="26" t="s">
        <v>58</v>
      </c>
      <c r="C270" s="25" t="str">
        <f t="shared" si="4"/>
        <v>sulfo_emcs</v>
      </c>
      <c r="D270" s="27" t="s">
        <v>13</v>
      </c>
      <c r="E270" s="25" t="s">
        <v>814</v>
      </c>
      <c r="F270" s="25" t="s">
        <v>815</v>
      </c>
      <c r="G270" s="25">
        <v>500</v>
      </c>
      <c r="H270" s="25"/>
    </row>
    <row r="271" spans="1:8" ht="14">
      <c r="A271" s="25" t="s">
        <v>816</v>
      </c>
      <c r="B271" s="26" t="s">
        <v>58</v>
      </c>
      <c r="C271" s="25" t="str">
        <f t="shared" si="4"/>
        <v>sulfo_kmus</v>
      </c>
      <c r="D271" s="27" t="s">
        <v>13</v>
      </c>
      <c r="E271" s="25" t="s">
        <v>817</v>
      </c>
      <c r="F271" s="25" t="s">
        <v>818</v>
      </c>
      <c r="G271" s="25">
        <v>500</v>
      </c>
      <c r="H271" s="25"/>
    </row>
    <row r="272" spans="1:8" ht="14">
      <c r="A272" s="25" t="s">
        <v>819</v>
      </c>
      <c r="B272" s="26" t="s">
        <v>58</v>
      </c>
      <c r="C272" s="25" t="str">
        <f t="shared" si="4"/>
        <v>sulfo_lc_sda</v>
      </c>
      <c r="D272" s="27" t="s">
        <v>13</v>
      </c>
      <c r="E272" s="25" t="s">
        <v>820</v>
      </c>
      <c r="F272" s="25" t="s">
        <v>821</v>
      </c>
      <c r="G272" s="25">
        <v>500</v>
      </c>
      <c r="H272" s="25"/>
    </row>
    <row r="273" spans="1:8" ht="14">
      <c r="A273" s="25" t="s">
        <v>822</v>
      </c>
      <c r="B273" s="26" t="s">
        <v>58</v>
      </c>
      <c r="C273" s="25" t="str">
        <f t="shared" si="4"/>
        <v>sulfo_mbs</v>
      </c>
      <c r="D273" s="27" t="s">
        <v>13</v>
      </c>
      <c r="E273" s="25" t="s">
        <v>823</v>
      </c>
      <c r="F273" s="25" t="s">
        <v>824</v>
      </c>
      <c r="G273" s="25">
        <v>500</v>
      </c>
      <c r="H273" s="25"/>
    </row>
    <row r="274" spans="1:8" ht="14">
      <c r="A274" s="25" t="s">
        <v>825</v>
      </c>
      <c r="B274" s="26" t="s">
        <v>58</v>
      </c>
      <c r="C274" s="25" t="str">
        <f t="shared" si="4"/>
        <v>sulfo_sda</v>
      </c>
      <c r="D274" s="27" t="s">
        <v>13</v>
      </c>
      <c r="E274" s="25" t="s">
        <v>826</v>
      </c>
      <c r="F274" s="25" t="s">
        <v>827</v>
      </c>
      <c r="G274" s="25">
        <v>500</v>
      </c>
      <c r="H274" s="25"/>
    </row>
    <row r="275" spans="1:8" ht="14">
      <c r="A275" s="25" t="s">
        <v>828</v>
      </c>
      <c r="B275" s="26" t="s">
        <v>58</v>
      </c>
      <c r="C275" s="25" t="str">
        <f t="shared" si="4"/>
        <v>sulfo_siab</v>
      </c>
      <c r="D275" s="27" t="s">
        <v>13</v>
      </c>
      <c r="E275" s="25" t="s">
        <v>829</v>
      </c>
      <c r="F275" s="25" t="s">
        <v>830</v>
      </c>
      <c r="G275" s="25">
        <v>500</v>
      </c>
      <c r="H275" s="25"/>
    </row>
    <row r="276" spans="1:8" ht="14">
      <c r="A276" s="25" t="s">
        <v>831</v>
      </c>
      <c r="B276" s="26" t="s">
        <v>58</v>
      </c>
      <c r="C276" s="25" t="str">
        <f t="shared" si="4"/>
        <v>sulfo_smcc</v>
      </c>
      <c r="D276" s="27" t="s">
        <v>13</v>
      </c>
      <c r="E276" s="25" t="s">
        <v>832</v>
      </c>
      <c r="F276" s="25" t="s">
        <v>833</v>
      </c>
      <c r="G276" s="25">
        <v>500</v>
      </c>
      <c r="H276" s="25"/>
    </row>
    <row r="277" spans="1:8" ht="14">
      <c r="A277" s="25" t="s">
        <v>834</v>
      </c>
      <c r="B277" s="26" t="s">
        <v>58</v>
      </c>
      <c r="C277" s="25" t="str">
        <f t="shared" si="4"/>
        <v>sulfo_smpb</v>
      </c>
      <c r="D277" s="27" t="s">
        <v>13</v>
      </c>
      <c r="E277" s="25" t="s">
        <v>835</v>
      </c>
      <c r="F277" s="25" t="s">
        <v>836</v>
      </c>
      <c r="G277" s="25">
        <v>500</v>
      </c>
      <c r="H277" s="25"/>
    </row>
    <row r="278" spans="1:8" ht="14">
      <c r="A278" s="25" t="s">
        <v>837</v>
      </c>
      <c r="B278" s="26" t="s">
        <v>58</v>
      </c>
      <c r="C278" s="25" t="str">
        <f t="shared" si="4"/>
        <v>tbdspp</v>
      </c>
      <c r="D278" s="27" t="s">
        <v>13</v>
      </c>
      <c r="E278" s="25" t="s">
        <v>838</v>
      </c>
      <c r="F278" s="25" t="s">
        <v>839</v>
      </c>
      <c r="G278" s="25">
        <v>500</v>
      </c>
      <c r="H278" s="25"/>
    </row>
    <row r="279" spans="1:8" ht="14">
      <c r="A279" s="25" t="s">
        <v>840</v>
      </c>
      <c r="B279" s="26" t="s">
        <v>58</v>
      </c>
      <c r="C279" s="25" t="str">
        <f t="shared" si="4"/>
        <v>tfpester_peg12_dbco</v>
      </c>
      <c r="D279" s="27" t="s">
        <v>13</v>
      </c>
      <c r="E279" s="25" t="s">
        <v>841</v>
      </c>
      <c r="F279" s="25" t="s">
        <v>842</v>
      </c>
      <c r="G279" s="25">
        <v>500</v>
      </c>
      <c r="H279" s="25"/>
    </row>
    <row r="280" spans="1:8" ht="14">
      <c r="A280" s="25" t="s">
        <v>843</v>
      </c>
      <c r="B280" s="26" t="s">
        <v>58</v>
      </c>
      <c r="C280" s="25" t="str">
        <f t="shared" si="4"/>
        <v>tfpester_peg4_dbco</v>
      </c>
      <c r="D280" s="27" t="s">
        <v>13</v>
      </c>
      <c r="E280" s="25" t="s">
        <v>844</v>
      </c>
      <c r="F280" s="25" t="s">
        <v>845</v>
      </c>
      <c r="G280" s="25">
        <v>500</v>
      </c>
      <c r="H280" s="25"/>
    </row>
    <row r="281" spans="1:8" ht="14">
      <c r="A281" s="25" t="s">
        <v>846</v>
      </c>
      <c r="B281" s="26" t="s">
        <v>58</v>
      </c>
      <c r="C281" s="25" t="str">
        <f t="shared" si="4"/>
        <v>tmea</v>
      </c>
      <c r="D281" s="27" t="s">
        <v>13</v>
      </c>
      <c r="E281" s="25" t="s">
        <v>847</v>
      </c>
      <c r="F281" s="25" t="s">
        <v>848</v>
      </c>
      <c r="G281" s="25">
        <v>500</v>
      </c>
      <c r="H281" s="25"/>
    </row>
    <row r="282" spans="1:8" ht="14">
      <c r="A282" s="25" t="s">
        <v>849</v>
      </c>
      <c r="B282" s="26" t="s">
        <v>58</v>
      </c>
      <c r="C282" s="25" t="str">
        <f t="shared" si="4"/>
        <v>tsat</v>
      </c>
      <c r="D282" s="27" t="s">
        <v>13</v>
      </c>
      <c r="E282" s="25" t="s">
        <v>850</v>
      </c>
      <c r="F282" s="25" t="s">
        <v>851</v>
      </c>
      <c r="G282" s="25">
        <v>500</v>
      </c>
      <c r="H282" s="25"/>
    </row>
    <row r="283" spans="1:8" ht="14">
      <c r="A283" s="25" t="s">
        <v>852</v>
      </c>
      <c r="B283" s="26" t="s">
        <v>60</v>
      </c>
      <c r="C283" s="25" t="str">
        <f t="shared" si="4"/>
        <v>dsp</v>
      </c>
      <c r="D283" s="27" t="s">
        <v>13</v>
      </c>
      <c r="E283" s="25" t="s">
        <v>853</v>
      </c>
      <c r="F283" s="25" t="s">
        <v>854</v>
      </c>
      <c r="G283" s="25">
        <v>500</v>
      </c>
      <c r="H283" s="25"/>
    </row>
    <row r="284" spans="1:8" ht="14">
      <c r="A284" s="25" t="s">
        <v>855</v>
      </c>
      <c r="B284" s="26" t="s">
        <v>60</v>
      </c>
      <c r="C284" s="25" t="str">
        <f t="shared" si="4"/>
        <v>dtbp</v>
      </c>
      <c r="D284" s="27" t="s">
        <v>13</v>
      </c>
      <c r="E284" s="25" t="s">
        <v>856</v>
      </c>
      <c r="F284" s="25" t="s">
        <v>857</v>
      </c>
      <c r="G284" s="25">
        <v>500</v>
      </c>
      <c r="H284" s="25"/>
    </row>
    <row r="285" spans="1:8" ht="14">
      <c r="A285" s="25" t="s">
        <v>858</v>
      </c>
      <c r="B285" s="26" t="s">
        <v>60</v>
      </c>
      <c r="C285" s="25" t="str">
        <f t="shared" si="4"/>
        <v>dtme</v>
      </c>
      <c r="D285" s="27" t="s">
        <v>13</v>
      </c>
      <c r="E285" s="25" t="s">
        <v>859</v>
      </c>
      <c r="F285" s="25" t="s">
        <v>860</v>
      </c>
      <c r="G285" s="25">
        <v>500</v>
      </c>
      <c r="H285" s="25"/>
    </row>
    <row r="286" spans="1:8" ht="14">
      <c r="A286" s="25" t="s">
        <v>861</v>
      </c>
      <c r="B286" s="26" t="s">
        <v>60</v>
      </c>
      <c r="C286" s="25" t="str">
        <f t="shared" si="4"/>
        <v>dtssp</v>
      </c>
      <c r="D286" s="27" t="s">
        <v>13</v>
      </c>
      <c r="E286" s="25" t="s">
        <v>862</v>
      </c>
      <c r="F286" s="25" t="s">
        <v>863</v>
      </c>
      <c r="G286" s="25">
        <v>500</v>
      </c>
      <c r="H286" s="25"/>
    </row>
    <row r="287" spans="1:8" ht="14">
      <c r="A287" s="25" t="s">
        <v>864</v>
      </c>
      <c r="B287" s="26" t="s">
        <v>60</v>
      </c>
      <c r="C287" s="25" t="str">
        <f t="shared" si="4"/>
        <v>lc_spdp</v>
      </c>
      <c r="D287" s="27" t="s">
        <v>13</v>
      </c>
      <c r="E287" s="25" t="s">
        <v>865</v>
      </c>
      <c r="F287" s="25" t="s">
        <v>866</v>
      </c>
      <c r="G287" s="25">
        <v>500</v>
      </c>
      <c r="H287" s="25"/>
    </row>
    <row r="288" spans="1:8" ht="14">
      <c r="A288" s="25" t="s">
        <v>867</v>
      </c>
      <c r="B288" s="26" t="s">
        <v>60</v>
      </c>
      <c r="C288" s="25" t="str">
        <f t="shared" si="4"/>
        <v>pdph</v>
      </c>
      <c r="D288" s="27" t="s">
        <v>13</v>
      </c>
      <c r="E288" s="25" t="s">
        <v>868</v>
      </c>
      <c r="F288" s="25" t="s">
        <v>869</v>
      </c>
      <c r="G288" s="25">
        <v>500</v>
      </c>
      <c r="H288" s="25"/>
    </row>
    <row r="289" spans="1:8" ht="14">
      <c r="A289" s="25" t="s">
        <v>870</v>
      </c>
      <c r="B289" s="26" t="s">
        <v>60</v>
      </c>
      <c r="C289" s="25" t="str">
        <f t="shared" si="4"/>
        <v>peg12_spdp</v>
      </c>
      <c r="D289" s="27" t="s">
        <v>13</v>
      </c>
      <c r="E289" s="25" t="s">
        <v>871</v>
      </c>
      <c r="F289" s="25" t="s">
        <v>872</v>
      </c>
      <c r="G289" s="25">
        <v>500</v>
      </c>
      <c r="H289" s="25"/>
    </row>
    <row r="290" spans="1:8" ht="14">
      <c r="A290" s="25" t="s">
        <v>873</v>
      </c>
      <c r="B290" s="26" t="s">
        <v>60</v>
      </c>
      <c r="C290" s="25" t="str">
        <f t="shared" si="4"/>
        <v>peg4_spdp</v>
      </c>
      <c r="D290" s="27" t="s">
        <v>13</v>
      </c>
      <c r="E290" s="25" t="s">
        <v>874</v>
      </c>
      <c r="F290" s="25" t="s">
        <v>875</v>
      </c>
      <c r="G290" s="25">
        <v>500</v>
      </c>
      <c r="H290" s="25"/>
    </row>
    <row r="291" spans="1:8" ht="14">
      <c r="A291" s="25" t="s">
        <v>876</v>
      </c>
      <c r="B291" s="26" t="s">
        <v>60</v>
      </c>
      <c r="C291" s="25" t="str">
        <f t="shared" si="4"/>
        <v>sdad</v>
      </c>
      <c r="D291" s="27" t="s">
        <v>13</v>
      </c>
      <c r="E291" s="25" t="s">
        <v>877</v>
      </c>
      <c r="F291" s="25" t="s">
        <v>878</v>
      </c>
      <c r="G291" s="25">
        <v>500</v>
      </c>
      <c r="H291" s="25"/>
    </row>
    <row r="292" spans="1:8" ht="14">
      <c r="A292" s="25" t="s">
        <v>879</v>
      </c>
      <c r="B292" s="26" t="s">
        <v>60</v>
      </c>
      <c r="C292" s="25" t="str">
        <f t="shared" si="4"/>
        <v>smcc</v>
      </c>
      <c r="D292" s="27" t="s">
        <v>13</v>
      </c>
      <c r="E292" s="25" t="s">
        <v>880</v>
      </c>
      <c r="F292" s="25" t="s">
        <v>881</v>
      </c>
      <c r="G292" s="25">
        <v>500</v>
      </c>
      <c r="H292" s="25"/>
    </row>
    <row r="293" spans="1:8" ht="14">
      <c r="A293" s="25" t="s">
        <v>882</v>
      </c>
      <c r="B293" s="26" t="s">
        <v>60</v>
      </c>
      <c r="C293" s="25" t="str">
        <f t="shared" si="4"/>
        <v>smpt</v>
      </c>
      <c r="D293" s="27" t="s">
        <v>13</v>
      </c>
      <c r="E293" s="25" t="s">
        <v>883</v>
      </c>
      <c r="F293" s="25" t="s">
        <v>884</v>
      </c>
      <c r="G293" s="25">
        <v>500</v>
      </c>
      <c r="H293" s="25"/>
    </row>
    <row r="294" spans="1:8" ht="14">
      <c r="A294" s="25" t="s">
        <v>885</v>
      </c>
      <c r="B294" s="26" t="s">
        <v>60</v>
      </c>
      <c r="C294" s="25" t="str">
        <f t="shared" si="4"/>
        <v>spdp</v>
      </c>
      <c r="D294" s="27" t="s">
        <v>13</v>
      </c>
      <c r="E294" s="25" t="s">
        <v>886</v>
      </c>
      <c r="F294" s="25" t="s">
        <v>887</v>
      </c>
      <c r="G294" s="25">
        <v>500</v>
      </c>
      <c r="H294" s="25"/>
    </row>
    <row r="295" spans="1:8" ht="14">
      <c r="A295" s="25" t="s">
        <v>888</v>
      </c>
      <c r="B295" s="26" t="s">
        <v>60</v>
      </c>
      <c r="C295" s="25" t="str">
        <f t="shared" si="4"/>
        <v>sulfo_lc_spdp</v>
      </c>
      <c r="D295" s="27" t="s">
        <v>13</v>
      </c>
      <c r="E295" s="25" t="s">
        <v>889</v>
      </c>
      <c r="F295" s="25" t="s">
        <v>890</v>
      </c>
      <c r="G295" s="25">
        <v>500</v>
      </c>
      <c r="H295" s="25"/>
    </row>
    <row r="296" spans="1:8" ht="14">
      <c r="A296" s="25" t="s">
        <v>891</v>
      </c>
      <c r="B296" s="26" t="s">
        <v>60</v>
      </c>
      <c r="C296" s="25" t="str">
        <f t="shared" si="4"/>
        <v>sulfo_sanpah</v>
      </c>
      <c r="D296" s="27" t="s">
        <v>13</v>
      </c>
      <c r="E296" s="25" t="s">
        <v>892</v>
      </c>
      <c r="F296" s="25" t="s">
        <v>893</v>
      </c>
      <c r="G296" s="25">
        <v>500</v>
      </c>
      <c r="H296" s="25"/>
    </row>
    <row r="297" spans="1:8" ht="14">
      <c r="A297" s="25" t="s">
        <v>894</v>
      </c>
      <c r="B297" s="26" t="s">
        <v>60</v>
      </c>
      <c r="C297" s="25" t="str">
        <f t="shared" si="4"/>
        <v>sulfo_sdad</v>
      </c>
      <c r="D297" s="27" t="s">
        <v>13</v>
      </c>
      <c r="E297" s="25" t="s">
        <v>895</v>
      </c>
      <c r="F297" s="25" t="s">
        <v>896</v>
      </c>
      <c r="G297" s="25">
        <v>500</v>
      </c>
      <c r="H297" s="25"/>
    </row>
    <row r="298" spans="1:8" ht="14">
      <c r="A298" s="25" t="s">
        <v>897</v>
      </c>
      <c r="B298" s="26" t="s">
        <v>898</v>
      </c>
      <c r="C298" s="25" t="str">
        <f t="shared" si="4"/>
        <v>database_orf_search</v>
      </c>
      <c r="D298" s="27" t="s">
        <v>13</v>
      </c>
      <c r="E298" s="25" t="s">
        <v>899</v>
      </c>
      <c r="F298" s="25" t="s">
        <v>900</v>
      </c>
      <c r="G298" s="25">
        <v>500</v>
      </c>
      <c r="H298" s="25"/>
    </row>
    <row r="299" spans="1:8" ht="14">
      <c r="A299" s="25" t="s">
        <v>901</v>
      </c>
      <c r="B299" s="26" t="s">
        <v>898</v>
      </c>
      <c r="C299" s="25" t="str">
        <f t="shared" si="4"/>
        <v>database_search</v>
      </c>
      <c r="D299" s="27" t="s">
        <v>13</v>
      </c>
      <c r="E299" s="25" t="s">
        <v>902</v>
      </c>
      <c r="F299" s="25" t="s">
        <v>903</v>
      </c>
      <c r="G299" s="25">
        <v>500</v>
      </c>
      <c r="H299" s="25"/>
    </row>
    <row r="300" spans="1:8" ht="14">
      <c r="A300" s="25" t="s">
        <v>904</v>
      </c>
      <c r="B300" s="26" t="s">
        <v>898</v>
      </c>
      <c r="C300" s="25" t="str">
        <f t="shared" si="4"/>
        <v>de_novo</v>
      </c>
      <c r="D300" s="27" t="s">
        <v>13</v>
      </c>
      <c r="E300" s="25" t="s">
        <v>905</v>
      </c>
      <c r="F300" s="25" t="s">
        <v>905</v>
      </c>
      <c r="G300" s="25">
        <v>500</v>
      </c>
      <c r="H300" s="25"/>
    </row>
    <row r="301" spans="1:8" ht="14">
      <c r="A301" s="25" t="s">
        <v>906</v>
      </c>
      <c r="B301" s="26" t="s">
        <v>63</v>
      </c>
      <c r="C301" s="25" t="str">
        <f t="shared" si="4"/>
        <v>chaps</v>
      </c>
      <c r="D301" s="27" t="s">
        <v>13</v>
      </c>
      <c r="E301" s="25" t="s">
        <v>907</v>
      </c>
      <c r="F301" s="25" t="s">
        <v>908</v>
      </c>
      <c r="G301" s="25">
        <v>500</v>
      </c>
      <c r="H301" s="25"/>
    </row>
    <row r="302" spans="1:8" ht="14">
      <c r="A302" s="25" t="s">
        <v>909</v>
      </c>
      <c r="B302" s="26" t="s">
        <v>63</v>
      </c>
      <c r="C302" s="25" t="str">
        <f t="shared" si="4"/>
        <v>dmm</v>
      </c>
      <c r="D302" s="27" t="s">
        <v>13</v>
      </c>
      <c r="E302" s="25" t="s">
        <v>910</v>
      </c>
      <c r="F302" s="25" t="s">
        <v>911</v>
      </c>
      <c r="G302" s="25">
        <v>500</v>
      </c>
      <c r="H302" s="25"/>
    </row>
    <row r="303" spans="1:8" ht="14">
      <c r="A303" s="25" t="s">
        <v>912</v>
      </c>
      <c r="B303" s="26" t="s">
        <v>63</v>
      </c>
      <c r="C303" s="25" t="str">
        <f t="shared" si="4"/>
        <v>np40</v>
      </c>
      <c r="D303" s="27" t="s">
        <v>13</v>
      </c>
      <c r="E303" s="25" t="s">
        <v>913</v>
      </c>
      <c r="F303" s="25" t="s">
        <v>914</v>
      </c>
      <c r="G303" s="25">
        <v>500</v>
      </c>
      <c r="H303" s="25"/>
    </row>
    <row r="304" spans="1:8" ht="14">
      <c r="A304" s="25" t="s">
        <v>915</v>
      </c>
      <c r="B304" s="26" t="s">
        <v>63</v>
      </c>
      <c r="C304" s="25" t="str">
        <f t="shared" si="4"/>
        <v>og</v>
      </c>
      <c r="D304" s="27" t="s">
        <v>13</v>
      </c>
      <c r="E304" s="25" t="s">
        <v>916</v>
      </c>
      <c r="F304" s="25" t="s">
        <v>917</v>
      </c>
      <c r="G304" s="25">
        <v>500</v>
      </c>
      <c r="H304" s="25"/>
    </row>
    <row r="305" spans="1:8" ht="14">
      <c r="A305" s="25" t="s">
        <v>918</v>
      </c>
      <c r="B305" s="26" t="s">
        <v>63</v>
      </c>
      <c r="C305" s="25" t="str">
        <f t="shared" si="4"/>
        <v>otg</v>
      </c>
      <c r="D305" s="27" t="s">
        <v>13</v>
      </c>
      <c r="E305" s="25" t="s">
        <v>919</v>
      </c>
      <c r="F305" s="25" t="s">
        <v>920</v>
      </c>
      <c r="G305" s="25">
        <v>500</v>
      </c>
      <c r="H305" s="25"/>
    </row>
    <row r="306" spans="1:8" ht="14">
      <c r="A306" s="25" t="s">
        <v>921</v>
      </c>
      <c r="B306" s="26" t="s">
        <v>63</v>
      </c>
      <c r="C306" s="25" t="str">
        <f t="shared" si="4"/>
        <v>sds</v>
      </c>
      <c r="D306" s="27" t="s">
        <v>13</v>
      </c>
      <c r="E306" s="25" t="s">
        <v>922</v>
      </c>
      <c r="F306" s="25" t="s">
        <v>923</v>
      </c>
      <c r="G306" s="25">
        <v>500</v>
      </c>
      <c r="H306" s="25"/>
    </row>
    <row r="307" spans="1:8" ht="14">
      <c r="A307" s="25" t="s">
        <v>924</v>
      </c>
      <c r="B307" s="26" t="s">
        <v>63</v>
      </c>
      <c r="C307" s="25" t="str">
        <f t="shared" si="4"/>
        <v>tritonx100</v>
      </c>
      <c r="D307" s="27" t="s">
        <v>13</v>
      </c>
      <c r="E307" s="25" t="s">
        <v>925</v>
      </c>
      <c r="F307" s="25" t="s">
        <v>926</v>
      </c>
      <c r="G307" s="25">
        <v>500</v>
      </c>
      <c r="H307" s="25"/>
    </row>
    <row r="308" spans="1:8" ht="14">
      <c r="A308" s="25" t="s">
        <v>927</v>
      </c>
      <c r="B308" s="26" t="s">
        <v>63</v>
      </c>
      <c r="C308" s="25" t="str">
        <f t="shared" si="4"/>
        <v>tween20</v>
      </c>
      <c r="D308" s="27" t="s">
        <v>13</v>
      </c>
      <c r="E308" s="25" t="s">
        <v>928</v>
      </c>
      <c r="F308" s="25" t="s">
        <v>929</v>
      </c>
      <c r="G308" s="25">
        <v>500</v>
      </c>
      <c r="H308" s="25"/>
    </row>
    <row r="309" spans="1:8" ht="14">
      <c r="A309" s="25" t="s">
        <v>930</v>
      </c>
      <c r="B309" s="26" t="s">
        <v>63</v>
      </c>
      <c r="C309" s="25" t="str">
        <f t="shared" si="4"/>
        <v>tween80</v>
      </c>
      <c r="D309" s="27" t="s">
        <v>13</v>
      </c>
      <c r="E309" s="25" t="s">
        <v>931</v>
      </c>
      <c r="F309" s="25" t="s">
        <v>932</v>
      </c>
      <c r="G309" s="25">
        <v>500</v>
      </c>
      <c r="H309" s="25"/>
    </row>
    <row r="310" spans="1:8" ht="14">
      <c r="A310" s="25">
        <v>1200</v>
      </c>
      <c r="B310" s="26" t="s">
        <v>67</v>
      </c>
      <c r="C310" s="25">
        <f t="shared" si="4"/>
        <v>1200</v>
      </c>
      <c r="D310" s="27" t="s">
        <v>13</v>
      </c>
      <c r="E310" s="25">
        <v>1200</v>
      </c>
      <c r="F310" s="27" t="s">
        <v>13</v>
      </c>
      <c r="G310" s="25">
        <v>500</v>
      </c>
      <c r="H310" s="25"/>
    </row>
    <row r="311" spans="1:8" ht="14">
      <c r="A311" s="25">
        <v>800</v>
      </c>
      <c r="B311" s="26" t="s">
        <v>67</v>
      </c>
      <c r="C311" s="25">
        <f t="shared" si="4"/>
        <v>800</v>
      </c>
      <c r="D311" s="27" t="s">
        <v>13</v>
      </c>
      <c r="E311" s="25">
        <v>800</v>
      </c>
      <c r="F311" s="27" t="s">
        <v>13</v>
      </c>
      <c r="G311" s="25">
        <v>500</v>
      </c>
      <c r="H311" s="25"/>
    </row>
    <row r="312" spans="1:8" ht="14">
      <c r="A312" s="25">
        <v>400</v>
      </c>
      <c r="B312" s="26" t="s">
        <v>69</v>
      </c>
      <c r="C312" s="25">
        <f t="shared" si="4"/>
        <v>400</v>
      </c>
      <c r="D312" s="27" t="s">
        <v>13</v>
      </c>
      <c r="E312" s="25">
        <v>400</v>
      </c>
      <c r="F312" s="27" t="s">
        <v>13</v>
      </c>
      <c r="G312" s="25">
        <v>500</v>
      </c>
      <c r="H312" s="25"/>
    </row>
    <row r="313" spans="1:8" ht="14">
      <c r="A313" s="25">
        <v>30</v>
      </c>
      <c r="B313" s="26" t="s">
        <v>68</v>
      </c>
      <c r="C313" s="25">
        <f t="shared" si="4"/>
        <v>30</v>
      </c>
      <c r="D313" s="27" t="s">
        <v>13</v>
      </c>
      <c r="E313" s="25">
        <v>30</v>
      </c>
      <c r="F313" s="25" t="s">
        <v>933</v>
      </c>
      <c r="G313" s="25">
        <v>500</v>
      </c>
      <c r="H313" s="25"/>
    </row>
    <row r="314" spans="1:8" ht="14">
      <c r="A314" s="25">
        <v>34</v>
      </c>
      <c r="B314" s="26" t="s">
        <v>68</v>
      </c>
      <c r="C314" s="25">
        <f t="shared" si="4"/>
        <v>34</v>
      </c>
      <c r="D314" s="27" t="s">
        <v>13</v>
      </c>
      <c r="E314" s="25">
        <v>30</v>
      </c>
      <c r="F314" s="25" t="s">
        <v>3052</v>
      </c>
      <c r="G314" s="25">
        <v>500</v>
      </c>
      <c r="H314" s="25"/>
    </row>
    <row r="315" spans="1:8" ht="14">
      <c r="A315" s="25">
        <v>40</v>
      </c>
      <c r="B315" s="26" t="s">
        <v>68</v>
      </c>
      <c r="C315" s="25">
        <f t="shared" si="4"/>
        <v>40</v>
      </c>
      <c r="D315" s="27" t="s">
        <v>13</v>
      </c>
      <c r="E315" s="25">
        <v>40</v>
      </c>
      <c r="F315" s="25" t="s">
        <v>934</v>
      </c>
      <c r="G315" s="25">
        <v>500</v>
      </c>
      <c r="H315" s="25"/>
    </row>
    <row r="316" spans="1:8" ht="14">
      <c r="A316" s="25" t="s">
        <v>935</v>
      </c>
      <c r="B316" s="26" t="s">
        <v>23</v>
      </c>
      <c r="C316" s="25" t="str">
        <f t="shared" si="4"/>
        <v>fasp</v>
      </c>
      <c r="D316" s="27" t="s">
        <v>13</v>
      </c>
      <c r="E316" s="25" t="s">
        <v>936</v>
      </c>
      <c r="F316" s="25" t="s">
        <v>937</v>
      </c>
      <c r="G316" s="25">
        <v>500</v>
      </c>
      <c r="H316" s="25"/>
    </row>
    <row r="317" spans="1:8" ht="14">
      <c r="A317" s="25" t="s">
        <v>938</v>
      </c>
      <c r="B317" s="26" t="s">
        <v>23</v>
      </c>
      <c r="C317" s="25" t="str">
        <f t="shared" ref="C317:C371" si="5">A317</f>
        <v>ingel</v>
      </c>
      <c r="D317" s="27" t="s">
        <v>13</v>
      </c>
      <c r="E317" s="25" t="s">
        <v>939</v>
      </c>
      <c r="F317" s="25" t="s">
        <v>940</v>
      </c>
      <c r="G317" s="25">
        <v>500</v>
      </c>
      <c r="H317" s="25"/>
    </row>
    <row r="318" spans="1:8" ht="14">
      <c r="A318" s="25" t="s">
        <v>941</v>
      </c>
      <c r="B318" s="26" t="s">
        <v>23</v>
      </c>
      <c r="C318" s="25" t="str">
        <f t="shared" si="5"/>
        <v>insol</v>
      </c>
      <c r="D318" s="27" t="s">
        <v>13</v>
      </c>
      <c r="E318" s="25" t="s">
        <v>942</v>
      </c>
      <c r="F318" s="25" t="s">
        <v>943</v>
      </c>
      <c r="G318" s="25">
        <v>500</v>
      </c>
      <c r="H318" s="25"/>
    </row>
    <row r="319" spans="1:8" ht="14">
      <c r="A319" s="25" t="s">
        <v>944</v>
      </c>
      <c r="B319" s="26" t="s">
        <v>23</v>
      </c>
      <c r="C319" s="25" t="str">
        <f t="shared" si="5"/>
        <v>sp3</v>
      </c>
      <c r="D319" s="27" t="s">
        <v>13</v>
      </c>
      <c r="E319" s="25" t="s">
        <v>945</v>
      </c>
      <c r="F319" s="25" t="s">
        <v>946</v>
      </c>
      <c r="G319" s="25">
        <v>500</v>
      </c>
      <c r="H319" s="25"/>
    </row>
    <row r="320" spans="1:8" ht="14">
      <c r="A320" s="25" t="s">
        <v>947</v>
      </c>
      <c r="B320" s="26" t="s">
        <v>71</v>
      </c>
      <c r="C320" s="25" t="str">
        <f t="shared" si="5"/>
        <v>384well_plate</v>
      </c>
      <c r="D320" s="27" t="s">
        <v>13</v>
      </c>
      <c r="E320" s="25" t="s">
        <v>948</v>
      </c>
      <c r="F320" s="25" t="s">
        <v>948</v>
      </c>
      <c r="G320" s="25">
        <v>500</v>
      </c>
      <c r="H320" s="25"/>
    </row>
    <row r="321" spans="1:8" ht="14">
      <c r="A321" s="25" t="s">
        <v>949</v>
      </c>
      <c r="B321" s="26" t="s">
        <v>71</v>
      </c>
      <c r="C321" s="25" t="str">
        <f t="shared" si="5"/>
        <v>96well_plate</v>
      </c>
      <c r="D321" s="27" t="s">
        <v>13</v>
      </c>
      <c r="E321" s="25" t="s">
        <v>950</v>
      </c>
      <c r="F321" s="25" t="s">
        <v>951</v>
      </c>
      <c r="G321" s="25">
        <v>500</v>
      </c>
      <c r="H321" s="25"/>
    </row>
    <row r="322" spans="1:8" ht="14">
      <c r="A322" s="25" t="s">
        <v>952</v>
      </c>
      <c r="B322" s="26" t="s">
        <v>71</v>
      </c>
      <c r="C322" s="25" t="str">
        <f t="shared" si="5"/>
        <v>onefive_ml_tube</v>
      </c>
      <c r="D322" s="27" t="s">
        <v>13</v>
      </c>
      <c r="E322" s="25" t="s">
        <v>953</v>
      </c>
      <c r="F322" s="25" t="s">
        <v>954</v>
      </c>
      <c r="G322" s="25">
        <v>500</v>
      </c>
      <c r="H322" s="25"/>
    </row>
    <row r="323" spans="1:8" ht="14">
      <c r="A323" s="25" t="s">
        <v>955</v>
      </c>
      <c r="B323" s="26" t="s">
        <v>71</v>
      </c>
      <c r="C323" s="25" t="str">
        <f t="shared" si="5"/>
        <v>pcrstripe</v>
      </c>
      <c r="D323" s="27" t="s">
        <v>13</v>
      </c>
      <c r="E323" s="25" t="s">
        <v>956</v>
      </c>
      <c r="F323" s="25" t="s">
        <v>956</v>
      </c>
      <c r="G323" s="25">
        <v>500</v>
      </c>
      <c r="H323" s="25"/>
    </row>
    <row r="324" spans="1:8" ht="14">
      <c r="A324" s="25" t="s">
        <v>957</v>
      </c>
      <c r="B324" s="26" t="s">
        <v>71</v>
      </c>
      <c r="C324" s="25" t="str">
        <f t="shared" si="5"/>
        <v>two_ml_tube</v>
      </c>
      <c r="D324" s="27" t="s">
        <v>13</v>
      </c>
      <c r="E324" s="25" t="s">
        <v>958</v>
      </c>
      <c r="F324" s="25" t="s">
        <v>959</v>
      </c>
      <c r="G324" s="25">
        <v>500</v>
      </c>
      <c r="H324" s="25"/>
    </row>
    <row r="325" spans="1:8" ht="14">
      <c r="A325" s="25" t="s">
        <v>960</v>
      </c>
      <c r="B325" s="26" t="s">
        <v>73</v>
      </c>
      <c r="C325" s="25" t="str">
        <f t="shared" si="5"/>
        <v>als</v>
      </c>
      <c r="D325" s="25" t="s">
        <v>960</v>
      </c>
      <c r="E325" s="25" t="s">
        <v>961</v>
      </c>
      <c r="F325" s="25" t="s">
        <v>962</v>
      </c>
      <c r="G325" s="25">
        <v>500</v>
      </c>
      <c r="H325" s="25"/>
    </row>
    <row r="326" spans="1:8" ht="14">
      <c r="A326" s="25" t="s">
        <v>963</v>
      </c>
      <c r="B326" s="26" t="s">
        <v>73</v>
      </c>
      <c r="C326" s="25" t="str">
        <f t="shared" si="5"/>
        <v>alzheimer</v>
      </c>
      <c r="D326" s="25" t="s">
        <v>963</v>
      </c>
      <c r="E326" s="25" t="s">
        <v>964</v>
      </c>
      <c r="F326" s="25" t="s">
        <v>965</v>
      </c>
      <c r="G326" s="25">
        <v>500</v>
      </c>
      <c r="H326" s="25"/>
    </row>
    <row r="327" spans="1:8" ht="14">
      <c r="A327" s="25" t="s">
        <v>966</v>
      </c>
      <c r="B327" s="26" t="s">
        <v>73</v>
      </c>
      <c r="C327" s="25" t="str">
        <f t="shared" si="5"/>
        <v>autoimmune</v>
      </c>
      <c r="D327" s="25" t="s">
        <v>966</v>
      </c>
      <c r="E327" s="25" t="s">
        <v>967</v>
      </c>
      <c r="F327" s="25" t="s">
        <v>968</v>
      </c>
      <c r="G327" s="25">
        <v>500</v>
      </c>
      <c r="H327" s="25"/>
    </row>
    <row r="328" spans="1:8" ht="14">
      <c r="A328" s="25" t="s">
        <v>969</v>
      </c>
      <c r="B328" s="26" t="s">
        <v>73</v>
      </c>
      <c r="C328" s="25" t="str">
        <f t="shared" si="5"/>
        <v>cancer</v>
      </c>
      <c r="D328" s="25" t="s">
        <v>969</v>
      </c>
      <c r="E328" s="25" t="s">
        <v>970</v>
      </c>
      <c r="F328" s="25" t="s">
        <v>971</v>
      </c>
      <c r="G328" s="25">
        <v>500</v>
      </c>
      <c r="H328" s="25"/>
    </row>
    <row r="329" spans="1:8" ht="14">
      <c r="A329" s="25" t="s">
        <v>972</v>
      </c>
      <c r="B329" s="26" t="s">
        <v>73</v>
      </c>
      <c r="C329" s="25" t="str">
        <f t="shared" si="5"/>
        <v>cardiovascular_diseases</v>
      </c>
      <c r="D329" s="25" t="s">
        <v>973</v>
      </c>
      <c r="E329" s="25" t="s">
        <v>974</v>
      </c>
      <c r="F329" s="25" t="s">
        <v>975</v>
      </c>
      <c r="G329" s="25">
        <v>500</v>
      </c>
      <c r="H329" s="25"/>
    </row>
    <row r="330" spans="1:8" ht="14">
      <c r="A330" s="25" t="s">
        <v>976</v>
      </c>
      <c r="B330" s="26" t="s">
        <v>73</v>
      </c>
      <c r="C330" s="25" t="str">
        <f t="shared" si="5"/>
        <v>chronic_inflammation</v>
      </c>
      <c r="D330" s="25" t="s">
        <v>977</v>
      </c>
      <c r="E330" s="25" t="s">
        <v>978</v>
      </c>
      <c r="F330" s="25" t="s">
        <v>979</v>
      </c>
      <c r="G330" s="25">
        <v>500</v>
      </c>
      <c r="H330" s="25"/>
    </row>
    <row r="331" spans="1:8" ht="14">
      <c r="A331" s="25" t="s">
        <v>980</v>
      </c>
      <c r="B331" s="26" t="s">
        <v>73</v>
      </c>
      <c r="C331" s="25" t="str">
        <f t="shared" si="5"/>
        <v>coeliac</v>
      </c>
      <c r="D331" s="25" t="s">
        <v>980</v>
      </c>
      <c r="E331" s="25" t="s">
        <v>981</v>
      </c>
      <c r="F331" s="25" t="s">
        <v>982</v>
      </c>
      <c r="G331" s="25">
        <v>500</v>
      </c>
      <c r="H331" s="25"/>
    </row>
    <row r="332" spans="1:8" ht="14">
      <c r="A332" s="25" t="s">
        <v>983</v>
      </c>
      <c r="B332" s="26" t="s">
        <v>73</v>
      </c>
      <c r="C332" s="25" t="str">
        <f t="shared" si="5"/>
        <v>covid19</v>
      </c>
      <c r="D332" s="25" t="s">
        <v>983</v>
      </c>
      <c r="E332" s="25" t="s">
        <v>984</v>
      </c>
      <c r="F332" s="25" t="s">
        <v>985</v>
      </c>
      <c r="G332" s="25">
        <v>500</v>
      </c>
      <c r="H332" s="25"/>
    </row>
    <row r="333" spans="1:8" ht="14">
      <c r="A333" s="25" t="s">
        <v>986</v>
      </c>
      <c r="B333" s="26" t="s">
        <v>73</v>
      </c>
      <c r="C333" s="25" t="str">
        <f t="shared" si="5"/>
        <v>dementia</v>
      </c>
      <c r="D333" s="25" t="s">
        <v>986</v>
      </c>
      <c r="E333" s="25" t="s">
        <v>987</v>
      </c>
      <c r="F333" s="25" t="s">
        <v>987</v>
      </c>
      <c r="G333" s="25">
        <v>500</v>
      </c>
      <c r="H333" s="25"/>
    </row>
    <row r="334" spans="1:8" ht="14">
      <c r="A334" s="25" t="s">
        <v>988</v>
      </c>
      <c r="B334" s="26" t="s">
        <v>73</v>
      </c>
      <c r="C334" s="25" t="str">
        <f t="shared" si="5"/>
        <v>demyelinating</v>
      </c>
      <c r="D334" s="25" t="s">
        <v>988</v>
      </c>
      <c r="E334" s="25" t="s">
        <v>989</v>
      </c>
      <c r="F334" s="25" t="s">
        <v>990</v>
      </c>
      <c r="G334" s="25">
        <v>500</v>
      </c>
      <c r="H334" s="25"/>
    </row>
    <row r="335" spans="1:8" ht="14">
      <c r="A335" s="25" t="s">
        <v>991</v>
      </c>
      <c r="B335" s="26" t="s">
        <v>73</v>
      </c>
      <c r="C335" s="25" t="str">
        <f t="shared" si="5"/>
        <v>diabetes</v>
      </c>
      <c r="D335" s="25" t="s">
        <v>991</v>
      </c>
      <c r="E335" s="25" t="s">
        <v>992</v>
      </c>
      <c r="F335" s="25" t="s">
        <v>992</v>
      </c>
      <c r="G335" s="25">
        <v>500</v>
      </c>
      <c r="H335" s="25"/>
    </row>
    <row r="336" spans="1:8" ht="14">
      <c r="A336" s="25" t="s">
        <v>993</v>
      </c>
      <c r="B336" s="26" t="s">
        <v>73</v>
      </c>
      <c r="C336" s="25" t="str">
        <f t="shared" si="5"/>
        <v>glioblastoma</v>
      </c>
      <c r="D336" s="25" t="s">
        <v>993</v>
      </c>
      <c r="E336" s="25" t="s">
        <v>994</v>
      </c>
      <c r="F336" s="25" t="s">
        <v>995</v>
      </c>
      <c r="G336" s="25">
        <v>500</v>
      </c>
      <c r="H336" s="25"/>
    </row>
    <row r="337" spans="1:8" ht="14">
      <c r="A337" s="25" t="s">
        <v>996</v>
      </c>
      <c r="B337" s="26" t="s">
        <v>73</v>
      </c>
      <c r="C337" s="25" t="str">
        <f t="shared" si="5"/>
        <v>hiv</v>
      </c>
      <c r="D337" s="25" t="s">
        <v>996</v>
      </c>
      <c r="E337" s="25" t="s">
        <v>997</v>
      </c>
      <c r="F337" s="25" t="s">
        <v>998</v>
      </c>
      <c r="G337" s="25">
        <v>500</v>
      </c>
      <c r="H337" s="25"/>
    </row>
    <row r="338" spans="1:8" ht="14">
      <c r="A338" s="25" t="s">
        <v>999</v>
      </c>
      <c r="B338" s="26" t="s">
        <v>73</v>
      </c>
      <c r="C338" s="25" t="str">
        <f t="shared" si="5"/>
        <v>huntington</v>
      </c>
      <c r="D338" s="25" t="s">
        <v>999</v>
      </c>
      <c r="E338" s="25" t="s">
        <v>1000</v>
      </c>
      <c r="F338" s="25" t="s">
        <v>1001</v>
      </c>
      <c r="G338" s="25">
        <v>500</v>
      </c>
      <c r="H338" s="25"/>
    </row>
    <row r="339" spans="1:8" ht="14">
      <c r="A339" s="25" t="s">
        <v>1002</v>
      </c>
      <c r="B339" s="26" t="s">
        <v>73</v>
      </c>
      <c r="C339" s="25" t="str">
        <f t="shared" si="5"/>
        <v>ibd</v>
      </c>
      <c r="D339" s="25" t="s">
        <v>1002</v>
      </c>
      <c r="E339" s="25" t="s">
        <v>1003</v>
      </c>
      <c r="F339" s="25" t="s">
        <v>1004</v>
      </c>
      <c r="G339" s="25">
        <v>500</v>
      </c>
      <c r="H339" s="25"/>
    </row>
    <row r="340" spans="1:8" ht="14">
      <c r="A340" s="25" t="s">
        <v>1005</v>
      </c>
      <c r="B340" s="26" t="s">
        <v>73</v>
      </c>
      <c r="C340" s="25" t="str">
        <f t="shared" si="5"/>
        <v>infection</v>
      </c>
      <c r="D340" s="25" t="s">
        <v>1005</v>
      </c>
      <c r="E340" s="25" t="s">
        <v>1006</v>
      </c>
      <c r="F340" s="25" t="s">
        <v>1007</v>
      </c>
      <c r="G340" s="25">
        <v>500</v>
      </c>
      <c r="H340" s="25"/>
    </row>
    <row r="341" spans="1:8" ht="14">
      <c r="A341" s="25" t="s">
        <v>1008</v>
      </c>
      <c r="B341" s="26" t="s">
        <v>73</v>
      </c>
      <c r="C341" s="25" t="str">
        <f t="shared" si="5"/>
        <v>influenza</v>
      </c>
      <c r="D341" s="25" t="s">
        <v>1008</v>
      </c>
      <c r="E341" s="25" t="s">
        <v>1009</v>
      </c>
      <c r="F341" s="25" t="s">
        <v>1010</v>
      </c>
      <c r="G341" s="25">
        <v>500</v>
      </c>
      <c r="H341" s="25"/>
    </row>
    <row r="342" spans="1:8" ht="14">
      <c r="A342" s="25" t="s">
        <v>1011</v>
      </c>
      <c r="B342" s="26" t="s">
        <v>73</v>
      </c>
      <c r="C342" s="25" t="str">
        <f t="shared" si="5"/>
        <v>leukemia</v>
      </c>
      <c r="D342" s="25" t="s">
        <v>1011</v>
      </c>
      <c r="E342" s="25" t="s">
        <v>553</v>
      </c>
      <c r="F342" s="25" t="s">
        <v>1012</v>
      </c>
      <c r="G342" s="25">
        <v>500</v>
      </c>
      <c r="H342" s="25"/>
    </row>
    <row r="343" spans="1:8" ht="14">
      <c r="A343" s="25" t="s">
        <v>1013</v>
      </c>
      <c r="B343" s="26" t="s">
        <v>73</v>
      </c>
      <c r="C343" s="25" t="str">
        <f t="shared" si="5"/>
        <v>lymphoma</v>
      </c>
      <c r="D343" s="25" t="s">
        <v>1013</v>
      </c>
      <c r="E343" s="25" t="s">
        <v>1014</v>
      </c>
      <c r="F343" s="25" t="s">
        <v>1015</v>
      </c>
      <c r="G343" s="25">
        <v>500</v>
      </c>
      <c r="H343" s="25"/>
    </row>
    <row r="344" spans="1:8" ht="14">
      <c r="A344" s="25" t="s">
        <v>1016</v>
      </c>
      <c r="B344" s="26" t="s">
        <v>73</v>
      </c>
      <c r="C344" s="25" t="str">
        <f t="shared" si="5"/>
        <v>malaria</v>
      </c>
      <c r="D344" s="25" t="s">
        <v>1016</v>
      </c>
      <c r="E344" s="25" t="s">
        <v>1017</v>
      </c>
      <c r="F344" s="25" t="s">
        <v>1018</v>
      </c>
      <c r="G344" s="25">
        <v>500</v>
      </c>
      <c r="H344" s="25"/>
    </row>
    <row r="345" spans="1:8" ht="14">
      <c r="A345" s="25" t="s">
        <v>21</v>
      </c>
      <c r="B345" s="26" t="s">
        <v>73</v>
      </c>
      <c r="C345" s="25" t="str">
        <f t="shared" si="5"/>
        <v>ms</v>
      </c>
      <c r="D345" s="25" t="s">
        <v>21</v>
      </c>
      <c r="E345" s="25" t="s">
        <v>1019</v>
      </c>
      <c r="F345" s="25" t="s">
        <v>1020</v>
      </c>
      <c r="G345" s="25">
        <v>500</v>
      </c>
      <c r="H345" s="25"/>
    </row>
    <row r="346" spans="1:8" ht="14">
      <c r="A346" s="25" t="s">
        <v>1021</v>
      </c>
      <c r="B346" s="26" t="s">
        <v>73</v>
      </c>
      <c r="C346" s="25" t="str">
        <f t="shared" si="5"/>
        <v>msa</v>
      </c>
      <c r="D346" s="25" t="s">
        <v>1021</v>
      </c>
      <c r="E346" s="25" t="s">
        <v>1022</v>
      </c>
      <c r="F346" s="25" t="s">
        <v>1023</v>
      </c>
      <c r="G346" s="25">
        <v>500</v>
      </c>
      <c r="H346" s="25"/>
    </row>
    <row r="347" spans="1:8" ht="14">
      <c r="A347" s="25" t="s">
        <v>1024</v>
      </c>
      <c r="B347" s="26" t="s">
        <v>73</v>
      </c>
      <c r="C347" s="25" t="str">
        <f t="shared" si="5"/>
        <v>neurodegenerative</v>
      </c>
      <c r="D347" s="25" t="s">
        <v>1024</v>
      </c>
      <c r="E347" s="25" t="s">
        <v>1025</v>
      </c>
      <c r="F347" s="25" t="s">
        <v>1026</v>
      </c>
      <c r="G347" s="25">
        <v>500</v>
      </c>
      <c r="H347" s="25"/>
    </row>
    <row r="348" spans="1:8" ht="14">
      <c r="A348" s="25" t="s">
        <v>1027</v>
      </c>
      <c r="B348" s="26" t="s">
        <v>73</v>
      </c>
      <c r="C348" s="25" t="str">
        <f t="shared" si="5"/>
        <v>parkinson</v>
      </c>
      <c r="D348" s="25" t="s">
        <v>1027</v>
      </c>
      <c r="E348" s="25" t="s">
        <v>1028</v>
      </c>
      <c r="F348" s="25" t="s">
        <v>1029</v>
      </c>
      <c r="G348" s="25">
        <v>500</v>
      </c>
      <c r="H348" s="25"/>
    </row>
    <row r="349" spans="1:8" ht="14">
      <c r="A349" s="25" t="s">
        <v>1030</v>
      </c>
      <c r="B349" s="26" t="s">
        <v>73</v>
      </c>
      <c r="C349" s="25" t="str">
        <f t="shared" si="5"/>
        <v>prion</v>
      </c>
      <c r="D349" s="25" t="s">
        <v>1030</v>
      </c>
      <c r="E349" s="25" t="s">
        <v>1031</v>
      </c>
      <c r="F349" s="25" t="s">
        <v>1032</v>
      </c>
      <c r="G349" s="25">
        <v>500</v>
      </c>
      <c r="H349" s="25"/>
    </row>
    <row r="350" spans="1:8" ht="14">
      <c r="A350" s="25" t="s">
        <v>1033</v>
      </c>
      <c r="B350" s="26" t="s">
        <v>73</v>
      </c>
      <c r="C350" s="25" t="str">
        <f t="shared" si="5"/>
        <v>rheumatoid</v>
      </c>
      <c r="D350" s="25" t="s">
        <v>1033</v>
      </c>
      <c r="E350" s="25" t="s">
        <v>1034</v>
      </c>
      <c r="F350" s="25" t="s">
        <v>1035</v>
      </c>
      <c r="G350" s="25">
        <v>500</v>
      </c>
      <c r="H350" s="25"/>
    </row>
    <row r="351" spans="1:8" ht="14">
      <c r="A351" s="25" t="s">
        <v>1036</v>
      </c>
      <c r="B351" s="26" t="s">
        <v>73</v>
      </c>
      <c r="C351" s="25" t="str">
        <f t="shared" si="5"/>
        <v>stress</v>
      </c>
      <c r="D351" s="25" t="s">
        <v>1036</v>
      </c>
      <c r="E351" s="25" t="s">
        <v>1037</v>
      </c>
      <c r="F351" s="25" t="s">
        <v>1038</v>
      </c>
      <c r="G351" s="25">
        <v>500</v>
      </c>
      <c r="H351" s="25"/>
    </row>
    <row r="352" spans="1:8" ht="14">
      <c r="A352" s="25" t="s">
        <v>1039</v>
      </c>
      <c r="B352" s="26" t="s">
        <v>73</v>
      </c>
      <c r="C352" s="25" t="str">
        <f t="shared" si="5"/>
        <v>stroke</v>
      </c>
      <c r="D352" s="25" t="s">
        <v>1039</v>
      </c>
      <c r="E352" s="25" t="s">
        <v>1040</v>
      </c>
      <c r="F352" s="25" t="s">
        <v>1041</v>
      </c>
      <c r="G352" s="25">
        <v>500</v>
      </c>
      <c r="H352" s="25"/>
    </row>
    <row r="353" spans="1:8" ht="14">
      <c r="A353" s="25" t="s">
        <v>1042</v>
      </c>
      <c r="B353" s="26" t="s">
        <v>73</v>
      </c>
      <c r="C353" s="25" t="str">
        <f t="shared" si="5"/>
        <v>tuberculosis</v>
      </c>
      <c r="D353" s="25" t="s">
        <v>1042</v>
      </c>
      <c r="E353" s="25" t="s">
        <v>1043</v>
      </c>
      <c r="F353" s="25" t="s">
        <v>1044</v>
      </c>
      <c r="G353" s="25">
        <v>500</v>
      </c>
      <c r="H353" s="25"/>
    </row>
    <row r="354" spans="1:8" ht="14">
      <c r="A354" s="25" t="s">
        <v>1045</v>
      </c>
      <c r="B354" s="26" t="s">
        <v>75</v>
      </c>
      <c r="C354" s="25" t="str">
        <f t="shared" si="5"/>
        <v>hypoxia</v>
      </c>
      <c r="D354" s="25" t="s">
        <v>1045</v>
      </c>
      <c r="E354" s="25" t="s">
        <v>1046</v>
      </c>
      <c r="F354" s="25" t="s">
        <v>1047</v>
      </c>
      <c r="G354" s="25">
        <v>500</v>
      </c>
      <c r="H354" s="25"/>
    </row>
    <row r="355" spans="1:8" ht="14">
      <c r="A355" s="25" t="s">
        <v>1048</v>
      </c>
      <c r="B355" s="26" t="s">
        <v>75</v>
      </c>
      <c r="C355" s="25" t="str">
        <f t="shared" si="5"/>
        <v>normoxia</v>
      </c>
      <c r="D355" s="25" t="s">
        <v>1048</v>
      </c>
      <c r="E355" s="25" t="s">
        <v>1049</v>
      </c>
      <c r="F355" s="25" t="s">
        <v>1050</v>
      </c>
      <c r="G355" s="25">
        <v>500</v>
      </c>
      <c r="H355" s="25"/>
    </row>
    <row r="356" spans="1:8" ht="14">
      <c r="A356" s="25" t="s">
        <v>1051</v>
      </c>
      <c r="B356" s="26" t="s">
        <v>77</v>
      </c>
      <c r="C356" s="25" t="str">
        <f t="shared" si="5"/>
        <v>acetylome</v>
      </c>
      <c r="D356" s="25" t="s">
        <v>1051</v>
      </c>
      <c r="E356" s="25" t="s">
        <v>1052</v>
      </c>
      <c r="F356" s="25" t="s">
        <v>1052</v>
      </c>
      <c r="G356" s="25">
        <v>500</v>
      </c>
      <c r="H356" s="25"/>
    </row>
    <row r="357" spans="1:8" ht="14">
      <c r="A357" s="25" t="s">
        <v>1053</v>
      </c>
      <c r="B357" s="26" t="s">
        <v>77</v>
      </c>
      <c r="C357" s="25" t="str">
        <f t="shared" si="5"/>
        <v>dvp</v>
      </c>
      <c r="D357" s="25" t="s">
        <v>1053</v>
      </c>
      <c r="E357" s="25" t="s">
        <v>1054</v>
      </c>
      <c r="F357" s="25" t="s">
        <v>1055</v>
      </c>
      <c r="G357" s="25">
        <v>500</v>
      </c>
      <c r="H357" s="25"/>
    </row>
    <row r="358" spans="1:8" ht="14">
      <c r="A358" s="25" t="s">
        <v>1056</v>
      </c>
      <c r="B358" s="26" t="s">
        <v>77</v>
      </c>
      <c r="C358" s="25" t="str">
        <f t="shared" si="5"/>
        <v>expression_proteome</v>
      </c>
      <c r="D358" s="25" t="s">
        <v>1057</v>
      </c>
      <c r="E358" s="25" t="s">
        <v>1058</v>
      </c>
      <c r="F358" s="25" t="s">
        <v>4052</v>
      </c>
      <c r="G358" s="25">
        <v>600</v>
      </c>
      <c r="H358" s="25"/>
    </row>
    <row r="359" spans="1:8" ht="14">
      <c r="A359" s="25" t="s">
        <v>4054</v>
      </c>
      <c r="B359" s="26" t="s">
        <v>77</v>
      </c>
      <c r="C359" s="25" t="str">
        <f t="shared" si="5"/>
        <v>microscoop</v>
      </c>
      <c r="D359" s="25" t="s">
        <v>4054</v>
      </c>
      <c r="E359" s="25" t="s">
        <v>4055</v>
      </c>
      <c r="F359" s="25" t="s">
        <v>4056</v>
      </c>
      <c r="G359" s="25">
        <v>500</v>
      </c>
      <c r="H359" s="25"/>
    </row>
    <row r="360" spans="1:8" ht="14">
      <c r="A360" s="25" t="s">
        <v>3047</v>
      </c>
      <c r="B360" s="26" t="s">
        <v>77</v>
      </c>
      <c r="C360" s="25" t="str">
        <f t="shared" si="5"/>
        <v>proximity</v>
      </c>
      <c r="D360" s="25" t="s">
        <v>3048</v>
      </c>
      <c r="E360" s="25" t="s">
        <v>3049</v>
      </c>
      <c r="F360" s="25" t="s">
        <v>3050</v>
      </c>
      <c r="G360" s="25">
        <v>500</v>
      </c>
      <c r="H360" s="25"/>
    </row>
    <row r="361" spans="1:8" ht="14">
      <c r="A361" s="25" t="s">
        <v>1059</v>
      </c>
      <c r="B361" s="26" t="s">
        <v>77</v>
      </c>
      <c r="C361" s="25" t="str">
        <f t="shared" si="5"/>
        <v>interaction</v>
      </c>
      <c r="D361" s="25" t="s">
        <v>1059</v>
      </c>
      <c r="E361" s="25" t="s">
        <v>1060</v>
      </c>
      <c r="F361" s="25" t="s">
        <v>1060</v>
      </c>
      <c r="G361" s="25">
        <v>500</v>
      </c>
      <c r="H361" s="25"/>
    </row>
    <row r="362" spans="1:8" ht="14">
      <c r="A362" s="25" t="s">
        <v>1061</v>
      </c>
      <c r="B362" s="26" t="s">
        <v>77</v>
      </c>
      <c r="C362" s="25" t="str">
        <f t="shared" si="5"/>
        <v>metrs</v>
      </c>
      <c r="D362" s="25" t="s">
        <v>1061</v>
      </c>
      <c r="E362" s="25" t="s">
        <v>1062</v>
      </c>
      <c r="F362" s="25" t="s">
        <v>1062</v>
      </c>
      <c r="G362" s="25">
        <v>500</v>
      </c>
      <c r="H362" s="25"/>
    </row>
    <row r="363" spans="1:8" ht="14">
      <c r="A363" s="25" t="s">
        <v>1063</v>
      </c>
      <c r="B363" s="26" t="s">
        <v>77</v>
      </c>
      <c r="C363" s="25" t="str">
        <f t="shared" si="5"/>
        <v>neo_nterm_enrichment</v>
      </c>
      <c r="D363" s="25" t="s">
        <v>1064</v>
      </c>
      <c r="E363" s="25" t="s">
        <v>1065</v>
      </c>
      <c r="F363" s="25" t="s">
        <v>1065</v>
      </c>
      <c r="G363" s="25">
        <v>500</v>
      </c>
      <c r="H363" s="25"/>
    </row>
    <row r="364" spans="1:8" ht="14">
      <c r="A364" s="25" t="s">
        <v>1066</v>
      </c>
      <c r="B364" s="26" t="s">
        <v>77</v>
      </c>
      <c r="C364" s="25" t="str">
        <f t="shared" si="5"/>
        <v>oxinome</v>
      </c>
      <c r="D364" s="25" t="s">
        <v>1066</v>
      </c>
      <c r="E364" s="25" t="s">
        <v>1067</v>
      </c>
      <c r="F364" s="25" t="s">
        <v>1067</v>
      </c>
      <c r="G364" s="25">
        <v>500</v>
      </c>
      <c r="H364" s="25"/>
    </row>
    <row r="365" spans="1:8" ht="14">
      <c r="A365" s="25" t="s">
        <v>1068</v>
      </c>
      <c r="B365" s="26" t="s">
        <v>77</v>
      </c>
      <c r="C365" s="25" t="str">
        <f t="shared" si="5"/>
        <v>phosphoproteome</v>
      </c>
      <c r="D365" s="25" t="s">
        <v>1068</v>
      </c>
      <c r="E365" s="25" t="s">
        <v>1069</v>
      </c>
      <c r="F365" s="25" t="s">
        <v>1069</v>
      </c>
      <c r="G365" s="25">
        <v>500</v>
      </c>
      <c r="H365" s="25"/>
    </row>
    <row r="366" spans="1:8" ht="14">
      <c r="A366" s="25" t="s">
        <v>1070</v>
      </c>
      <c r="B366" s="26" t="s">
        <v>77</v>
      </c>
      <c r="C366" s="25" t="str">
        <f t="shared" si="5"/>
        <v>pulse_silac</v>
      </c>
      <c r="D366" s="25" t="s">
        <v>1070</v>
      </c>
      <c r="E366" s="25" t="s">
        <v>1071</v>
      </c>
      <c r="F366" s="25" t="s">
        <v>1071</v>
      </c>
      <c r="G366" s="25">
        <v>500</v>
      </c>
      <c r="H366" s="25"/>
    </row>
    <row r="367" spans="1:8" ht="14">
      <c r="A367" s="25" t="s">
        <v>1072</v>
      </c>
      <c r="B367" s="26" t="s">
        <v>77</v>
      </c>
      <c r="C367" s="25" t="str">
        <f t="shared" si="5"/>
        <v>secretome</v>
      </c>
      <c r="D367" s="25" t="s">
        <v>1072</v>
      </c>
      <c r="E367" s="25" t="s">
        <v>1073</v>
      </c>
      <c r="F367" s="25" t="s">
        <v>1073</v>
      </c>
      <c r="G367" s="25">
        <v>500</v>
      </c>
      <c r="H367" s="25"/>
    </row>
    <row r="368" spans="1:8" ht="14">
      <c r="A368" s="25" t="s">
        <v>1074</v>
      </c>
      <c r="B368" s="26" t="s">
        <v>77</v>
      </c>
      <c r="C368" s="25" t="str">
        <f t="shared" si="5"/>
        <v>spatial</v>
      </c>
      <c r="D368" s="25" t="s">
        <v>1074</v>
      </c>
      <c r="E368" s="25" t="s">
        <v>1075</v>
      </c>
      <c r="F368" s="25" t="s">
        <v>1075</v>
      </c>
      <c r="G368" s="25">
        <v>500</v>
      </c>
      <c r="H368" s="25"/>
    </row>
    <row r="369" spans="1:8" ht="14">
      <c r="A369" s="25" t="s">
        <v>1076</v>
      </c>
      <c r="B369" s="26" t="s">
        <v>77</v>
      </c>
      <c r="C369" s="25" t="str">
        <f t="shared" si="5"/>
        <v>ubiquitinome</v>
      </c>
      <c r="D369" s="25" t="s">
        <v>1076</v>
      </c>
      <c r="E369" s="25" t="s">
        <v>1077</v>
      </c>
      <c r="F369" s="25" t="s">
        <v>1077</v>
      </c>
      <c r="G369" s="25">
        <v>500</v>
      </c>
      <c r="H369" s="25"/>
    </row>
    <row r="370" spans="1:8" ht="14">
      <c r="A370" s="25" t="s">
        <v>3034</v>
      </c>
      <c r="B370" s="26" t="s">
        <v>77</v>
      </c>
      <c r="C370" s="25" t="str">
        <f t="shared" si="5"/>
        <v>solub</v>
      </c>
      <c r="D370" s="25" t="s">
        <v>3035</v>
      </c>
      <c r="E370" s="25" t="s">
        <v>3036</v>
      </c>
      <c r="F370" s="25" t="s">
        <v>3037</v>
      </c>
      <c r="G370" s="25">
        <v>500</v>
      </c>
      <c r="H370" s="25"/>
    </row>
    <row r="371" spans="1:8" ht="14">
      <c r="A371" s="25" t="s">
        <v>3127</v>
      </c>
      <c r="B371" s="26" t="s">
        <v>77</v>
      </c>
      <c r="C371" s="25" t="str">
        <f t="shared" si="5"/>
        <v>pisa</v>
      </c>
      <c r="D371" s="25" t="s">
        <v>3128</v>
      </c>
      <c r="E371" s="25" t="s">
        <v>3129</v>
      </c>
      <c r="F371" s="25" t="s">
        <v>3130</v>
      </c>
      <c r="G371" s="25">
        <v>500</v>
      </c>
      <c r="H371" s="25"/>
    </row>
    <row r="372" spans="1:8" ht="14">
      <c r="A372" s="25" t="s">
        <v>3133</v>
      </c>
      <c r="B372" s="26" t="s">
        <v>3131</v>
      </c>
      <c r="C372" s="25" t="s">
        <v>3127</v>
      </c>
      <c r="D372" s="25" t="s">
        <v>3127</v>
      </c>
      <c r="E372" s="25" t="s">
        <v>3132</v>
      </c>
      <c r="F372" s="25" t="s">
        <v>3134</v>
      </c>
      <c r="G372" s="25">
        <v>500</v>
      </c>
      <c r="H372" s="25"/>
    </row>
    <row r="373" spans="1:8" ht="14">
      <c r="A373" s="25" t="s">
        <v>1078</v>
      </c>
      <c r="B373" s="26" t="s">
        <v>1079</v>
      </c>
      <c r="C373" s="25" t="str">
        <f t="shared" ref="C373:C430" si="6">A373</f>
        <v>bal</v>
      </c>
      <c r="D373" s="27" t="s">
        <v>13</v>
      </c>
      <c r="E373" s="25" t="s">
        <v>1080</v>
      </c>
      <c r="F373" s="25" t="s">
        <v>1081</v>
      </c>
      <c r="G373" s="25">
        <v>500</v>
      </c>
      <c r="H373" s="25"/>
    </row>
    <row r="374" spans="1:8" ht="14">
      <c r="A374" s="25" t="s">
        <v>1082</v>
      </c>
      <c r="B374" s="26" t="s">
        <v>1079</v>
      </c>
      <c r="C374" s="25" t="str">
        <f t="shared" si="6"/>
        <v>cerebrospinal</v>
      </c>
      <c r="D374" s="27" t="s">
        <v>13</v>
      </c>
      <c r="E374" s="25" t="s">
        <v>1083</v>
      </c>
      <c r="F374" s="25" t="s">
        <v>1084</v>
      </c>
      <c r="G374" s="25">
        <v>500</v>
      </c>
      <c r="H374" s="25"/>
    </row>
    <row r="375" spans="1:8" ht="14">
      <c r="A375" s="25" t="s">
        <v>1085</v>
      </c>
      <c r="B375" s="26" t="s">
        <v>1079</v>
      </c>
      <c r="C375" s="25" t="str">
        <f t="shared" si="6"/>
        <v>feces</v>
      </c>
      <c r="D375" s="27" t="s">
        <v>13</v>
      </c>
      <c r="E375" s="25" t="s">
        <v>1086</v>
      </c>
      <c r="F375" s="25" t="s">
        <v>1087</v>
      </c>
      <c r="G375" s="25">
        <v>500</v>
      </c>
      <c r="H375" s="25"/>
    </row>
    <row r="376" spans="1:8" ht="14">
      <c r="A376" s="25" t="s">
        <v>1088</v>
      </c>
      <c r="B376" s="26" t="s">
        <v>1079</v>
      </c>
      <c r="C376" s="25" t="str">
        <f t="shared" si="6"/>
        <v>interstitial</v>
      </c>
      <c r="D376" s="27" t="s">
        <v>13</v>
      </c>
      <c r="E376" s="25" t="s">
        <v>1089</v>
      </c>
      <c r="F376" s="25" t="s">
        <v>1090</v>
      </c>
      <c r="G376" s="25">
        <v>500</v>
      </c>
      <c r="H376" s="25"/>
    </row>
    <row r="377" spans="1:8" ht="14">
      <c r="A377" s="25" t="s">
        <v>1091</v>
      </c>
      <c r="B377" s="26" t="s">
        <v>1079</v>
      </c>
      <c r="C377" s="25" t="str">
        <f t="shared" si="6"/>
        <v>lymph</v>
      </c>
      <c r="D377" s="27" t="s">
        <v>13</v>
      </c>
      <c r="E377" s="25" t="s">
        <v>1092</v>
      </c>
      <c r="F377" s="25" t="s">
        <v>1093</v>
      </c>
      <c r="G377" s="25">
        <v>500</v>
      </c>
      <c r="H377" s="25"/>
    </row>
    <row r="378" spans="1:8" ht="14">
      <c r="A378" s="25" t="s">
        <v>1094</v>
      </c>
      <c r="B378" s="26" t="s">
        <v>1079</v>
      </c>
      <c r="C378" s="25" t="str">
        <f t="shared" si="6"/>
        <v>peritoneal</v>
      </c>
      <c r="D378" s="27" t="s">
        <v>13</v>
      </c>
      <c r="E378" s="25" t="s">
        <v>1095</v>
      </c>
      <c r="F378" s="25" t="s">
        <v>1096</v>
      </c>
      <c r="G378" s="25">
        <v>500</v>
      </c>
      <c r="H378" s="25"/>
    </row>
    <row r="379" spans="1:8" ht="14">
      <c r="A379" s="25" t="s">
        <v>1097</v>
      </c>
      <c r="B379" s="26" t="s">
        <v>1079</v>
      </c>
      <c r="C379" s="25" t="str">
        <f t="shared" si="6"/>
        <v>plasma</v>
      </c>
      <c r="D379" s="27" t="s">
        <v>13</v>
      </c>
      <c r="E379" s="25" t="s">
        <v>1098</v>
      </c>
      <c r="F379" s="25" t="s">
        <v>1099</v>
      </c>
      <c r="G379" s="25">
        <v>500</v>
      </c>
      <c r="H379" s="25"/>
    </row>
    <row r="380" spans="1:8" ht="14">
      <c r="A380" s="25" t="s">
        <v>1100</v>
      </c>
      <c r="B380" s="26" t="s">
        <v>1079</v>
      </c>
      <c r="C380" s="25" t="str">
        <f t="shared" si="6"/>
        <v>pleural</v>
      </c>
      <c r="D380" s="27" t="s">
        <v>13</v>
      </c>
      <c r="E380" s="25" t="s">
        <v>1101</v>
      </c>
      <c r="F380" s="25" t="s">
        <v>1102</v>
      </c>
      <c r="G380" s="25">
        <v>500</v>
      </c>
      <c r="H380" s="25"/>
    </row>
    <row r="381" spans="1:8" ht="14">
      <c r="A381" s="25" t="s">
        <v>1103</v>
      </c>
      <c r="B381" s="26" t="s">
        <v>1079</v>
      </c>
      <c r="C381" s="25" t="str">
        <f t="shared" si="6"/>
        <v>saliva</v>
      </c>
      <c r="D381" s="27" t="s">
        <v>13</v>
      </c>
      <c r="E381" s="25" t="s">
        <v>1104</v>
      </c>
      <c r="F381" s="25" t="s">
        <v>1105</v>
      </c>
      <c r="G381" s="25">
        <v>500</v>
      </c>
      <c r="H381" s="25"/>
    </row>
    <row r="382" spans="1:8" ht="14">
      <c r="A382" s="25" t="s">
        <v>1106</v>
      </c>
      <c r="B382" s="26" t="s">
        <v>1079</v>
      </c>
      <c r="C382" s="25" t="str">
        <f t="shared" si="6"/>
        <v>seminal</v>
      </c>
      <c r="D382" s="27" t="s">
        <v>13</v>
      </c>
      <c r="E382" s="25" t="s">
        <v>1107</v>
      </c>
      <c r="F382" s="25" t="s">
        <v>1108</v>
      </c>
      <c r="G382" s="25">
        <v>500</v>
      </c>
      <c r="H382" s="25"/>
    </row>
    <row r="383" spans="1:8" ht="14">
      <c r="A383" s="25" t="s">
        <v>1109</v>
      </c>
      <c r="B383" s="26" t="s">
        <v>1079</v>
      </c>
      <c r="C383" s="25" t="str">
        <f t="shared" si="6"/>
        <v>serum</v>
      </c>
      <c r="D383" s="27" t="s">
        <v>13</v>
      </c>
      <c r="E383" s="25" t="s">
        <v>1110</v>
      </c>
      <c r="F383" s="25" t="s">
        <v>1111</v>
      </c>
      <c r="G383" s="25">
        <v>500</v>
      </c>
      <c r="H383" s="25"/>
    </row>
    <row r="384" spans="1:8" ht="14">
      <c r="A384" s="25" t="s">
        <v>1112</v>
      </c>
      <c r="B384" s="26" t="s">
        <v>1079</v>
      </c>
      <c r="C384" s="25" t="str">
        <f t="shared" si="6"/>
        <v>urine</v>
      </c>
      <c r="D384" s="27" t="s">
        <v>13</v>
      </c>
      <c r="E384" s="25" t="s">
        <v>1113</v>
      </c>
      <c r="F384" s="25" t="s">
        <v>1114</v>
      </c>
      <c r="G384" s="25">
        <v>500</v>
      </c>
      <c r="H384" s="25"/>
    </row>
    <row r="385" spans="1:8" ht="14">
      <c r="A385" s="25" t="s">
        <v>1115</v>
      </c>
      <c r="B385" s="36" t="s">
        <v>157</v>
      </c>
      <c r="C385" s="25" t="str">
        <f t="shared" si="6"/>
        <v>01k</v>
      </c>
      <c r="D385" s="25" t="s">
        <v>1115</v>
      </c>
      <c r="E385" s="25" t="s">
        <v>1115</v>
      </c>
      <c r="F385" s="25" t="s">
        <v>1117</v>
      </c>
      <c r="G385" s="25">
        <v>500</v>
      </c>
      <c r="H385" s="25"/>
    </row>
    <row r="386" spans="1:8" ht="14">
      <c r="A386" s="25" t="s">
        <v>1118</v>
      </c>
      <c r="B386" s="36" t="s">
        <v>157</v>
      </c>
      <c r="C386" s="25" t="str">
        <f t="shared" si="6"/>
        <v>05k</v>
      </c>
      <c r="D386" s="25" t="s">
        <v>1118</v>
      </c>
      <c r="E386" s="25" t="s">
        <v>1118</v>
      </c>
      <c r="F386" s="25" t="s">
        <v>1119</v>
      </c>
      <c r="G386" s="25">
        <v>500</v>
      </c>
      <c r="H386" s="25"/>
    </row>
    <row r="387" spans="1:8" ht="14">
      <c r="A387" s="25" t="s">
        <v>1120</v>
      </c>
      <c r="B387" s="36" t="s">
        <v>157</v>
      </c>
      <c r="C387" s="25" t="str">
        <f t="shared" si="6"/>
        <v>12k</v>
      </c>
      <c r="D387" s="25" t="s">
        <v>1120</v>
      </c>
      <c r="E387" s="25" t="s">
        <v>1120</v>
      </c>
      <c r="F387" s="25" t="s">
        <v>1121</v>
      </c>
      <c r="G387" s="25">
        <v>500</v>
      </c>
      <c r="H387" s="25"/>
    </row>
    <row r="388" spans="1:8" ht="14">
      <c r="A388" s="25" t="s">
        <v>1122</v>
      </c>
      <c r="B388" s="36" t="s">
        <v>157</v>
      </c>
      <c r="C388" s="25" t="str">
        <f t="shared" si="6"/>
        <v>24k</v>
      </c>
      <c r="D388" s="25" t="s">
        <v>1122</v>
      </c>
      <c r="E388" s="25" t="s">
        <v>1122</v>
      </c>
      <c r="F388" s="25" t="s">
        <v>1123</v>
      </c>
      <c r="G388" s="25">
        <v>500</v>
      </c>
      <c r="H388" s="25"/>
    </row>
    <row r="389" spans="1:8" ht="14">
      <c r="A389" s="25" t="s">
        <v>1124</v>
      </c>
      <c r="B389" s="36" t="s">
        <v>157</v>
      </c>
      <c r="C389" s="25" t="str">
        <f t="shared" si="6"/>
        <v>79k</v>
      </c>
      <c r="D389" s="25" t="s">
        <v>1124</v>
      </c>
      <c r="E389" s="25" t="s">
        <v>1124</v>
      </c>
      <c r="F389" s="25" t="s">
        <v>1125</v>
      </c>
      <c r="G389" s="25">
        <v>500</v>
      </c>
      <c r="H389" s="25"/>
    </row>
    <row r="390" spans="1:8" ht="14">
      <c r="A390" s="25" t="s">
        <v>1126</v>
      </c>
      <c r="B390" s="36" t="s">
        <v>157</v>
      </c>
      <c r="C390" s="25" t="str">
        <f t="shared" si="6"/>
        <v>crude_mito</v>
      </c>
      <c r="D390" s="25" t="s">
        <v>1127</v>
      </c>
      <c r="E390" s="25" t="s">
        <v>1128</v>
      </c>
      <c r="F390" s="25" t="s">
        <v>1129</v>
      </c>
      <c r="G390" s="25">
        <v>500</v>
      </c>
      <c r="H390" s="25"/>
    </row>
    <row r="391" spans="1:8" ht="14">
      <c r="A391" s="25" t="s">
        <v>1130</v>
      </c>
      <c r="B391" s="36" t="s">
        <v>157</v>
      </c>
      <c r="C391" s="25" t="str">
        <f t="shared" si="6"/>
        <v>cytosolic</v>
      </c>
      <c r="D391" s="25" t="s">
        <v>1130</v>
      </c>
      <c r="E391" s="25" t="s">
        <v>1131</v>
      </c>
      <c r="F391" s="25" t="s">
        <v>1132</v>
      </c>
      <c r="G391" s="25">
        <v>500</v>
      </c>
      <c r="H391" s="25"/>
    </row>
    <row r="392" spans="1:8" ht="14">
      <c r="A392" s="25" t="s">
        <v>1133</v>
      </c>
      <c r="B392" s="36" t="s">
        <v>157</v>
      </c>
      <c r="C392" s="25" t="str">
        <f t="shared" si="6"/>
        <v>total</v>
      </c>
      <c r="D392" s="25" t="s">
        <v>1133</v>
      </c>
      <c r="E392" s="25" t="s">
        <v>1134</v>
      </c>
      <c r="F392" s="25" t="s">
        <v>1135</v>
      </c>
      <c r="G392" s="25">
        <v>500</v>
      </c>
      <c r="H392" s="25"/>
    </row>
    <row r="393" spans="1:8" ht="14">
      <c r="A393" s="25" t="s">
        <v>3017</v>
      </c>
      <c r="B393" s="36" t="s">
        <v>157</v>
      </c>
      <c r="C393" s="25" t="str">
        <f t="shared" si="6"/>
        <v>pellet</v>
      </c>
      <c r="D393" s="25" t="s">
        <v>3017</v>
      </c>
      <c r="E393" s="25" t="s">
        <v>3018</v>
      </c>
      <c r="F393" s="25" t="s">
        <v>3020</v>
      </c>
      <c r="G393" s="25">
        <v>500</v>
      </c>
      <c r="H393" s="25"/>
    </row>
    <row r="394" spans="1:8" ht="14">
      <c r="A394" s="25" t="s">
        <v>2861</v>
      </c>
      <c r="B394" s="36" t="s">
        <v>157</v>
      </c>
      <c r="C394" s="25" t="str">
        <f t="shared" si="6"/>
        <v>supernatant</v>
      </c>
      <c r="D394" s="25" t="s">
        <v>2861</v>
      </c>
      <c r="E394" s="25" t="s">
        <v>2862</v>
      </c>
      <c r="F394" s="25" t="s">
        <v>3019</v>
      </c>
      <c r="G394" s="25">
        <v>500</v>
      </c>
      <c r="H394" s="25"/>
    </row>
    <row r="395" spans="1:8" ht="14">
      <c r="A395" s="25" t="s">
        <v>4481</v>
      </c>
      <c r="B395" s="36" t="s">
        <v>157</v>
      </c>
      <c r="C395" s="25" t="str">
        <f t="shared" si="6"/>
        <v>pms</v>
      </c>
      <c r="D395" s="25" t="s">
        <v>4481</v>
      </c>
      <c r="E395" s="25" t="s">
        <v>4482</v>
      </c>
      <c r="F395" s="25" t="s">
        <v>4483</v>
      </c>
      <c r="G395" s="25">
        <v>500</v>
      </c>
      <c r="H395" s="25"/>
    </row>
    <row r="396" spans="1:8" ht="14">
      <c r="A396" s="25" t="s">
        <v>4484</v>
      </c>
      <c r="B396" s="36" t="s">
        <v>157</v>
      </c>
      <c r="C396" s="25" t="str">
        <f t="shared" si="6"/>
        <v>percoll_f1</v>
      </c>
      <c r="D396" s="25" t="s">
        <v>4487</v>
      </c>
      <c r="E396" s="25" t="s">
        <v>4493</v>
      </c>
      <c r="F396" s="25" t="s">
        <v>4497</v>
      </c>
      <c r="G396" s="25">
        <v>500</v>
      </c>
      <c r="H396" s="25"/>
    </row>
    <row r="397" spans="1:8" ht="14">
      <c r="A397" s="25" t="s">
        <v>4485</v>
      </c>
      <c r="B397" s="36" t="s">
        <v>157</v>
      </c>
      <c r="C397" s="25" t="str">
        <f t="shared" si="6"/>
        <v>percoll_f2</v>
      </c>
      <c r="D397" s="25" t="s">
        <v>4488</v>
      </c>
      <c r="E397" s="25" t="s">
        <v>4494</v>
      </c>
      <c r="F397" s="25" t="s">
        <v>4496</v>
      </c>
      <c r="G397" s="25">
        <v>500</v>
      </c>
      <c r="H397" s="25"/>
    </row>
    <row r="398" spans="1:8" ht="14">
      <c r="A398" s="25" t="s">
        <v>4486</v>
      </c>
      <c r="B398" s="36" t="s">
        <v>157</v>
      </c>
      <c r="C398" s="25" t="s">
        <v>4486</v>
      </c>
      <c r="D398" s="25" t="s">
        <v>4489</v>
      </c>
      <c r="E398" s="25" t="s">
        <v>4495</v>
      </c>
      <c r="F398" s="25" t="s">
        <v>4498</v>
      </c>
      <c r="G398" s="25">
        <v>500</v>
      </c>
      <c r="H398" s="25"/>
    </row>
    <row r="399" spans="1:8" ht="14">
      <c r="A399" s="25" t="s">
        <v>4490</v>
      </c>
      <c r="B399" s="36" t="s">
        <v>157</v>
      </c>
      <c r="C399" s="25" t="s">
        <v>4490</v>
      </c>
      <c r="D399" s="25" t="s">
        <v>4490</v>
      </c>
      <c r="E399" s="25" t="s">
        <v>4491</v>
      </c>
      <c r="F399" s="25" t="s">
        <v>4492</v>
      </c>
      <c r="G399" s="25">
        <v>500</v>
      </c>
      <c r="H399" s="25"/>
    </row>
    <row r="400" spans="1:8" ht="14">
      <c r="A400" s="25" t="s">
        <v>4499</v>
      </c>
      <c r="B400" s="36" t="s">
        <v>157</v>
      </c>
      <c r="C400" s="25" t="s">
        <v>4499</v>
      </c>
      <c r="D400" s="25" t="s">
        <v>4499</v>
      </c>
      <c r="E400" s="25" t="s">
        <v>4499</v>
      </c>
      <c r="F400" s="25" t="s">
        <v>4500</v>
      </c>
      <c r="G400" s="25">
        <v>500</v>
      </c>
      <c r="H400" s="25"/>
    </row>
    <row r="401" spans="1:8" ht="14">
      <c r="A401" s="25" t="s">
        <v>2820</v>
      </c>
      <c r="B401" s="26" t="s">
        <v>92</v>
      </c>
      <c r="C401" s="25" t="str">
        <f t="shared" si="6"/>
        <v>homologrecombination</v>
      </c>
      <c r="D401" s="25" t="s">
        <v>13</v>
      </c>
      <c r="E401" s="25" t="s">
        <v>2821</v>
      </c>
      <c r="F401" s="25" t="s">
        <v>2822</v>
      </c>
      <c r="G401" s="25">
        <v>500</v>
      </c>
      <c r="H401" s="25"/>
    </row>
    <row r="402" spans="1:8" ht="14">
      <c r="A402" s="25" t="s">
        <v>1136</v>
      </c>
      <c r="B402" s="26" t="s">
        <v>92</v>
      </c>
      <c r="C402" s="25" t="str">
        <f t="shared" si="6"/>
        <v>biggybac</v>
      </c>
      <c r="D402" s="27" t="s">
        <v>13</v>
      </c>
      <c r="E402" s="25" t="s">
        <v>1137</v>
      </c>
      <c r="F402" s="25" t="s">
        <v>1138</v>
      </c>
      <c r="G402" s="25">
        <v>500</v>
      </c>
      <c r="H402" s="25"/>
    </row>
    <row r="403" spans="1:8" ht="14">
      <c r="A403" s="25" t="s">
        <v>1139</v>
      </c>
      <c r="B403" s="26" t="s">
        <v>92</v>
      </c>
      <c r="C403" s="25" t="str">
        <f t="shared" si="6"/>
        <v>crispr</v>
      </c>
      <c r="D403" s="27" t="s">
        <v>13</v>
      </c>
      <c r="E403" s="25" t="s">
        <v>1140</v>
      </c>
      <c r="F403" s="25" t="s">
        <v>1141</v>
      </c>
      <c r="G403" s="25">
        <v>500</v>
      </c>
      <c r="H403" s="25"/>
    </row>
    <row r="404" spans="1:8" ht="14">
      <c r="A404" s="25" t="s">
        <v>1142</v>
      </c>
      <c r="B404" s="26" t="s">
        <v>92</v>
      </c>
      <c r="C404" s="25" t="str">
        <f t="shared" si="6"/>
        <v>crispr_hdr</v>
      </c>
      <c r="D404" s="27" t="s">
        <v>13</v>
      </c>
      <c r="E404" s="25" t="s">
        <v>1143</v>
      </c>
      <c r="F404" s="25" t="s">
        <v>1144</v>
      </c>
      <c r="G404" s="25">
        <v>500</v>
      </c>
      <c r="H404" s="25"/>
    </row>
    <row r="405" spans="1:8" ht="14">
      <c r="A405" s="25" t="s">
        <v>1145</v>
      </c>
      <c r="B405" s="26" t="s">
        <v>92</v>
      </c>
      <c r="C405" s="25" t="str">
        <f t="shared" si="6"/>
        <v>lentiviral</v>
      </c>
      <c r="D405" s="27" t="s">
        <v>13</v>
      </c>
      <c r="E405" s="25" t="s">
        <v>1146</v>
      </c>
      <c r="F405" s="25" t="s">
        <v>1147</v>
      </c>
      <c r="G405" s="25">
        <v>500</v>
      </c>
      <c r="H405" s="25"/>
    </row>
    <row r="406" spans="1:8" ht="14">
      <c r="A406" s="25" t="s">
        <v>1148</v>
      </c>
      <c r="B406" s="26" t="s">
        <v>92</v>
      </c>
      <c r="C406" s="25" t="str">
        <f t="shared" si="6"/>
        <v>talen</v>
      </c>
      <c r="D406" s="27" t="s">
        <v>13</v>
      </c>
      <c r="E406" s="25" t="s">
        <v>1149</v>
      </c>
      <c r="F406" s="25" t="s">
        <v>1150</v>
      </c>
      <c r="G406" s="25">
        <v>500</v>
      </c>
      <c r="H406" s="25"/>
    </row>
    <row r="407" spans="1:8" ht="14">
      <c r="A407" s="25" t="s">
        <v>1151</v>
      </c>
      <c r="B407" s="26" t="s">
        <v>92</v>
      </c>
      <c r="C407" s="25" t="str">
        <f t="shared" si="6"/>
        <v>zincfinger</v>
      </c>
      <c r="D407" s="27" t="s">
        <v>13</v>
      </c>
      <c r="E407" s="25" t="s">
        <v>1152</v>
      </c>
      <c r="F407" s="25" t="s">
        <v>1153</v>
      </c>
      <c r="G407" s="25">
        <v>500</v>
      </c>
      <c r="H407" s="25"/>
    </row>
    <row r="408" spans="1:8" ht="14">
      <c r="A408" s="25" t="s">
        <v>1154</v>
      </c>
      <c r="B408" s="26" t="s">
        <v>96</v>
      </c>
      <c r="C408" s="25" t="str">
        <f t="shared" si="6"/>
        <v>deletion</v>
      </c>
      <c r="D408" s="27" t="s">
        <v>13</v>
      </c>
      <c r="E408" s="25" t="s">
        <v>1155</v>
      </c>
      <c r="F408" s="25" t="s">
        <v>1156</v>
      </c>
      <c r="G408" s="25">
        <v>500</v>
      </c>
      <c r="H408" s="25"/>
    </row>
    <row r="409" spans="1:8" ht="14">
      <c r="A409" s="25" t="s">
        <v>1157</v>
      </c>
      <c r="B409" s="26" t="s">
        <v>96</v>
      </c>
      <c r="C409" s="25" t="str">
        <f t="shared" si="6"/>
        <v>inducible_expression</v>
      </c>
      <c r="D409" s="27" t="s">
        <v>13</v>
      </c>
      <c r="E409" s="25" t="s">
        <v>1158</v>
      </c>
      <c r="F409" s="25" t="s">
        <v>1159</v>
      </c>
      <c r="G409" s="25">
        <v>500</v>
      </c>
      <c r="H409" s="25"/>
    </row>
    <row r="410" spans="1:8" ht="14">
      <c r="A410" s="25" t="s">
        <v>1160</v>
      </c>
      <c r="B410" s="26" t="s">
        <v>96</v>
      </c>
      <c r="C410" s="25" t="str">
        <f t="shared" si="6"/>
        <v>knockin</v>
      </c>
      <c r="D410" s="27" t="s">
        <v>13</v>
      </c>
      <c r="E410" s="25" t="s">
        <v>1161</v>
      </c>
      <c r="F410" s="25" t="s">
        <v>1162</v>
      </c>
      <c r="G410" s="25">
        <v>500</v>
      </c>
      <c r="H410" s="25"/>
    </row>
    <row r="411" spans="1:8" ht="14">
      <c r="A411" s="25" t="s">
        <v>1163</v>
      </c>
      <c r="B411" s="26" t="s">
        <v>96</v>
      </c>
      <c r="C411" s="25" t="str">
        <f t="shared" si="6"/>
        <v>ko</v>
      </c>
      <c r="D411" s="27" t="s">
        <v>13</v>
      </c>
      <c r="E411" s="25" t="s">
        <v>1164</v>
      </c>
      <c r="F411" s="25" t="s">
        <v>1165</v>
      </c>
      <c r="G411" s="25">
        <v>500</v>
      </c>
      <c r="H411" s="25"/>
    </row>
    <row r="412" spans="1:8" ht="14">
      <c r="A412" s="25" t="s">
        <v>1166</v>
      </c>
      <c r="B412" s="26" t="s">
        <v>96</v>
      </c>
      <c r="C412" s="25" t="str">
        <f t="shared" si="6"/>
        <v>stable_expression</v>
      </c>
      <c r="D412" s="27" t="s">
        <v>13</v>
      </c>
      <c r="E412" s="25" t="s">
        <v>1167</v>
      </c>
      <c r="F412" s="25" t="s">
        <v>1168</v>
      </c>
      <c r="G412" s="25">
        <v>500</v>
      </c>
      <c r="H412" s="25"/>
    </row>
    <row r="413" spans="1:8" ht="14">
      <c r="A413" s="25" t="s">
        <v>3875</v>
      </c>
      <c r="B413" s="26" t="s">
        <v>93</v>
      </c>
      <c r="C413" s="25" t="str">
        <f t="shared" si="6"/>
        <v>hetero</v>
      </c>
      <c r="D413" s="27" t="s">
        <v>13</v>
      </c>
      <c r="E413" s="25" t="s">
        <v>1169</v>
      </c>
      <c r="F413" s="25" t="s">
        <v>1170</v>
      </c>
      <c r="G413" s="25">
        <v>500</v>
      </c>
      <c r="H413" s="25"/>
    </row>
    <row r="414" spans="1:8" ht="14">
      <c r="A414" s="25" t="s">
        <v>3876</v>
      </c>
      <c r="B414" s="26" t="s">
        <v>93</v>
      </c>
      <c r="C414" s="25" t="str">
        <f t="shared" si="6"/>
        <v>homozygot</v>
      </c>
      <c r="D414" s="27" t="s">
        <v>13</v>
      </c>
      <c r="E414" s="25" t="s">
        <v>1171</v>
      </c>
      <c r="F414" s="25" t="s">
        <v>1172</v>
      </c>
      <c r="G414" s="25">
        <v>500</v>
      </c>
      <c r="H414" s="25"/>
    </row>
    <row r="415" spans="1:8" ht="14">
      <c r="A415" s="25" t="s">
        <v>2552</v>
      </c>
      <c r="B415" s="26" t="s">
        <v>93</v>
      </c>
      <c r="C415" s="25" t="str">
        <f t="shared" si="6"/>
        <v>wt</v>
      </c>
      <c r="D415" s="27" t="s">
        <v>13</v>
      </c>
      <c r="E415" s="25" t="s">
        <v>2668</v>
      </c>
      <c r="F415" s="25" t="s">
        <v>2669</v>
      </c>
      <c r="G415" s="25">
        <v>500</v>
      </c>
      <c r="H415" s="25"/>
    </row>
    <row r="416" spans="1:8" ht="14">
      <c r="A416" s="25" t="s">
        <v>2882</v>
      </c>
      <c r="B416" s="26" t="s">
        <v>93</v>
      </c>
      <c r="C416" s="25" t="str">
        <f t="shared" si="6"/>
        <v>hemi</v>
      </c>
      <c r="D416" s="27" t="s">
        <v>13</v>
      </c>
      <c r="E416" s="25" t="s">
        <v>2883</v>
      </c>
      <c r="F416" s="25" t="s">
        <v>2884</v>
      </c>
      <c r="G416" s="25">
        <v>500</v>
      </c>
      <c r="H416" s="25"/>
    </row>
    <row r="417" spans="1:8" ht="14">
      <c r="A417" s="25" t="s">
        <v>2676</v>
      </c>
      <c r="B417" s="26" t="s">
        <v>93</v>
      </c>
      <c r="C417" s="25" t="str">
        <f t="shared" si="6"/>
        <v>unknown</v>
      </c>
      <c r="D417" s="27" t="s">
        <v>13</v>
      </c>
      <c r="E417" s="25" t="s">
        <v>2721</v>
      </c>
      <c r="F417" s="25" t="s">
        <v>2677</v>
      </c>
      <c r="G417" s="25">
        <v>500</v>
      </c>
      <c r="H417" s="25"/>
    </row>
    <row r="418" spans="1:8" ht="14">
      <c r="A418" s="25" t="s">
        <v>2816</v>
      </c>
      <c r="B418" s="26" t="s">
        <v>4395</v>
      </c>
      <c r="C418" s="25" t="str">
        <f t="shared" si="6"/>
        <v>male</v>
      </c>
      <c r="D418" s="27" t="s">
        <v>13</v>
      </c>
      <c r="E418" s="25" t="s">
        <v>2817</v>
      </c>
      <c r="F418" s="25" t="s">
        <v>2817</v>
      </c>
      <c r="G418" s="25">
        <v>500</v>
      </c>
      <c r="H418" s="25"/>
    </row>
    <row r="419" spans="1:8" ht="14">
      <c r="A419" s="25" t="s">
        <v>2818</v>
      </c>
      <c r="B419" s="26" t="s">
        <v>4395</v>
      </c>
      <c r="C419" s="25" t="str">
        <f t="shared" si="6"/>
        <v>female</v>
      </c>
      <c r="D419" s="27" t="s">
        <v>13</v>
      </c>
      <c r="E419" s="25" t="s">
        <v>2819</v>
      </c>
      <c r="F419" s="25" t="s">
        <v>2819</v>
      </c>
      <c r="G419" s="25">
        <v>500</v>
      </c>
      <c r="H419" s="25"/>
    </row>
    <row r="420" spans="1:8" ht="14">
      <c r="A420" s="25" t="s">
        <v>3145</v>
      </c>
      <c r="B420" s="26" t="s">
        <v>3144</v>
      </c>
      <c r="C420" s="25" t="str">
        <f t="shared" si="6"/>
        <v>binary</v>
      </c>
      <c r="D420" s="27" t="s">
        <v>13</v>
      </c>
      <c r="E420" s="25" t="s">
        <v>3146</v>
      </c>
      <c r="F420" s="25" t="s">
        <v>3147</v>
      </c>
      <c r="G420" s="25">
        <v>500</v>
      </c>
      <c r="H420" s="25"/>
    </row>
    <row r="421" spans="1:8" ht="14">
      <c r="A421" s="25" t="s">
        <v>4455</v>
      </c>
      <c r="B421" s="26" t="s">
        <v>99</v>
      </c>
      <c r="C421" s="25" t="str">
        <f t="shared" si="6"/>
        <v>da</v>
      </c>
      <c r="D421" s="27" t="s">
        <v>13</v>
      </c>
      <c r="E421" s="25" t="s">
        <v>4454</v>
      </c>
      <c r="F421" s="25" t="s">
        <v>4457</v>
      </c>
      <c r="G421" s="25">
        <v>500</v>
      </c>
      <c r="H421" s="25"/>
    </row>
    <row r="422" spans="1:8" ht="14">
      <c r="A422" s="25" t="s">
        <v>4456</v>
      </c>
      <c r="B422" s="26" t="s">
        <v>99</v>
      </c>
      <c r="C422" s="25" t="str">
        <f t="shared" si="6"/>
        <v>th</v>
      </c>
      <c r="D422" s="27" t="s">
        <v>13</v>
      </c>
      <c r="E422" s="25" t="s">
        <v>4458</v>
      </c>
      <c r="F422" s="25" t="s">
        <v>4459</v>
      </c>
      <c r="G422" s="25">
        <v>500</v>
      </c>
      <c r="H422" s="25"/>
    </row>
    <row r="423" spans="1:8" ht="14">
      <c r="A423" s="25" t="s">
        <v>1173</v>
      </c>
      <c r="B423" s="26" t="s">
        <v>100</v>
      </c>
      <c r="C423" s="25" t="str">
        <f t="shared" si="6"/>
        <v>esirna</v>
      </c>
      <c r="D423" s="25" t="s">
        <v>1173</v>
      </c>
      <c r="E423" s="25" t="s">
        <v>1174</v>
      </c>
      <c r="F423" s="25" t="s">
        <v>1175</v>
      </c>
      <c r="G423" s="25">
        <v>500</v>
      </c>
      <c r="H423" s="25"/>
    </row>
    <row r="424" spans="1:8" ht="14">
      <c r="A424" s="25" t="s">
        <v>1176</v>
      </c>
      <c r="B424" s="26" t="s">
        <v>100</v>
      </c>
      <c r="C424" s="25" t="str">
        <f t="shared" si="6"/>
        <v>grna</v>
      </c>
      <c r="D424" s="25" t="s">
        <v>1176</v>
      </c>
      <c r="E424" s="25" t="s">
        <v>1177</v>
      </c>
      <c r="F424" s="25" t="s">
        <v>1178</v>
      </c>
      <c r="G424" s="25">
        <v>500</v>
      </c>
      <c r="H424" s="25"/>
    </row>
    <row r="425" spans="1:8" ht="14">
      <c r="A425" s="25" t="s">
        <v>1179</v>
      </c>
      <c r="B425" s="26" t="s">
        <v>100</v>
      </c>
      <c r="C425" s="25" t="str">
        <f t="shared" si="6"/>
        <v>mirna</v>
      </c>
      <c r="D425" s="25" t="s">
        <v>1179</v>
      </c>
      <c r="E425" s="25" t="s">
        <v>1180</v>
      </c>
      <c r="F425" s="25" t="s">
        <v>1181</v>
      </c>
      <c r="G425" s="25">
        <v>500</v>
      </c>
      <c r="H425" s="25"/>
    </row>
    <row r="426" spans="1:8" ht="14">
      <c r="A426" s="25" t="s">
        <v>1182</v>
      </c>
      <c r="B426" s="26" t="s">
        <v>100</v>
      </c>
      <c r="C426" s="25" t="str">
        <f t="shared" si="6"/>
        <v>shrna</v>
      </c>
      <c r="D426" s="25" t="s">
        <v>1182</v>
      </c>
      <c r="E426" s="25" t="s">
        <v>1183</v>
      </c>
      <c r="F426" s="25" t="s">
        <v>1184</v>
      </c>
      <c r="G426" s="25">
        <v>500</v>
      </c>
      <c r="H426" s="25"/>
    </row>
    <row r="427" spans="1:8" ht="14">
      <c r="A427" s="25" t="s">
        <v>1185</v>
      </c>
      <c r="B427" s="26" t="s">
        <v>100</v>
      </c>
      <c r="C427" s="25" t="str">
        <f t="shared" si="6"/>
        <v>sirna</v>
      </c>
      <c r="D427" s="25" t="s">
        <v>1185</v>
      </c>
      <c r="E427" s="25" t="s">
        <v>1186</v>
      </c>
      <c r="F427" s="25" t="s">
        <v>1187</v>
      </c>
      <c r="G427" s="25">
        <v>500</v>
      </c>
      <c r="H427" s="25"/>
    </row>
    <row r="428" spans="1:8" ht="14">
      <c r="A428" s="25" t="s">
        <v>1188</v>
      </c>
      <c r="B428" s="26" t="s">
        <v>4023</v>
      </c>
      <c r="C428" s="25" t="str">
        <f t="shared" si="6"/>
        <v>e1000</v>
      </c>
      <c r="D428" s="25" t="s">
        <v>1188</v>
      </c>
      <c r="E428" s="25" t="s">
        <v>1189</v>
      </c>
      <c r="F428" s="25" t="s">
        <v>1190</v>
      </c>
      <c r="G428" s="25">
        <v>500</v>
      </c>
      <c r="H428" s="25"/>
    </row>
    <row r="429" spans="1:8" ht="14">
      <c r="A429" s="25" t="s">
        <v>1191</v>
      </c>
      <c r="B429" s="26" t="s">
        <v>4023</v>
      </c>
      <c r="C429" s="25" t="str">
        <f t="shared" si="6"/>
        <v>e1200</v>
      </c>
      <c r="D429" s="25" t="s">
        <v>1191</v>
      </c>
      <c r="E429" s="25" t="s">
        <v>1192</v>
      </c>
      <c r="F429" s="25" t="s">
        <v>1193</v>
      </c>
      <c r="G429" s="25">
        <v>500</v>
      </c>
      <c r="H429" s="25"/>
    </row>
    <row r="430" spans="1:8" ht="14">
      <c r="A430" s="25" t="s">
        <v>1194</v>
      </c>
      <c r="B430" s="26" t="s">
        <v>4023</v>
      </c>
      <c r="C430" s="25" t="str">
        <f t="shared" si="6"/>
        <v>evosep</v>
      </c>
      <c r="D430" s="25" t="s">
        <v>1194</v>
      </c>
      <c r="E430" s="25" t="s">
        <v>1195</v>
      </c>
      <c r="F430" s="25" t="s">
        <v>1195</v>
      </c>
      <c r="G430" s="25">
        <v>500</v>
      </c>
      <c r="H430" s="25"/>
    </row>
    <row r="431" spans="1:8" ht="14">
      <c r="A431" s="25" t="s">
        <v>1196</v>
      </c>
      <c r="B431" s="26" t="s">
        <v>4023</v>
      </c>
      <c r="C431" s="25" t="str">
        <f t="shared" ref="C431:C497" si="7">A431</f>
        <v>nanoelute</v>
      </c>
      <c r="D431" s="25" t="s">
        <v>1196</v>
      </c>
      <c r="E431" s="25" t="s">
        <v>1197</v>
      </c>
      <c r="F431" s="25" t="s">
        <v>1198</v>
      </c>
      <c r="G431" s="25">
        <v>500</v>
      </c>
      <c r="H431" s="25"/>
    </row>
    <row r="432" spans="1:8" ht="14">
      <c r="A432" s="25" t="s">
        <v>1199</v>
      </c>
      <c r="B432" s="26" t="s">
        <v>4023</v>
      </c>
      <c r="C432" s="25" t="str">
        <f t="shared" si="7"/>
        <v>ultimate</v>
      </c>
      <c r="D432" s="25" t="s">
        <v>1199</v>
      </c>
      <c r="E432" s="25" t="s">
        <v>1200</v>
      </c>
      <c r="F432" s="25" t="s">
        <v>1201</v>
      </c>
      <c r="G432" s="25">
        <v>500</v>
      </c>
      <c r="H432" s="25"/>
    </row>
    <row r="433" spans="1:8" ht="14">
      <c r="A433" s="25" t="s">
        <v>1202</v>
      </c>
      <c r="B433" s="26" t="s">
        <v>4023</v>
      </c>
      <c r="C433" s="25" t="str">
        <f t="shared" si="7"/>
        <v>vanquish</v>
      </c>
      <c r="D433" s="25" t="s">
        <v>1202</v>
      </c>
      <c r="E433" s="25" t="s">
        <v>1203</v>
      </c>
      <c r="F433" s="25" t="s">
        <v>1204</v>
      </c>
      <c r="G433" s="25">
        <v>500</v>
      </c>
      <c r="H433" s="25"/>
    </row>
    <row r="434" spans="1:8" ht="14">
      <c r="A434" s="25" t="s">
        <v>2876</v>
      </c>
      <c r="B434" s="26" t="s">
        <v>4024</v>
      </c>
      <c r="C434" s="25" t="str">
        <f t="shared" si="7"/>
        <v>easy1200mpi</v>
      </c>
      <c r="D434" s="25" t="s">
        <v>13</v>
      </c>
      <c r="E434" s="25" t="s">
        <v>2877</v>
      </c>
      <c r="F434" s="25" t="s">
        <v>2878</v>
      </c>
      <c r="G434" s="25">
        <v>500</v>
      </c>
      <c r="H434" s="25"/>
    </row>
    <row r="435" spans="1:8" ht="14">
      <c r="A435" s="25" t="s">
        <v>1205</v>
      </c>
      <c r="B435" s="26" t="s">
        <v>4024</v>
      </c>
      <c r="C435" s="25" t="str">
        <f t="shared" si="7"/>
        <v>easylc1</v>
      </c>
      <c r="D435" s="27" t="s">
        <v>13</v>
      </c>
      <c r="E435" s="25" t="s">
        <v>1206</v>
      </c>
      <c r="F435" s="25" t="s">
        <v>1206</v>
      </c>
      <c r="G435" s="25">
        <v>500</v>
      </c>
      <c r="H435" s="25"/>
    </row>
    <row r="436" spans="1:8" ht="14">
      <c r="A436" s="25" t="s">
        <v>1207</v>
      </c>
      <c r="B436" s="26" t="s">
        <v>4024</v>
      </c>
      <c r="C436" s="25" t="str">
        <f t="shared" si="7"/>
        <v>easylc2</v>
      </c>
      <c r="D436" s="27" t="s">
        <v>13</v>
      </c>
      <c r="E436" s="25" t="s">
        <v>1208</v>
      </c>
      <c r="F436" s="25" t="s">
        <v>1208</v>
      </c>
      <c r="G436" s="25">
        <v>500</v>
      </c>
      <c r="H436" s="25"/>
    </row>
    <row r="437" spans="1:8" ht="14">
      <c r="A437" s="25" t="s">
        <v>1209</v>
      </c>
      <c r="B437" s="26" t="s">
        <v>4024</v>
      </c>
      <c r="C437" s="25" t="str">
        <f t="shared" si="7"/>
        <v>evosep1</v>
      </c>
      <c r="D437" s="27" t="s">
        <v>13</v>
      </c>
      <c r="E437" s="25" t="s">
        <v>1210</v>
      </c>
      <c r="F437" s="25" t="s">
        <v>1211</v>
      </c>
      <c r="G437" s="25">
        <v>500</v>
      </c>
      <c r="H437" s="25"/>
    </row>
    <row r="438" spans="1:8" ht="14">
      <c r="A438" s="25" t="s">
        <v>1212</v>
      </c>
      <c r="B438" s="26" t="s">
        <v>4024</v>
      </c>
      <c r="C438" s="25" t="str">
        <f t="shared" si="7"/>
        <v>vanquishneo1</v>
      </c>
      <c r="D438" s="27" t="s">
        <v>13</v>
      </c>
      <c r="E438" s="25" t="s">
        <v>1213</v>
      </c>
      <c r="F438" s="25" t="s">
        <v>1213</v>
      </c>
      <c r="G438" s="25">
        <v>500</v>
      </c>
      <c r="H438" s="25"/>
    </row>
    <row r="439" spans="1:8" ht="14">
      <c r="A439" s="25" t="s">
        <v>1214</v>
      </c>
      <c r="B439" s="26" t="s">
        <v>104</v>
      </c>
      <c r="C439" s="25" t="str">
        <f t="shared" si="7"/>
        <v>bravo</v>
      </c>
      <c r="D439" s="25" t="s">
        <v>1214</v>
      </c>
      <c r="E439" s="25" t="s">
        <v>1215</v>
      </c>
      <c r="F439" s="25" t="s">
        <v>1216</v>
      </c>
      <c r="G439" s="25">
        <v>500</v>
      </c>
      <c r="H439" s="25"/>
    </row>
    <row r="440" spans="1:8" ht="14">
      <c r="A440" s="25" t="s">
        <v>1217</v>
      </c>
      <c r="B440" s="26" t="s">
        <v>104</v>
      </c>
      <c r="C440" s="25" t="str">
        <f t="shared" si="7"/>
        <v>felix</v>
      </c>
      <c r="D440" s="25" t="s">
        <v>1217</v>
      </c>
      <c r="E440" s="25" t="s">
        <v>1218</v>
      </c>
      <c r="F440" s="25" t="s">
        <v>1219</v>
      </c>
      <c r="G440" s="25">
        <v>500</v>
      </c>
      <c r="H440" s="25"/>
    </row>
    <row r="441" spans="1:8" ht="14">
      <c r="A441" s="25" t="s">
        <v>1220</v>
      </c>
      <c r="B441" s="26" t="s">
        <v>104</v>
      </c>
      <c r="C441" s="25" t="str">
        <f t="shared" si="7"/>
        <v>kingfisher</v>
      </c>
      <c r="D441" s="25" t="s">
        <v>1220</v>
      </c>
      <c r="E441" s="25" t="s">
        <v>1221</v>
      </c>
      <c r="F441" s="25" t="s">
        <v>1222</v>
      </c>
      <c r="G441" s="25">
        <v>500</v>
      </c>
      <c r="H441" s="25"/>
    </row>
    <row r="442" spans="1:8" ht="14">
      <c r="A442" s="25" t="s">
        <v>1223</v>
      </c>
      <c r="B442" s="26" t="s">
        <v>104</v>
      </c>
      <c r="C442" s="25" t="str">
        <f t="shared" si="7"/>
        <v>microlabhamilton</v>
      </c>
      <c r="D442" s="25" t="s">
        <v>1223</v>
      </c>
      <c r="E442" s="25" t="s">
        <v>1224</v>
      </c>
      <c r="F442" s="25" t="s">
        <v>1225</v>
      </c>
      <c r="G442" s="25">
        <v>500</v>
      </c>
      <c r="H442" s="25"/>
    </row>
    <row r="443" spans="1:8" ht="14">
      <c r="A443" s="25" t="s">
        <v>1226</v>
      </c>
      <c r="B443" s="26" t="s">
        <v>104</v>
      </c>
      <c r="C443" s="25" t="str">
        <f t="shared" si="7"/>
        <v>mosquitoHV</v>
      </c>
      <c r="D443" s="25" t="s">
        <v>1226</v>
      </c>
      <c r="E443" s="25" t="s">
        <v>1227</v>
      </c>
      <c r="F443" s="25" t="s">
        <v>1228</v>
      </c>
      <c r="G443" s="25">
        <v>500</v>
      </c>
      <c r="H443" s="25"/>
    </row>
    <row r="444" spans="1:8" ht="14">
      <c r="A444" s="25" t="s">
        <v>1229</v>
      </c>
      <c r="B444" s="26" t="s">
        <v>104</v>
      </c>
      <c r="C444" s="25" t="str">
        <f t="shared" si="7"/>
        <v>mosquitoLV</v>
      </c>
      <c r="D444" s="25" t="s">
        <v>1229</v>
      </c>
      <c r="E444" s="25" t="s">
        <v>1230</v>
      </c>
      <c r="F444" s="25" t="s">
        <v>1231</v>
      </c>
      <c r="G444" s="25">
        <v>500</v>
      </c>
      <c r="H444" s="25"/>
    </row>
    <row r="445" spans="1:8" ht="14">
      <c r="A445" s="25" t="s">
        <v>1232</v>
      </c>
      <c r="B445" s="26" t="s">
        <v>104</v>
      </c>
      <c r="C445" s="25" t="str">
        <f t="shared" si="7"/>
        <v>opentrons</v>
      </c>
      <c r="D445" s="25" t="s">
        <v>1232</v>
      </c>
      <c r="E445" s="25" t="s">
        <v>2716</v>
      </c>
      <c r="F445" s="25" t="s">
        <v>2716</v>
      </c>
      <c r="G445" s="25">
        <v>500</v>
      </c>
      <c r="H445" s="25"/>
    </row>
    <row r="446" spans="1:8" ht="14">
      <c r="A446" s="25" t="s">
        <v>2879</v>
      </c>
      <c r="B446" s="26" t="s">
        <v>104</v>
      </c>
      <c r="C446" s="25" t="str">
        <f t="shared" si="7"/>
        <v>opentronsot2</v>
      </c>
      <c r="D446" s="25" t="s">
        <v>1232</v>
      </c>
      <c r="E446" s="25" t="s">
        <v>2717</v>
      </c>
      <c r="F446" s="25" t="s">
        <v>2717</v>
      </c>
      <c r="G446" s="25">
        <v>500</v>
      </c>
      <c r="H446" s="25"/>
    </row>
    <row r="447" spans="1:8" ht="14">
      <c r="A447" s="25" t="s">
        <v>1234</v>
      </c>
      <c r="B447" s="26" t="s">
        <v>104</v>
      </c>
      <c r="C447" s="25" t="str">
        <f t="shared" si="7"/>
        <v>tecan</v>
      </c>
      <c r="D447" s="25" t="s">
        <v>1234</v>
      </c>
      <c r="E447" s="25" t="s">
        <v>1235</v>
      </c>
      <c r="F447" s="25" t="s">
        <v>1236</v>
      </c>
      <c r="G447" s="25">
        <v>500</v>
      </c>
      <c r="H447" s="25"/>
    </row>
    <row r="448" spans="1:8" ht="14">
      <c r="A448" s="25" t="s">
        <v>262</v>
      </c>
      <c r="B448" s="26" t="s">
        <v>104</v>
      </c>
      <c r="C448" s="25" t="str">
        <f t="shared" si="7"/>
        <v>none</v>
      </c>
      <c r="D448" s="25" t="s">
        <v>3040</v>
      </c>
      <c r="E448" s="25" t="s">
        <v>3041</v>
      </c>
      <c r="F448" s="25" t="s">
        <v>3042</v>
      </c>
      <c r="G448" s="25">
        <v>500</v>
      </c>
      <c r="H448" s="25"/>
    </row>
    <row r="449" spans="1:1008" ht="14">
      <c r="A449" s="25" t="s">
        <v>1237</v>
      </c>
      <c r="B449" s="26" t="s">
        <v>106</v>
      </c>
      <c r="C449" s="25" t="str">
        <f t="shared" si="7"/>
        <v>one_sdc</v>
      </c>
      <c r="D449" s="27" t="s">
        <v>13</v>
      </c>
      <c r="E449" s="25" t="s">
        <v>1238</v>
      </c>
      <c r="F449" s="25" t="s">
        <v>1239</v>
      </c>
      <c r="G449" s="25">
        <v>500</v>
      </c>
      <c r="H449" s="25"/>
    </row>
    <row r="450" spans="1:1008" ht="14">
      <c r="A450" s="25" t="s">
        <v>921</v>
      </c>
      <c r="B450" s="26" t="s">
        <v>106</v>
      </c>
      <c r="C450" s="25" t="str">
        <f t="shared" si="7"/>
        <v>sds</v>
      </c>
      <c r="D450" s="27" t="s">
        <v>13</v>
      </c>
      <c r="E450" s="25" t="s">
        <v>1240</v>
      </c>
      <c r="F450" s="25" t="s">
        <v>1241</v>
      </c>
      <c r="G450" s="25">
        <v>500</v>
      </c>
      <c r="H450" s="25"/>
    </row>
    <row r="451" spans="1:1008" ht="14">
      <c r="A451" s="25" t="s">
        <v>1242</v>
      </c>
      <c r="B451" s="26" t="s">
        <v>106</v>
      </c>
      <c r="C451" s="25" t="str">
        <f t="shared" si="7"/>
        <v>two_sdc</v>
      </c>
      <c r="D451" s="27" t="s">
        <v>13</v>
      </c>
      <c r="E451" s="25" t="s">
        <v>1243</v>
      </c>
      <c r="F451" s="25" t="s">
        <v>1244</v>
      </c>
      <c r="G451" s="25">
        <v>500</v>
      </c>
      <c r="H451" s="25"/>
    </row>
    <row r="452" spans="1:1008" ht="14">
      <c r="A452" s="25" t="s">
        <v>1245</v>
      </c>
      <c r="B452" s="26" t="s">
        <v>106</v>
      </c>
      <c r="C452" s="25" t="str">
        <f t="shared" si="7"/>
        <v>urea</v>
      </c>
      <c r="D452" s="27" t="s">
        <v>13</v>
      </c>
      <c r="E452" s="25" t="s">
        <v>1246</v>
      </c>
      <c r="F452" s="25" t="s">
        <v>1247</v>
      </c>
      <c r="G452" s="25">
        <v>500</v>
      </c>
      <c r="H452" s="25"/>
    </row>
    <row r="453" spans="1:1008" ht="14">
      <c r="A453" s="25" t="s">
        <v>3027</v>
      </c>
      <c r="B453" s="26" t="s">
        <v>106</v>
      </c>
      <c r="C453" s="25" t="str">
        <f t="shared" si="7"/>
        <v>ripa</v>
      </c>
      <c r="D453" s="27" t="s">
        <v>13</v>
      </c>
      <c r="E453" s="25" t="s">
        <v>3028</v>
      </c>
      <c r="F453" s="25" t="s">
        <v>3029</v>
      </c>
      <c r="G453" s="25">
        <v>500</v>
      </c>
      <c r="H453" s="25"/>
    </row>
    <row r="454" spans="1:1008" ht="14">
      <c r="A454" s="25" t="s">
        <v>3030</v>
      </c>
      <c r="B454" s="26" t="s">
        <v>106</v>
      </c>
      <c r="C454" s="25" t="str">
        <f t="shared" si="7"/>
        <v>ripasds</v>
      </c>
      <c r="D454" s="27" t="s">
        <v>13</v>
      </c>
      <c r="E454" s="25" t="s">
        <v>3031</v>
      </c>
      <c r="F454" s="25" t="s">
        <v>3032</v>
      </c>
      <c r="G454" s="25">
        <v>500</v>
      </c>
      <c r="H454" s="25"/>
    </row>
    <row r="455" spans="1:1008" ht="14">
      <c r="A455" s="25" t="s">
        <v>2713</v>
      </c>
      <c r="B455" s="26" t="s">
        <v>64</v>
      </c>
      <c r="C455" s="25" t="str">
        <f t="shared" si="7"/>
        <v>chemical</v>
      </c>
      <c r="D455" s="27" t="s">
        <v>13</v>
      </c>
      <c r="E455" s="25" t="s">
        <v>2714</v>
      </c>
      <c r="F455" s="25" t="s">
        <v>2715</v>
      </c>
      <c r="G455" s="25">
        <v>500</v>
      </c>
      <c r="H455" s="25"/>
    </row>
    <row r="456" spans="1:1008" ht="14">
      <c r="A456" s="25" t="s">
        <v>2723</v>
      </c>
      <c r="B456" s="26" t="s">
        <v>64</v>
      </c>
      <c r="C456" s="25" t="str">
        <f t="shared" si="7"/>
        <v>sonicaton</v>
      </c>
      <c r="D456" s="27" t="s">
        <v>13</v>
      </c>
      <c r="E456" s="25" t="s">
        <v>2724</v>
      </c>
      <c r="F456" s="25" t="s">
        <v>2722</v>
      </c>
      <c r="G456" s="25">
        <v>500</v>
      </c>
      <c r="H456" s="25"/>
    </row>
    <row r="457" spans="1:1008" ht="14">
      <c r="A457" s="25" t="s">
        <v>1248</v>
      </c>
      <c r="B457" s="26" t="s">
        <v>64</v>
      </c>
      <c r="C457" s="25" t="str">
        <f t="shared" si="7"/>
        <v>dounce</v>
      </c>
      <c r="D457" s="27" t="s">
        <v>13</v>
      </c>
      <c r="E457" s="25" t="s">
        <v>1249</v>
      </c>
      <c r="F457" s="25" t="s">
        <v>1250</v>
      </c>
      <c r="G457" s="25">
        <v>500</v>
      </c>
      <c r="H457" s="25"/>
    </row>
    <row r="458" spans="1:1008" ht="14">
      <c r="A458" s="25" t="s">
        <v>1251</v>
      </c>
      <c r="B458" s="26" t="s">
        <v>64</v>
      </c>
      <c r="C458" s="25" t="str">
        <f t="shared" si="7"/>
        <v>motar_pestle</v>
      </c>
      <c r="D458" s="27" t="s">
        <v>13</v>
      </c>
      <c r="E458" s="25" t="s">
        <v>1252</v>
      </c>
      <c r="F458" s="25" t="s">
        <v>1253</v>
      </c>
      <c r="G458" s="25">
        <v>500</v>
      </c>
      <c r="H458" s="25"/>
    </row>
    <row r="459" spans="1:1008" ht="14">
      <c r="A459" s="25" t="s">
        <v>1254</v>
      </c>
      <c r="B459" s="26" t="s">
        <v>64</v>
      </c>
      <c r="C459" s="25" t="str">
        <f t="shared" si="7"/>
        <v>paracyllus</v>
      </c>
      <c r="D459" s="27" t="s">
        <v>13</v>
      </c>
      <c r="E459" s="25" t="s">
        <v>1255</v>
      </c>
      <c r="F459" s="25" t="s">
        <v>1256</v>
      </c>
      <c r="G459" s="25">
        <v>500</v>
      </c>
      <c r="H459" s="25"/>
    </row>
    <row r="460" spans="1:1008" ht="60">
      <c r="A460" s="25" t="s">
        <v>2400</v>
      </c>
      <c r="B460" s="26" t="s">
        <v>3044</v>
      </c>
      <c r="C460" s="25" t="str">
        <f t="shared" si="7"/>
        <v>c57bl6j</v>
      </c>
      <c r="D460" s="27" t="s">
        <v>13</v>
      </c>
      <c r="E460" s="25" t="s">
        <v>3045</v>
      </c>
      <c r="F460" s="29" t="s">
        <v>3046</v>
      </c>
      <c r="G460" s="25">
        <v>500</v>
      </c>
      <c r="H460" s="28"/>
      <c r="I460"/>
      <c r="J460"/>
      <c r="K460"/>
      <c r="L460"/>
      <c r="M460"/>
      <c r="N460"/>
      <c r="O460"/>
      <c r="P460"/>
      <c r="Q460"/>
      <c r="R460"/>
      <c r="S460"/>
      <c r="T460"/>
      <c r="U460"/>
      <c r="V460"/>
      <c r="W460"/>
      <c r="X460"/>
      <c r="Y460"/>
      <c r="Z460"/>
      <c r="AA460"/>
      <c r="AB460"/>
      <c r="AC460"/>
      <c r="AD460"/>
      <c r="AE460"/>
      <c r="AF460"/>
      <c r="AG460"/>
      <c r="AH460"/>
      <c r="AI460"/>
      <c r="AJ460"/>
      <c r="AK460"/>
      <c r="AL460"/>
      <c r="AM460"/>
      <c r="AN460"/>
      <c r="AO460"/>
      <c r="AP460"/>
      <c r="AQ460"/>
      <c r="AR460"/>
      <c r="AS460"/>
      <c r="AT460"/>
      <c r="AU460"/>
      <c r="AV460"/>
      <c r="AW460"/>
      <c r="AX460"/>
      <c r="AY460"/>
      <c r="AZ460"/>
      <c r="BA460"/>
      <c r="BB460"/>
      <c r="BC460"/>
      <c r="BD460"/>
      <c r="BE460"/>
      <c r="BF460"/>
      <c r="BG460"/>
      <c r="BH460"/>
      <c r="BI460"/>
      <c r="BJ460"/>
      <c r="BK460"/>
      <c r="BL460"/>
      <c r="BM460"/>
      <c r="BN460"/>
      <c r="BO460"/>
      <c r="BP460"/>
      <c r="BQ460"/>
      <c r="BR460"/>
      <c r="BS460"/>
      <c r="BT460"/>
      <c r="BU460"/>
      <c r="BV460"/>
      <c r="BW460"/>
      <c r="BX460"/>
      <c r="BY460"/>
      <c r="BZ460"/>
      <c r="CA460"/>
      <c r="CB460"/>
      <c r="CC460"/>
      <c r="CD460"/>
      <c r="CE460"/>
      <c r="CF460"/>
      <c r="CG460"/>
      <c r="CH460"/>
      <c r="CI460"/>
      <c r="CJ460"/>
      <c r="CK460"/>
      <c r="CL460"/>
      <c r="CM460"/>
      <c r="CN460"/>
      <c r="CO460"/>
      <c r="CP460"/>
      <c r="CQ460"/>
      <c r="CR460"/>
      <c r="CS460"/>
      <c r="CT460"/>
      <c r="CU460"/>
      <c r="CV460"/>
      <c r="CW460"/>
      <c r="CX460"/>
      <c r="CY460"/>
      <c r="CZ460"/>
      <c r="DA460"/>
      <c r="DB460"/>
      <c r="DC460"/>
      <c r="DD460"/>
      <c r="DE460"/>
      <c r="DF460"/>
      <c r="DG460"/>
      <c r="DH460"/>
      <c r="DI460"/>
      <c r="DJ460"/>
      <c r="DK460"/>
      <c r="DL460"/>
      <c r="DM460"/>
      <c r="DN460"/>
      <c r="DO460"/>
      <c r="DP460"/>
      <c r="DQ460"/>
      <c r="DR460"/>
      <c r="DS460"/>
      <c r="DT460"/>
      <c r="DU460"/>
      <c r="DV460"/>
      <c r="DW460"/>
      <c r="DX460"/>
      <c r="DY460"/>
      <c r="DZ460"/>
      <c r="EA460"/>
      <c r="EB460"/>
      <c r="EC460"/>
      <c r="ED460"/>
      <c r="EE460"/>
      <c r="EF460"/>
      <c r="EG460"/>
      <c r="EH460"/>
      <c r="EI460"/>
      <c r="EJ460"/>
      <c r="EK460"/>
      <c r="EL460"/>
      <c r="EM460"/>
      <c r="EN460"/>
      <c r="EO460"/>
      <c r="EP460"/>
      <c r="EQ460"/>
      <c r="ER460"/>
      <c r="ES460"/>
      <c r="ET460"/>
      <c r="EU460"/>
      <c r="EV460"/>
      <c r="EW460"/>
      <c r="EX460"/>
      <c r="EY460"/>
      <c r="EZ460"/>
      <c r="FA460"/>
      <c r="FB460"/>
      <c r="FC460"/>
      <c r="FD460"/>
      <c r="FE460"/>
      <c r="FF460"/>
      <c r="FG460"/>
      <c r="FH460"/>
      <c r="FI460"/>
      <c r="FJ460"/>
      <c r="FK460"/>
      <c r="FL460"/>
      <c r="FM460"/>
      <c r="FN460"/>
      <c r="FO460"/>
      <c r="FP460"/>
      <c r="FQ460"/>
      <c r="FR460"/>
      <c r="FS460"/>
      <c r="FT460"/>
      <c r="FU460"/>
      <c r="FV460"/>
      <c r="FW460"/>
      <c r="FX460"/>
      <c r="FY460"/>
      <c r="FZ460"/>
      <c r="GA460"/>
      <c r="GB460"/>
      <c r="GC460"/>
      <c r="GD460"/>
      <c r="GE460"/>
      <c r="GF460"/>
      <c r="GG460"/>
      <c r="GH460"/>
      <c r="GI460"/>
      <c r="GJ460"/>
      <c r="GK460"/>
      <c r="GL460"/>
      <c r="GM460"/>
      <c r="GN460"/>
      <c r="GO460"/>
      <c r="GP460"/>
      <c r="GQ460"/>
      <c r="GR460"/>
      <c r="GS460"/>
      <c r="GT460"/>
      <c r="GU460"/>
      <c r="GV460"/>
      <c r="GW460"/>
      <c r="GX460"/>
      <c r="GY460"/>
      <c r="GZ460"/>
      <c r="HA460"/>
      <c r="HB460"/>
      <c r="HC460"/>
      <c r="HD460"/>
      <c r="HE460"/>
      <c r="HF460"/>
      <c r="HG460"/>
      <c r="HH460"/>
      <c r="HI460"/>
      <c r="HJ460"/>
      <c r="HK460"/>
      <c r="HL460"/>
      <c r="HM460"/>
      <c r="HN460"/>
      <c r="HO460"/>
      <c r="HP460"/>
      <c r="HQ460"/>
      <c r="HR460"/>
      <c r="HS460"/>
      <c r="HT460"/>
      <c r="HU460"/>
      <c r="HV460"/>
      <c r="HW460"/>
      <c r="HX460"/>
      <c r="HY460"/>
      <c r="HZ460"/>
      <c r="IA460"/>
      <c r="IB460"/>
      <c r="IC460"/>
      <c r="ID460"/>
      <c r="IE460"/>
      <c r="IF460"/>
      <c r="IG460"/>
      <c r="IH460"/>
      <c r="II460"/>
      <c r="IJ460"/>
      <c r="IK460"/>
      <c r="IL460"/>
      <c r="IM460"/>
      <c r="IN460"/>
      <c r="IO460"/>
      <c r="IP460"/>
      <c r="IQ460"/>
      <c r="IR460"/>
      <c r="IS460"/>
      <c r="IT460"/>
      <c r="IU460"/>
      <c r="IV460"/>
      <c r="IW460"/>
      <c r="IX460"/>
      <c r="IY460"/>
      <c r="IZ460"/>
      <c r="JA460"/>
      <c r="JB460"/>
      <c r="JC460"/>
      <c r="JD460"/>
      <c r="JE460"/>
      <c r="JF460"/>
      <c r="JG460"/>
      <c r="JH460"/>
      <c r="JI460"/>
      <c r="JJ460"/>
      <c r="JK460"/>
      <c r="JL460"/>
      <c r="JM460"/>
      <c r="JN460"/>
      <c r="JO460"/>
      <c r="JP460"/>
      <c r="JQ460"/>
      <c r="JR460"/>
      <c r="JS460"/>
      <c r="JT460"/>
      <c r="JU460"/>
      <c r="JV460"/>
      <c r="JW460"/>
      <c r="JX460"/>
      <c r="JY460"/>
      <c r="JZ460"/>
      <c r="KA460"/>
      <c r="KB460"/>
      <c r="KC460"/>
      <c r="KD460"/>
      <c r="KE460"/>
      <c r="KF460"/>
      <c r="KG460"/>
      <c r="KH460"/>
      <c r="KI460"/>
      <c r="KJ460"/>
      <c r="KK460"/>
      <c r="KL460"/>
      <c r="KM460"/>
      <c r="KN460"/>
      <c r="KO460"/>
      <c r="KP460"/>
      <c r="KQ460"/>
      <c r="KR460"/>
      <c r="KS460"/>
      <c r="KT460"/>
      <c r="KU460"/>
      <c r="KV460"/>
      <c r="KW460"/>
      <c r="KX460"/>
      <c r="KY460"/>
      <c r="KZ460"/>
      <c r="LA460"/>
      <c r="LB460"/>
      <c r="LC460"/>
      <c r="LD460"/>
      <c r="LE460"/>
      <c r="LF460"/>
      <c r="LG460"/>
      <c r="LH460"/>
      <c r="LI460"/>
      <c r="LJ460"/>
      <c r="LK460"/>
      <c r="LL460"/>
      <c r="LM460"/>
      <c r="LN460"/>
      <c r="LO460"/>
      <c r="LP460"/>
      <c r="LQ460"/>
      <c r="LR460"/>
      <c r="LS460"/>
      <c r="LT460"/>
      <c r="LU460"/>
      <c r="LV460"/>
      <c r="LW460"/>
      <c r="LX460"/>
      <c r="LY460"/>
      <c r="LZ460"/>
      <c r="MA460"/>
      <c r="MB460"/>
      <c r="MC460"/>
      <c r="MD460"/>
      <c r="ME460"/>
      <c r="MF460"/>
      <c r="MG460"/>
      <c r="MH460"/>
      <c r="MI460"/>
      <c r="MJ460"/>
      <c r="MK460"/>
      <c r="ML460"/>
      <c r="MM460"/>
      <c r="MN460"/>
      <c r="MO460"/>
      <c r="MP460"/>
      <c r="MQ460"/>
      <c r="MR460"/>
      <c r="MS460"/>
      <c r="MT460"/>
      <c r="MU460"/>
      <c r="MV460"/>
      <c r="MW460"/>
      <c r="MX460"/>
      <c r="MY460"/>
      <c r="MZ460"/>
      <c r="NA460"/>
      <c r="NB460"/>
      <c r="NC460"/>
      <c r="ND460"/>
      <c r="NE460"/>
      <c r="NF460"/>
      <c r="NG460"/>
      <c r="NH460"/>
      <c r="NI460"/>
      <c r="NJ460"/>
      <c r="NK460"/>
      <c r="NL460"/>
      <c r="NM460"/>
      <c r="NN460"/>
      <c r="NO460"/>
      <c r="NP460"/>
      <c r="NQ460"/>
      <c r="NR460"/>
      <c r="NS460"/>
      <c r="NT460"/>
      <c r="NU460"/>
      <c r="NV460"/>
      <c r="NW460"/>
      <c r="NX460"/>
      <c r="NY460"/>
      <c r="NZ460"/>
      <c r="OA460"/>
      <c r="OB460"/>
      <c r="OC460"/>
      <c r="OD460"/>
      <c r="OE460"/>
      <c r="OF460"/>
      <c r="OG460"/>
      <c r="OH460"/>
      <c r="OI460"/>
      <c r="OJ460"/>
      <c r="OK460"/>
      <c r="OL460"/>
      <c r="OM460"/>
      <c r="ON460"/>
      <c r="OO460"/>
      <c r="OP460"/>
      <c r="OQ460"/>
      <c r="OR460"/>
      <c r="OS460"/>
      <c r="OT460"/>
      <c r="OU460"/>
      <c r="OV460"/>
      <c r="OW460"/>
      <c r="OX460"/>
      <c r="OY460"/>
      <c r="OZ460"/>
      <c r="PA460"/>
      <c r="PB460"/>
      <c r="PC460"/>
      <c r="PD460"/>
      <c r="PE460"/>
      <c r="PF460"/>
      <c r="PG460"/>
      <c r="PH460"/>
      <c r="PI460"/>
      <c r="PJ460"/>
      <c r="PK460"/>
      <c r="PL460"/>
      <c r="PM460"/>
      <c r="PN460"/>
      <c r="PO460"/>
      <c r="PP460"/>
      <c r="PQ460"/>
      <c r="PR460"/>
      <c r="PS460"/>
      <c r="PT460"/>
      <c r="PU460"/>
      <c r="PV460"/>
      <c r="PW460"/>
      <c r="PX460"/>
      <c r="PY460"/>
      <c r="PZ460"/>
      <c r="QA460"/>
      <c r="QB460"/>
      <c r="QC460"/>
      <c r="QD460"/>
      <c r="QE460"/>
      <c r="QF460"/>
      <c r="QG460"/>
      <c r="QH460"/>
      <c r="QI460"/>
      <c r="QJ460"/>
      <c r="QK460"/>
      <c r="QL460"/>
      <c r="QM460"/>
      <c r="QN460"/>
      <c r="QO460"/>
      <c r="QP460"/>
      <c r="QQ460"/>
      <c r="QR460"/>
      <c r="QS460"/>
      <c r="QT460"/>
      <c r="QU460"/>
      <c r="QV460"/>
      <c r="QW460"/>
      <c r="QX460"/>
      <c r="QY460"/>
      <c r="QZ460"/>
      <c r="RA460"/>
      <c r="RB460"/>
      <c r="RC460"/>
      <c r="RD460"/>
      <c r="RE460"/>
      <c r="RF460"/>
      <c r="RG460"/>
      <c r="RH460"/>
      <c r="RI460"/>
      <c r="RJ460"/>
      <c r="RK460"/>
      <c r="RL460"/>
      <c r="RM460"/>
      <c r="RN460"/>
      <c r="RO460"/>
      <c r="RP460"/>
      <c r="RQ460"/>
      <c r="RR460"/>
      <c r="RS460"/>
      <c r="RT460"/>
      <c r="RU460"/>
      <c r="RV460"/>
      <c r="RW460"/>
      <c r="RX460"/>
      <c r="RY460"/>
      <c r="RZ460"/>
      <c r="SA460"/>
      <c r="SB460"/>
      <c r="SC460"/>
      <c r="SD460"/>
      <c r="SE460"/>
      <c r="SF460"/>
      <c r="SG460"/>
      <c r="SH460"/>
      <c r="SI460"/>
      <c r="SJ460"/>
      <c r="SK460"/>
      <c r="SL460"/>
      <c r="SM460"/>
      <c r="SN460"/>
      <c r="SO460"/>
      <c r="SP460"/>
      <c r="SQ460"/>
      <c r="SR460"/>
      <c r="SS460"/>
      <c r="ST460"/>
      <c r="SU460"/>
      <c r="SV460"/>
      <c r="SW460"/>
      <c r="SX460"/>
      <c r="SY460"/>
      <c r="SZ460"/>
      <c r="TA460"/>
      <c r="TB460"/>
      <c r="TC460"/>
      <c r="TD460"/>
      <c r="TE460"/>
      <c r="TF460"/>
      <c r="TG460"/>
      <c r="TH460"/>
      <c r="TI460"/>
      <c r="TJ460"/>
      <c r="TK460"/>
      <c r="TL460"/>
      <c r="TM460"/>
      <c r="TN460"/>
      <c r="TO460"/>
      <c r="TP460"/>
      <c r="TQ460"/>
      <c r="TR460"/>
      <c r="TS460"/>
      <c r="TT460"/>
      <c r="TU460"/>
      <c r="TV460"/>
      <c r="TW460"/>
      <c r="TX460"/>
      <c r="TY460"/>
      <c r="TZ460"/>
      <c r="UA460"/>
      <c r="UB460"/>
      <c r="UC460"/>
      <c r="UD460"/>
      <c r="UE460"/>
      <c r="UF460"/>
      <c r="UG460"/>
      <c r="UH460"/>
      <c r="UI460"/>
      <c r="UJ460"/>
      <c r="UK460"/>
      <c r="UL460"/>
      <c r="UM460"/>
      <c r="UN460"/>
      <c r="UO460"/>
      <c r="UP460"/>
      <c r="UQ460"/>
      <c r="UR460"/>
      <c r="US460"/>
      <c r="UT460"/>
      <c r="UU460"/>
      <c r="UV460"/>
      <c r="UW460"/>
      <c r="UX460"/>
      <c r="UY460"/>
      <c r="UZ460"/>
      <c r="VA460"/>
      <c r="VB460"/>
      <c r="VC460"/>
      <c r="VD460"/>
      <c r="VE460"/>
      <c r="VF460"/>
      <c r="VG460"/>
      <c r="VH460"/>
      <c r="VI460"/>
      <c r="VJ460"/>
      <c r="VK460"/>
      <c r="VL460"/>
      <c r="VM460"/>
      <c r="VN460"/>
      <c r="VO460"/>
      <c r="VP460"/>
      <c r="VQ460"/>
      <c r="VR460"/>
      <c r="VS460"/>
      <c r="VT460"/>
      <c r="VU460"/>
      <c r="VV460"/>
      <c r="VW460"/>
      <c r="VX460"/>
      <c r="VY460"/>
      <c r="VZ460"/>
      <c r="WA460"/>
      <c r="WB460"/>
      <c r="WC460"/>
      <c r="WD460"/>
      <c r="WE460"/>
      <c r="WF460"/>
      <c r="WG460"/>
      <c r="WH460"/>
      <c r="WI460"/>
      <c r="WJ460"/>
      <c r="WK460"/>
      <c r="WL460"/>
      <c r="WM460"/>
      <c r="WN460"/>
      <c r="WO460"/>
      <c r="WP460"/>
      <c r="WQ460"/>
      <c r="WR460"/>
      <c r="WS460"/>
      <c r="WT460"/>
      <c r="WU460"/>
      <c r="WV460"/>
      <c r="WW460"/>
      <c r="WX460"/>
      <c r="WY460"/>
      <c r="WZ460"/>
      <c r="XA460"/>
      <c r="XB460"/>
      <c r="XC460"/>
      <c r="XD460"/>
      <c r="XE460"/>
      <c r="XF460"/>
      <c r="XG460"/>
      <c r="XH460"/>
      <c r="XI460"/>
      <c r="XJ460"/>
      <c r="XK460"/>
      <c r="XL460"/>
      <c r="XM460"/>
      <c r="XN460"/>
      <c r="XO460"/>
      <c r="XP460"/>
      <c r="XQ460"/>
      <c r="XR460"/>
      <c r="XS460"/>
      <c r="XT460"/>
      <c r="XU460"/>
      <c r="XV460"/>
      <c r="XW460"/>
      <c r="XX460"/>
      <c r="XY460"/>
      <c r="XZ460"/>
      <c r="YA460"/>
      <c r="YB460"/>
      <c r="YC460"/>
      <c r="YD460"/>
      <c r="YE460"/>
      <c r="YF460"/>
      <c r="YG460"/>
      <c r="YH460"/>
      <c r="YI460"/>
      <c r="YJ460"/>
      <c r="YK460"/>
      <c r="YL460"/>
      <c r="YM460"/>
      <c r="YN460"/>
      <c r="YO460"/>
      <c r="YP460"/>
      <c r="YQ460"/>
      <c r="YR460"/>
      <c r="YS460"/>
      <c r="YT460"/>
      <c r="YU460"/>
      <c r="YV460"/>
      <c r="YW460"/>
      <c r="YX460"/>
      <c r="YY460"/>
      <c r="YZ460"/>
      <c r="ZA460"/>
      <c r="ZB460"/>
      <c r="ZC460"/>
      <c r="ZD460"/>
      <c r="ZE460"/>
      <c r="ZF460"/>
      <c r="ZG460"/>
      <c r="ZH460"/>
      <c r="ZI460"/>
      <c r="ZJ460"/>
      <c r="ZK460"/>
      <c r="ZL460"/>
      <c r="ZM460"/>
      <c r="ZN460"/>
      <c r="ZO460"/>
      <c r="ZP460"/>
      <c r="ZQ460"/>
      <c r="ZR460"/>
      <c r="ZS460"/>
      <c r="ZT460"/>
      <c r="ZU460"/>
      <c r="ZV460"/>
      <c r="ZW460"/>
      <c r="ZX460"/>
      <c r="ZY460"/>
      <c r="ZZ460"/>
      <c r="AAA460"/>
      <c r="AAB460"/>
      <c r="AAC460"/>
      <c r="AAD460"/>
      <c r="AAE460"/>
      <c r="AAF460"/>
      <c r="AAG460"/>
      <c r="AAH460"/>
      <c r="AAI460"/>
      <c r="AAJ460"/>
      <c r="AAK460"/>
      <c r="AAL460"/>
      <c r="AAM460"/>
      <c r="AAN460"/>
      <c r="AAO460"/>
      <c r="AAP460"/>
      <c r="AAQ460"/>
      <c r="AAR460"/>
      <c r="AAS460"/>
      <c r="AAT460"/>
      <c r="AAU460"/>
      <c r="AAV460"/>
      <c r="AAW460"/>
      <c r="AAX460"/>
      <c r="AAY460"/>
      <c r="AAZ460"/>
      <c r="ABA460"/>
      <c r="ABB460"/>
      <c r="ABC460"/>
      <c r="ABD460"/>
      <c r="ABE460"/>
      <c r="ABF460"/>
      <c r="ABG460"/>
      <c r="ABH460"/>
      <c r="ABI460"/>
      <c r="ABJ460"/>
      <c r="ABK460"/>
      <c r="ABL460"/>
      <c r="ABM460"/>
      <c r="ABN460"/>
      <c r="ABO460"/>
      <c r="ABP460"/>
      <c r="ABQ460"/>
      <c r="ABR460"/>
      <c r="ABS460"/>
      <c r="ABT460"/>
      <c r="ABU460"/>
      <c r="ABV460"/>
      <c r="ABW460"/>
      <c r="ABX460"/>
      <c r="ABY460"/>
      <c r="ABZ460"/>
      <c r="ACA460"/>
      <c r="ACB460"/>
      <c r="ACC460"/>
      <c r="ACD460"/>
      <c r="ACE460"/>
      <c r="ACF460"/>
      <c r="ACG460"/>
      <c r="ACH460"/>
      <c r="ACI460"/>
      <c r="ACJ460"/>
      <c r="ACK460"/>
      <c r="ACL460"/>
      <c r="ACM460"/>
      <c r="ACN460"/>
      <c r="ACO460"/>
      <c r="ACP460"/>
      <c r="ACQ460"/>
      <c r="ACR460"/>
      <c r="ACS460"/>
      <c r="ACT460"/>
      <c r="ACU460"/>
      <c r="ACV460"/>
      <c r="ACW460"/>
      <c r="ACX460"/>
      <c r="ACY460"/>
      <c r="ACZ460"/>
      <c r="ADA460"/>
      <c r="ADB460"/>
      <c r="ADC460"/>
      <c r="ADD460"/>
      <c r="ADE460"/>
      <c r="ADF460"/>
      <c r="ADG460"/>
      <c r="ADH460"/>
      <c r="ADI460"/>
      <c r="ADJ460"/>
      <c r="ADK460"/>
      <c r="ADL460"/>
      <c r="ADM460"/>
      <c r="ADN460"/>
      <c r="ADO460"/>
      <c r="ADP460"/>
      <c r="ADQ460"/>
      <c r="ADR460"/>
      <c r="ADS460"/>
      <c r="ADT460"/>
      <c r="ADU460"/>
      <c r="ADV460"/>
      <c r="ADW460"/>
      <c r="ADX460"/>
      <c r="ADY460"/>
      <c r="ADZ460"/>
      <c r="AEA460"/>
      <c r="AEB460"/>
      <c r="AEC460"/>
      <c r="AED460"/>
      <c r="AEE460"/>
      <c r="AEF460"/>
      <c r="AEG460"/>
      <c r="AEH460"/>
      <c r="AEI460"/>
      <c r="AEJ460"/>
      <c r="AEK460"/>
      <c r="AEL460"/>
      <c r="AEM460"/>
      <c r="AEN460"/>
      <c r="AEO460"/>
      <c r="AEP460"/>
      <c r="AEQ460"/>
      <c r="AER460"/>
      <c r="AES460"/>
      <c r="AET460"/>
      <c r="AEU460"/>
      <c r="AEV460"/>
      <c r="AEW460"/>
      <c r="AEX460"/>
      <c r="AEY460"/>
      <c r="AEZ460"/>
      <c r="AFA460"/>
      <c r="AFB460"/>
      <c r="AFC460"/>
      <c r="AFD460"/>
      <c r="AFE460"/>
      <c r="AFF460"/>
      <c r="AFG460"/>
      <c r="AFH460"/>
      <c r="AFI460"/>
      <c r="AFJ460"/>
      <c r="AFK460"/>
      <c r="AFL460"/>
      <c r="AFM460"/>
      <c r="AFN460"/>
      <c r="AFO460"/>
      <c r="AFP460"/>
      <c r="AFQ460"/>
      <c r="AFR460"/>
      <c r="AFS460"/>
      <c r="AFT460"/>
      <c r="AFU460"/>
      <c r="AFV460"/>
      <c r="AFW460"/>
      <c r="AFX460"/>
      <c r="AFY460"/>
      <c r="AFZ460"/>
      <c r="AGA460"/>
      <c r="AGB460"/>
      <c r="AGC460"/>
      <c r="AGD460"/>
      <c r="AGE460"/>
      <c r="AGF460"/>
      <c r="AGG460"/>
      <c r="AGH460"/>
      <c r="AGI460"/>
      <c r="AGJ460"/>
      <c r="AGK460"/>
      <c r="AGL460"/>
      <c r="AGM460"/>
      <c r="AGN460"/>
      <c r="AGO460"/>
      <c r="AGP460"/>
      <c r="AGQ460"/>
      <c r="AGR460"/>
      <c r="AGS460"/>
      <c r="AGT460"/>
      <c r="AGU460"/>
      <c r="AGV460"/>
      <c r="AGW460"/>
      <c r="AGX460"/>
      <c r="AGY460"/>
      <c r="AGZ460"/>
      <c r="AHA460"/>
      <c r="AHB460"/>
      <c r="AHC460"/>
      <c r="AHD460"/>
      <c r="AHE460"/>
      <c r="AHF460"/>
      <c r="AHG460"/>
      <c r="AHH460"/>
      <c r="AHI460"/>
      <c r="AHJ460"/>
      <c r="AHK460"/>
      <c r="AHL460"/>
      <c r="AHM460"/>
      <c r="AHN460"/>
      <c r="AHO460"/>
      <c r="AHP460"/>
      <c r="AHQ460"/>
      <c r="AHR460"/>
      <c r="AHS460"/>
      <c r="AHT460"/>
      <c r="AHU460"/>
      <c r="AHV460"/>
      <c r="AHW460"/>
      <c r="AHX460"/>
      <c r="AHY460"/>
      <c r="AHZ460"/>
      <c r="AIA460"/>
      <c r="AIB460"/>
      <c r="AIC460"/>
      <c r="AID460"/>
      <c r="AIE460"/>
      <c r="AIF460"/>
      <c r="AIG460"/>
      <c r="AIH460"/>
      <c r="AII460"/>
      <c r="AIJ460"/>
      <c r="AIK460"/>
      <c r="AIL460"/>
      <c r="AIM460"/>
      <c r="AIN460"/>
      <c r="AIO460"/>
      <c r="AIP460"/>
      <c r="AIQ460"/>
      <c r="AIR460"/>
      <c r="AIS460"/>
      <c r="AIT460"/>
      <c r="AIU460"/>
      <c r="AIV460"/>
      <c r="AIW460"/>
      <c r="AIX460"/>
      <c r="AIY460"/>
      <c r="AIZ460"/>
      <c r="AJA460"/>
      <c r="AJB460"/>
      <c r="AJC460"/>
      <c r="AJD460"/>
      <c r="AJE460"/>
      <c r="AJF460"/>
      <c r="AJG460"/>
      <c r="AJH460"/>
      <c r="AJI460"/>
      <c r="AJJ460"/>
      <c r="AJK460"/>
      <c r="AJL460"/>
      <c r="AJM460"/>
      <c r="AJN460"/>
      <c r="AJO460"/>
      <c r="AJP460"/>
      <c r="AJQ460"/>
      <c r="AJR460"/>
      <c r="AJS460"/>
      <c r="AJT460"/>
      <c r="AJU460"/>
      <c r="AJV460"/>
      <c r="AJW460"/>
      <c r="AJX460"/>
      <c r="AJY460"/>
      <c r="AJZ460"/>
      <c r="AKA460"/>
      <c r="AKB460"/>
      <c r="AKC460"/>
      <c r="AKD460"/>
      <c r="AKE460"/>
      <c r="AKF460"/>
      <c r="AKG460"/>
      <c r="AKH460"/>
      <c r="AKI460"/>
      <c r="AKJ460"/>
      <c r="AKK460"/>
      <c r="AKL460"/>
      <c r="AKM460"/>
      <c r="AKN460"/>
      <c r="AKO460"/>
      <c r="AKP460"/>
      <c r="AKQ460"/>
      <c r="AKR460"/>
      <c r="AKS460"/>
      <c r="AKT460"/>
      <c r="AKU460"/>
      <c r="AKV460"/>
      <c r="AKW460"/>
      <c r="AKX460"/>
      <c r="AKY460"/>
      <c r="AKZ460"/>
      <c r="ALA460"/>
      <c r="ALB460"/>
      <c r="ALC460"/>
      <c r="ALD460"/>
      <c r="ALE460"/>
      <c r="ALF460"/>
      <c r="ALG460"/>
      <c r="ALH460"/>
      <c r="ALI460"/>
      <c r="ALJ460"/>
      <c r="ALK460"/>
      <c r="ALL460"/>
      <c r="ALM460"/>
      <c r="ALN460"/>
      <c r="ALO460"/>
      <c r="ALP460"/>
      <c r="ALQ460"/>
      <c r="ALR460"/>
      <c r="ALS460"/>
      <c r="ALT460"/>
    </row>
    <row r="461" spans="1:1008" ht="15">
      <c r="A461" s="25" t="s">
        <v>3167</v>
      </c>
      <c r="B461" s="26" t="s">
        <v>3044</v>
      </c>
      <c r="C461" s="25" t="str">
        <f t="shared" si="7"/>
        <v>c57bl6n</v>
      </c>
      <c r="D461" s="27" t="s">
        <v>13</v>
      </c>
      <c r="E461" s="25" t="s">
        <v>3168</v>
      </c>
      <c r="F461" s="29" t="s">
        <v>3169</v>
      </c>
      <c r="G461" s="25">
        <v>500</v>
      </c>
      <c r="H461" s="28"/>
      <c r="I461"/>
      <c r="J461"/>
      <c r="K461"/>
      <c r="L461"/>
      <c r="M461"/>
      <c r="N461"/>
      <c r="O461"/>
      <c r="P461"/>
      <c r="Q461"/>
      <c r="R461"/>
      <c r="S461"/>
      <c r="T461"/>
      <c r="U461"/>
      <c r="V461"/>
      <c r="W461"/>
      <c r="X461"/>
      <c r="Y461"/>
      <c r="Z461"/>
      <c r="AA461"/>
      <c r="AB461"/>
      <c r="AC461"/>
      <c r="AD461"/>
      <c r="AE461"/>
      <c r="AF461"/>
      <c r="AG461"/>
      <c r="AH461"/>
      <c r="AI461"/>
      <c r="AJ461"/>
      <c r="AK461"/>
      <c r="AL461"/>
      <c r="AM461"/>
      <c r="AN461"/>
      <c r="AO461"/>
      <c r="AP461"/>
      <c r="AQ461"/>
      <c r="AR461"/>
      <c r="AS461"/>
      <c r="AT461"/>
      <c r="AU461"/>
      <c r="AV461"/>
      <c r="AW461"/>
      <c r="AX461"/>
      <c r="AY461"/>
      <c r="AZ461"/>
      <c r="BA461"/>
      <c r="BB461"/>
      <c r="BC461"/>
      <c r="BD461"/>
      <c r="BE461"/>
      <c r="BF461"/>
      <c r="BG461"/>
      <c r="BH461"/>
      <c r="BI461"/>
      <c r="BJ461"/>
      <c r="BK461"/>
      <c r="BL461"/>
      <c r="BM461"/>
      <c r="BN461"/>
      <c r="BO461"/>
      <c r="BP461"/>
      <c r="BQ461"/>
      <c r="BR461"/>
      <c r="BS461"/>
      <c r="BT461"/>
      <c r="BU461"/>
      <c r="BV461"/>
      <c r="BW461"/>
      <c r="BX461"/>
      <c r="BY461"/>
      <c r="BZ461"/>
      <c r="CA461"/>
      <c r="CB461"/>
      <c r="CC461"/>
      <c r="CD461"/>
      <c r="CE461"/>
      <c r="CF461"/>
      <c r="CG461"/>
      <c r="CH461"/>
      <c r="CI461"/>
      <c r="CJ461"/>
      <c r="CK461"/>
      <c r="CL461"/>
      <c r="CM461"/>
      <c r="CN461"/>
      <c r="CO461"/>
      <c r="CP461"/>
      <c r="CQ461"/>
      <c r="CR461"/>
      <c r="CS461"/>
      <c r="CT461"/>
      <c r="CU461"/>
      <c r="CV461"/>
      <c r="CW461"/>
      <c r="CX461"/>
      <c r="CY461"/>
      <c r="CZ461"/>
      <c r="DA461"/>
      <c r="DB461"/>
      <c r="DC461"/>
      <c r="DD461"/>
      <c r="DE461"/>
      <c r="DF461"/>
      <c r="DG461"/>
      <c r="DH461"/>
      <c r="DI461"/>
      <c r="DJ461"/>
      <c r="DK461"/>
      <c r="DL461"/>
      <c r="DM461"/>
      <c r="DN461"/>
      <c r="DO461"/>
      <c r="DP461"/>
      <c r="DQ461"/>
      <c r="DR461"/>
      <c r="DS461"/>
      <c r="DT461"/>
      <c r="DU461"/>
      <c r="DV461"/>
      <c r="DW461"/>
      <c r="DX461"/>
      <c r="DY461"/>
      <c r="DZ461"/>
      <c r="EA461"/>
      <c r="EB461"/>
      <c r="EC461"/>
      <c r="ED461"/>
      <c r="EE461"/>
      <c r="EF461"/>
      <c r="EG461"/>
      <c r="EH461"/>
      <c r="EI461"/>
      <c r="EJ461"/>
      <c r="EK461"/>
      <c r="EL461"/>
      <c r="EM461"/>
      <c r="EN461"/>
      <c r="EO461"/>
      <c r="EP461"/>
      <c r="EQ461"/>
      <c r="ER461"/>
      <c r="ES461"/>
      <c r="ET461"/>
      <c r="EU461"/>
      <c r="EV461"/>
      <c r="EW461"/>
      <c r="EX461"/>
      <c r="EY461"/>
      <c r="EZ461"/>
      <c r="FA461"/>
      <c r="FB461"/>
      <c r="FC461"/>
      <c r="FD461"/>
      <c r="FE461"/>
      <c r="FF461"/>
      <c r="FG461"/>
      <c r="FH461"/>
      <c r="FI461"/>
      <c r="FJ461"/>
      <c r="FK461"/>
      <c r="FL461"/>
      <c r="FM461"/>
      <c r="FN461"/>
      <c r="FO461"/>
      <c r="FP461"/>
      <c r="FQ461"/>
      <c r="FR461"/>
      <c r="FS461"/>
      <c r="FT461"/>
      <c r="FU461"/>
      <c r="FV461"/>
      <c r="FW461"/>
      <c r="FX461"/>
      <c r="FY461"/>
      <c r="FZ461"/>
      <c r="GA461"/>
      <c r="GB461"/>
      <c r="GC461"/>
      <c r="GD461"/>
      <c r="GE461"/>
      <c r="GF461"/>
      <c r="GG461"/>
      <c r="GH461"/>
      <c r="GI461"/>
      <c r="GJ461"/>
      <c r="GK461"/>
      <c r="GL461"/>
      <c r="GM461"/>
      <c r="GN461"/>
      <c r="GO461"/>
      <c r="GP461"/>
      <c r="GQ461"/>
      <c r="GR461"/>
      <c r="GS461"/>
      <c r="GT461"/>
      <c r="GU461"/>
      <c r="GV461"/>
      <c r="GW461"/>
      <c r="GX461"/>
      <c r="GY461"/>
      <c r="GZ461"/>
      <c r="HA461"/>
      <c r="HB461"/>
      <c r="HC461"/>
      <c r="HD461"/>
      <c r="HE461"/>
      <c r="HF461"/>
      <c r="HG461"/>
      <c r="HH461"/>
      <c r="HI461"/>
      <c r="HJ461"/>
      <c r="HK461"/>
      <c r="HL461"/>
      <c r="HM461"/>
      <c r="HN461"/>
      <c r="HO461"/>
      <c r="HP461"/>
      <c r="HQ461"/>
      <c r="HR461"/>
      <c r="HS461"/>
      <c r="HT461"/>
      <c r="HU461"/>
      <c r="HV461"/>
      <c r="HW461"/>
      <c r="HX461"/>
      <c r="HY461"/>
      <c r="HZ461"/>
      <c r="IA461"/>
      <c r="IB461"/>
      <c r="IC461"/>
      <c r="ID461"/>
      <c r="IE461"/>
      <c r="IF461"/>
      <c r="IG461"/>
      <c r="IH461"/>
      <c r="II461"/>
      <c r="IJ461"/>
      <c r="IK461"/>
      <c r="IL461"/>
      <c r="IM461"/>
      <c r="IN461"/>
      <c r="IO461"/>
      <c r="IP461"/>
      <c r="IQ461"/>
      <c r="IR461"/>
      <c r="IS461"/>
      <c r="IT461"/>
      <c r="IU461"/>
      <c r="IV461"/>
      <c r="IW461"/>
      <c r="IX461"/>
      <c r="IY461"/>
      <c r="IZ461"/>
      <c r="JA461"/>
      <c r="JB461"/>
      <c r="JC461"/>
      <c r="JD461"/>
      <c r="JE461"/>
      <c r="JF461"/>
      <c r="JG461"/>
      <c r="JH461"/>
      <c r="JI461"/>
      <c r="JJ461"/>
      <c r="JK461"/>
      <c r="JL461"/>
      <c r="JM461"/>
      <c r="JN461"/>
      <c r="JO461"/>
      <c r="JP461"/>
      <c r="JQ461"/>
      <c r="JR461"/>
      <c r="JS461"/>
      <c r="JT461"/>
      <c r="JU461"/>
      <c r="JV461"/>
      <c r="JW461"/>
      <c r="JX461"/>
      <c r="JY461"/>
      <c r="JZ461"/>
      <c r="KA461"/>
      <c r="KB461"/>
      <c r="KC461"/>
      <c r="KD461"/>
      <c r="KE461"/>
      <c r="KF461"/>
      <c r="KG461"/>
      <c r="KH461"/>
      <c r="KI461"/>
      <c r="KJ461"/>
      <c r="KK461"/>
      <c r="KL461"/>
      <c r="KM461"/>
      <c r="KN461"/>
      <c r="KO461"/>
      <c r="KP461"/>
      <c r="KQ461"/>
      <c r="KR461"/>
      <c r="KS461"/>
      <c r="KT461"/>
      <c r="KU461"/>
      <c r="KV461"/>
      <c r="KW461"/>
      <c r="KX461"/>
      <c r="KY461"/>
      <c r="KZ461"/>
      <c r="LA461"/>
      <c r="LB461"/>
      <c r="LC461"/>
      <c r="LD461"/>
      <c r="LE461"/>
      <c r="LF461"/>
      <c r="LG461"/>
      <c r="LH461"/>
      <c r="LI461"/>
      <c r="LJ461"/>
      <c r="LK461"/>
      <c r="LL461"/>
      <c r="LM461"/>
      <c r="LN461"/>
      <c r="LO461"/>
      <c r="LP461"/>
      <c r="LQ461"/>
      <c r="LR461"/>
      <c r="LS461"/>
      <c r="LT461"/>
      <c r="LU461"/>
      <c r="LV461"/>
      <c r="LW461"/>
      <c r="LX461"/>
      <c r="LY461"/>
      <c r="LZ461"/>
      <c r="MA461"/>
      <c r="MB461"/>
      <c r="MC461"/>
      <c r="MD461"/>
      <c r="ME461"/>
      <c r="MF461"/>
      <c r="MG461"/>
      <c r="MH461"/>
      <c r="MI461"/>
      <c r="MJ461"/>
      <c r="MK461"/>
      <c r="ML461"/>
      <c r="MM461"/>
      <c r="MN461"/>
      <c r="MO461"/>
      <c r="MP461"/>
      <c r="MQ461"/>
      <c r="MR461"/>
      <c r="MS461"/>
      <c r="MT461"/>
      <c r="MU461"/>
      <c r="MV461"/>
      <c r="MW461"/>
      <c r="MX461"/>
      <c r="MY461"/>
      <c r="MZ461"/>
      <c r="NA461"/>
      <c r="NB461"/>
      <c r="NC461"/>
      <c r="ND461"/>
      <c r="NE461"/>
      <c r="NF461"/>
      <c r="NG461"/>
      <c r="NH461"/>
      <c r="NI461"/>
      <c r="NJ461"/>
      <c r="NK461"/>
      <c r="NL461"/>
      <c r="NM461"/>
      <c r="NN461"/>
      <c r="NO461"/>
      <c r="NP461"/>
      <c r="NQ461"/>
      <c r="NR461"/>
      <c r="NS461"/>
      <c r="NT461"/>
      <c r="NU461"/>
      <c r="NV461"/>
      <c r="NW461"/>
      <c r="NX461"/>
      <c r="NY461"/>
      <c r="NZ461"/>
      <c r="OA461"/>
      <c r="OB461"/>
      <c r="OC461"/>
      <c r="OD461"/>
      <c r="OE461"/>
      <c r="OF461"/>
      <c r="OG461"/>
      <c r="OH461"/>
      <c r="OI461"/>
      <c r="OJ461"/>
      <c r="OK461"/>
      <c r="OL461"/>
      <c r="OM461"/>
      <c r="ON461"/>
      <c r="OO461"/>
      <c r="OP461"/>
      <c r="OQ461"/>
      <c r="OR461"/>
      <c r="OS461"/>
      <c r="OT461"/>
      <c r="OU461"/>
      <c r="OV461"/>
      <c r="OW461"/>
      <c r="OX461"/>
      <c r="OY461"/>
      <c r="OZ461"/>
      <c r="PA461"/>
      <c r="PB461"/>
      <c r="PC461"/>
      <c r="PD461"/>
      <c r="PE461"/>
      <c r="PF461"/>
      <c r="PG461"/>
      <c r="PH461"/>
      <c r="PI461"/>
      <c r="PJ461"/>
      <c r="PK461"/>
      <c r="PL461"/>
      <c r="PM461"/>
      <c r="PN461"/>
      <c r="PO461"/>
      <c r="PP461"/>
      <c r="PQ461"/>
      <c r="PR461"/>
      <c r="PS461"/>
      <c r="PT461"/>
      <c r="PU461"/>
      <c r="PV461"/>
      <c r="PW461"/>
      <c r="PX461"/>
      <c r="PY461"/>
      <c r="PZ461"/>
      <c r="QA461"/>
      <c r="QB461"/>
      <c r="QC461"/>
      <c r="QD461"/>
      <c r="QE461"/>
      <c r="QF461"/>
      <c r="QG461"/>
      <c r="QH461"/>
      <c r="QI461"/>
      <c r="QJ461"/>
      <c r="QK461"/>
      <c r="QL461"/>
      <c r="QM461"/>
      <c r="QN461"/>
      <c r="QO461"/>
      <c r="QP461"/>
      <c r="QQ461"/>
      <c r="QR461"/>
      <c r="QS461"/>
      <c r="QT461"/>
      <c r="QU461"/>
      <c r="QV461"/>
      <c r="QW461"/>
      <c r="QX461"/>
      <c r="QY461"/>
      <c r="QZ461"/>
      <c r="RA461"/>
      <c r="RB461"/>
      <c r="RC461"/>
      <c r="RD461"/>
      <c r="RE461"/>
      <c r="RF461"/>
      <c r="RG461"/>
      <c r="RH461"/>
      <c r="RI461"/>
      <c r="RJ461"/>
      <c r="RK461"/>
      <c r="RL461"/>
      <c r="RM461"/>
      <c r="RN461"/>
      <c r="RO461"/>
      <c r="RP461"/>
      <c r="RQ461"/>
      <c r="RR461"/>
      <c r="RS461"/>
      <c r="RT461"/>
      <c r="RU461"/>
      <c r="RV461"/>
      <c r="RW461"/>
      <c r="RX461"/>
      <c r="RY461"/>
      <c r="RZ461"/>
      <c r="SA461"/>
      <c r="SB461"/>
      <c r="SC461"/>
      <c r="SD461"/>
      <c r="SE461"/>
      <c r="SF461"/>
      <c r="SG461"/>
      <c r="SH461"/>
      <c r="SI461"/>
      <c r="SJ461"/>
      <c r="SK461"/>
      <c r="SL461"/>
      <c r="SM461"/>
      <c r="SN461"/>
      <c r="SO461"/>
      <c r="SP461"/>
      <c r="SQ461"/>
      <c r="SR461"/>
      <c r="SS461"/>
      <c r="ST461"/>
      <c r="SU461"/>
      <c r="SV461"/>
      <c r="SW461"/>
      <c r="SX461"/>
      <c r="SY461"/>
      <c r="SZ461"/>
      <c r="TA461"/>
      <c r="TB461"/>
      <c r="TC461"/>
      <c r="TD461"/>
      <c r="TE461"/>
      <c r="TF461"/>
      <c r="TG461"/>
      <c r="TH461"/>
      <c r="TI461"/>
      <c r="TJ461"/>
      <c r="TK461"/>
      <c r="TL461"/>
      <c r="TM461"/>
      <c r="TN461"/>
      <c r="TO461"/>
      <c r="TP461"/>
      <c r="TQ461"/>
      <c r="TR461"/>
      <c r="TS461"/>
      <c r="TT461"/>
      <c r="TU461"/>
      <c r="TV461"/>
      <c r="TW461"/>
      <c r="TX461"/>
      <c r="TY461"/>
      <c r="TZ461"/>
      <c r="UA461"/>
      <c r="UB461"/>
      <c r="UC461"/>
      <c r="UD461"/>
      <c r="UE461"/>
      <c r="UF461"/>
      <c r="UG461"/>
      <c r="UH461"/>
      <c r="UI461"/>
      <c r="UJ461"/>
      <c r="UK461"/>
      <c r="UL461"/>
      <c r="UM461"/>
      <c r="UN461"/>
      <c r="UO461"/>
      <c r="UP461"/>
      <c r="UQ461"/>
      <c r="UR461"/>
      <c r="US461"/>
      <c r="UT461"/>
      <c r="UU461"/>
      <c r="UV461"/>
      <c r="UW461"/>
      <c r="UX461"/>
      <c r="UY461"/>
      <c r="UZ461"/>
      <c r="VA461"/>
      <c r="VB461"/>
      <c r="VC461"/>
      <c r="VD461"/>
      <c r="VE461"/>
      <c r="VF461"/>
      <c r="VG461"/>
      <c r="VH461"/>
      <c r="VI461"/>
      <c r="VJ461"/>
      <c r="VK461"/>
      <c r="VL461"/>
      <c r="VM461"/>
      <c r="VN461"/>
      <c r="VO461"/>
      <c r="VP461"/>
      <c r="VQ461"/>
      <c r="VR461"/>
      <c r="VS461"/>
      <c r="VT461"/>
      <c r="VU461"/>
      <c r="VV461"/>
      <c r="VW461"/>
      <c r="VX461"/>
      <c r="VY461"/>
      <c r="VZ461"/>
      <c r="WA461"/>
      <c r="WB461"/>
      <c r="WC461"/>
      <c r="WD461"/>
      <c r="WE461"/>
      <c r="WF461"/>
      <c r="WG461"/>
      <c r="WH461"/>
      <c r="WI461"/>
      <c r="WJ461"/>
      <c r="WK461"/>
      <c r="WL461"/>
      <c r="WM461"/>
      <c r="WN461"/>
      <c r="WO461"/>
      <c r="WP461"/>
      <c r="WQ461"/>
      <c r="WR461"/>
      <c r="WS461"/>
      <c r="WT461"/>
      <c r="WU461"/>
      <c r="WV461"/>
      <c r="WW461"/>
      <c r="WX461"/>
      <c r="WY461"/>
      <c r="WZ461"/>
      <c r="XA461"/>
      <c r="XB461"/>
      <c r="XC461"/>
      <c r="XD461"/>
      <c r="XE461"/>
      <c r="XF461"/>
      <c r="XG461"/>
      <c r="XH461"/>
      <c r="XI461"/>
      <c r="XJ461"/>
      <c r="XK461"/>
      <c r="XL461"/>
      <c r="XM461"/>
      <c r="XN461"/>
      <c r="XO461"/>
      <c r="XP461"/>
      <c r="XQ461"/>
      <c r="XR461"/>
      <c r="XS461"/>
      <c r="XT461"/>
      <c r="XU461"/>
      <c r="XV461"/>
      <c r="XW461"/>
      <c r="XX461"/>
      <c r="XY461"/>
      <c r="XZ461"/>
      <c r="YA461"/>
      <c r="YB461"/>
      <c r="YC461"/>
      <c r="YD461"/>
      <c r="YE461"/>
      <c r="YF461"/>
      <c r="YG461"/>
      <c r="YH461"/>
      <c r="YI461"/>
      <c r="YJ461"/>
      <c r="YK461"/>
      <c r="YL461"/>
      <c r="YM461"/>
      <c r="YN461"/>
      <c r="YO461"/>
      <c r="YP461"/>
      <c r="YQ461"/>
      <c r="YR461"/>
      <c r="YS461"/>
      <c r="YT461"/>
      <c r="YU461"/>
      <c r="YV461"/>
      <c r="YW461"/>
      <c r="YX461"/>
      <c r="YY461"/>
      <c r="YZ461"/>
      <c r="ZA461"/>
      <c r="ZB461"/>
      <c r="ZC461"/>
      <c r="ZD461"/>
      <c r="ZE461"/>
      <c r="ZF461"/>
      <c r="ZG461"/>
      <c r="ZH461"/>
      <c r="ZI461"/>
      <c r="ZJ461"/>
      <c r="ZK461"/>
      <c r="ZL461"/>
      <c r="ZM461"/>
      <c r="ZN461"/>
      <c r="ZO461"/>
      <c r="ZP461"/>
      <c r="ZQ461"/>
      <c r="ZR461"/>
      <c r="ZS461"/>
      <c r="ZT461"/>
      <c r="ZU461"/>
      <c r="ZV461"/>
      <c r="ZW461"/>
      <c r="ZX461"/>
      <c r="ZY461"/>
      <c r="ZZ461"/>
      <c r="AAA461"/>
      <c r="AAB461"/>
      <c r="AAC461"/>
      <c r="AAD461"/>
      <c r="AAE461"/>
      <c r="AAF461"/>
      <c r="AAG461"/>
      <c r="AAH461"/>
      <c r="AAI461"/>
      <c r="AAJ461"/>
      <c r="AAK461"/>
      <c r="AAL461"/>
      <c r="AAM461"/>
      <c r="AAN461"/>
      <c r="AAO461"/>
      <c r="AAP461"/>
      <c r="AAQ461"/>
      <c r="AAR461"/>
      <c r="AAS461"/>
      <c r="AAT461"/>
      <c r="AAU461"/>
      <c r="AAV461"/>
      <c r="AAW461"/>
      <c r="AAX461"/>
      <c r="AAY461"/>
      <c r="AAZ461"/>
      <c r="ABA461"/>
      <c r="ABB461"/>
      <c r="ABC461"/>
      <c r="ABD461"/>
      <c r="ABE461"/>
      <c r="ABF461"/>
      <c r="ABG461"/>
      <c r="ABH461"/>
      <c r="ABI461"/>
      <c r="ABJ461"/>
      <c r="ABK461"/>
      <c r="ABL461"/>
      <c r="ABM461"/>
      <c r="ABN461"/>
      <c r="ABO461"/>
      <c r="ABP461"/>
      <c r="ABQ461"/>
      <c r="ABR461"/>
      <c r="ABS461"/>
      <c r="ABT461"/>
      <c r="ABU461"/>
      <c r="ABV461"/>
      <c r="ABW461"/>
      <c r="ABX461"/>
      <c r="ABY461"/>
      <c r="ABZ461"/>
      <c r="ACA461"/>
      <c r="ACB461"/>
      <c r="ACC461"/>
      <c r="ACD461"/>
      <c r="ACE461"/>
      <c r="ACF461"/>
      <c r="ACG461"/>
      <c r="ACH461"/>
      <c r="ACI461"/>
      <c r="ACJ461"/>
      <c r="ACK461"/>
      <c r="ACL461"/>
      <c r="ACM461"/>
      <c r="ACN461"/>
      <c r="ACO461"/>
      <c r="ACP461"/>
      <c r="ACQ461"/>
      <c r="ACR461"/>
      <c r="ACS461"/>
      <c r="ACT461"/>
      <c r="ACU461"/>
      <c r="ACV461"/>
      <c r="ACW461"/>
      <c r="ACX461"/>
      <c r="ACY461"/>
      <c r="ACZ461"/>
      <c r="ADA461"/>
      <c r="ADB461"/>
      <c r="ADC461"/>
      <c r="ADD461"/>
      <c r="ADE461"/>
      <c r="ADF461"/>
      <c r="ADG461"/>
      <c r="ADH461"/>
      <c r="ADI461"/>
      <c r="ADJ461"/>
      <c r="ADK461"/>
      <c r="ADL461"/>
      <c r="ADM461"/>
      <c r="ADN461"/>
      <c r="ADO461"/>
      <c r="ADP461"/>
      <c r="ADQ461"/>
      <c r="ADR461"/>
      <c r="ADS461"/>
      <c r="ADT461"/>
      <c r="ADU461"/>
      <c r="ADV461"/>
      <c r="ADW461"/>
      <c r="ADX461"/>
      <c r="ADY461"/>
      <c r="ADZ461"/>
      <c r="AEA461"/>
      <c r="AEB461"/>
      <c r="AEC461"/>
      <c r="AED461"/>
      <c r="AEE461"/>
      <c r="AEF461"/>
      <c r="AEG461"/>
      <c r="AEH461"/>
      <c r="AEI461"/>
      <c r="AEJ461"/>
      <c r="AEK461"/>
      <c r="AEL461"/>
      <c r="AEM461"/>
      <c r="AEN461"/>
      <c r="AEO461"/>
      <c r="AEP461"/>
      <c r="AEQ461"/>
      <c r="AER461"/>
      <c r="AES461"/>
      <c r="AET461"/>
      <c r="AEU461"/>
      <c r="AEV461"/>
      <c r="AEW461"/>
      <c r="AEX461"/>
      <c r="AEY461"/>
      <c r="AEZ461"/>
      <c r="AFA461"/>
      <c r="AFB461"/>
      <c r="AFC461"/>
      <c r="AFD461"/>
      <c r="AFE461"/>
      <c r="AFF461"/>
      <c r="AFG461"/>
      <c r="AFH461"/>
      <c r="AFI461"/>
      <c r="AFJ461"/>
      <c r="AFK461"/>
      <c r="AFL461"/>
      <c r="AFM461"/>
      <c r="AFN461"/>
      <c r="AFO461"/>
      <c r="AFP461"/>
      <c r="AFQ461"/>
      <c r="AFR461"/>
      <c r="AFS461"/>
      <c r="AFT461"/>
      <c r="AFU461"/>
      <c r="AFV461"/>
      <c r="AFW461"/>
      <c r="AFX461"/>
      <c r="AFY461"/>
      <c r="AFZ461"/>
      <c r="AGA461"/>
      <c r="AGB461"/>
      <c r="AGC461"/>
      <c r="AGD461"/>
      <c r="AGE461"/>
      <c r="AGF461"/>
      <c r="AGG461"/>
      <c r="AGH461"/>
      <c r="AGI461"/>
      <c r="AGJ461"/>
      <c r="AGK461"/>
      <c r="AGL461"/>
      <c r="AGM461"/>
      <c r="AGN461"/>
      <c r="AGO461"/>
      <c r="AGP461"/>
      <c r="AGQ461"/>
      <c r="AGR461"/>
      <c r="AGS461"/>
      <c r="AGT461"/>
      <c r="AGU461"/>
      <c r="AGV461"/>
      <c r="AGW461"/>
      <c r="AGX461"/>
      <c r="AGY461"/>
      <c r="AGZ461"/>
      <c r="AHA461"/>
      <c r="AHB461"/>
      <c r="AHC461"/>
      <c r="AHD461"/>
      <c r="AHE461"/>
      <c r="AHF461"/>
      <c r="AHG461"/>
      <c r="AHH461"/>
      <c r="AHI461"/>
      <c r="AHJ461"/>
      <c r="AHK461"/>
      <c r="AHL461"/>
      <c r="AHM461"/>
      <c r="AHN461"/>
      <c r="AHO461"/>
      <c r="AHP461"/>
      <c r="AHQ461"/>
      <c r="AHR461"/>
      <c r="AHS461"/>
      <c r="AHT461"/>
      <c r="AHU461"/>
      <c r="AHV461"/>
      <c r="AHW461"/>
      <c r="AHX461"/>
      <c r="AHY461"/>
      <c r="AHZ461"/>
      <c r="AIA461"/>
      <c r="AIB461"/>
      <c r="AIC461"/>
      <c r="AID461"/>
      <c r="AIE461"/>
      <c r="AIF461"/>
      <c r="AIG461"/>
      <c r="AIH461"/>
      <c r="AII461"/>
      <c r="AIJ461"/>
      <c r="AIK461"/>
      <c r="AIL461"/>
      <c r="AIM461"/>
      <c r="AIN461"/>
      <c r="AIO461"/>
      <c r="AIP461"/>
      <c r="AIQ461"/>
      <c r="AIR461"/>
      <c r="AIS461"/>
      <c r="AIT461"/>
      <c r="AIU461"/>
      <c r="AIV461"/>
      <c r="AIW461"/>
      <c r="AIX461"/>
      <c r="AIY461"/>
      <c r="AIZ461"/>
      <c r="AJA461"/>
      <c r="AJB461"/>
      <c r="AJC461"/>
      <c r="AJD461"/>
      <c r="AJE461"/>
      <c r="AJF461"/>
      <c r="AJG461"/>
      <c r="AJH461"/>
      <c r="AJI461"/>
      <c r="AJJ461"/>
      <c r="AJK461"/>
      <c r="AJL461"/>
      <c r="AJM461"/>
      <c r="AJN461"/>
      <c r="AJO461"/>
      <c r="AJP461"/>
      <c r="AJQ461"/>
      <c r="AJR461"/>
      <c r="AJS461"/>
      <c r="AJT461"/>
      <c r="AJU461"/>
      <c r="AJV461"/>
      <c r="AJW461"/>
      <c r="AJX461"/>
      <c r="AJY461"/>
      <c r="AJZ461"/>
      <c r="AKA461"/>
      <c r="AKB461"/>
      <c r="AKC461"/>
      <c r="AKD461"/>
      <c r="AKE461"/>
      <c r="AKF461"/>
      <c r="AKG461"/>
      <c r="AKH461"/>
      <c r="AKI461"/>
      <c r="AKJ461"/>
      <c r="AKK461"/>
      <c r="AKL461"/>
      <c r="AKM461"/>
      <c r="AKN461"/>
      <c r="AKO461"/>
      <c r="AKP461"/>
      <c r="AKQ461"/>
      <c r="AKR461"/>
      <c r="AKS461"/>
      <c r="AKT461"/>
      <c r="AKU461"/>
      <c r="AKV461"/>
      <c r="AKW461"/>
      <c r="AKX461"/>
      <c r="AKY461"/>
      <c r="AKZ461"/>
      <c r="ALA461"/>
      <c r="ALB461"/>
      <c r="ALC461"/>
      <c r="ALD461"/>
      <c r="ALE461"/>
      <c r="ALF461"/>
      <c r="ALG461"/>
      <c r="ALH461"/>
      <c r="ALI461"/>
      <c r="ALJ461"/>
      <c r="ALK461"/>
      <c r="ALL461"/>
      <c r="ALM461"/>
      <c r="ALN461"/>
      <c r="ALO461"/>
      <c r="ALP461"/>
      <c r="ALQ461"/>
      <c r="ALR461"/>
      <c r="ALS461"/>
      <c r="ALT461"/>
    </row>
    <row r="462" spans="1:1008" ht="76">
      <c r="A462" s="25" t="s">
        <v>3170</v>
      </c>
      <c r="B462" s="26" t="s">
        <v>3044</v>
      </c>
      <c r="C462" s="25" t="s">
        <v>3170</v>
      </c>
      <c r="D462" s="27" t="s">
        <v>13</v>
      </c>
      <c r="E462" s="25" t="s">
        <v>3171</v>
      </c>
      <c r="F462" s="29" t="s">
        <v>3172</v>
      </c>
      <c r="G462" s="25">
        <v>500</v>
      </c>
      <c r="H462" s="28"/>
      <c r="I462" s="20"/>
      <c r="J462"/>
      <c r="K462"/>
      <c r="L462"/>
      <c r="M462"/>
      <c r="N462"/>
      <c r="O462"/>
      <c r="P462"/>
      <c r="Q462"/>
      <c r="R462"/>
      <c r="S462"/>
      <c r="T462"/>
      <c r="U462"/>
      <c r="V462"/>
      <c r="W462"/>
      <c r="X462"/>
      <c r="Y462"/>
      <c r="Z462"/>
      <c r="AA462"/>
      <c r="AB462"/>
      <c r="AC462"/>
      <c r="AD462"/>
      <c r="AE462"/>
      <c r="AF462"/>
      <c r="AG462"/>
      <c r="AH462"/>
      <c r="AI462"/>
      <c r="AJ462"/>
      <c r="AK462"/>
      <c r="AL462"/>
      <c r="AM462"/>
      <c r="AN462"/>
      <c r="AO462"/>
      <c r="AP462"/>
      <c r="AQ462"/>
      <c r="AR462"/>
      <c r="AS462"/>
      <c r="AT462"/>
      <c r="AU462"/>
      <c r="AV462"/>
      <c r="AW462"/>
      <c r="AX462"/>
      <c r="AY462"/>
      <c r="AZ462"/>
      <c r="BA462"/>
      <c r="BB462"/>
      <c r="BC462"/>
      <c r="BD462"/>
      <c r="BE462"/>
      <c r="BF462"/>
      <c r="BG462"/>
      <c r="BH462"/>
      <c r="BI462"/>
      <c r="BJ462"/>
      <c r="BK462"/>
      <c r="BL462"/>
      <c r="BM462"/>
      <c r="BN462"/>
      <c r="BO462"/>
      <c r="BP462"/>
      <c r="BQ462"/>
      <c r="BR462"/>
      <c r="BS462"/>
      <c r="BT462"/>
      <c r="BU462"/>
      <c r="BV462"/>
      <c r="BW462"/>
      <c r="BX462"/>
      <c r="BY462"/>
      <c r="BZ462"/>
      <c r="CA462"/>
      <c r="CB462"/>
      <c r="CC462"/>
      <c r="CD462"/>
      <c r="CE462"/>
      <c r="CF462"/>
      <c r="CG462"/>
      <c r="CH462"/>
      <c r="CI462"/>
      <c r="CJ462"/>
      <c r="CK462"/>
      <c r="CL462"/>
      <c r="CM462"/>
      <c r="CN462"/>
      <c r="CO462"/>
      <c r="CP462"/>
      <c r="CQ462"/>
      <c r="CR462"/>
      <c r="CS462"/>
      <c r="CT462"/>
      <c r="CU462"/>
      <c r="CV462"/>
      <c r="CW462"/>
      <c r="CX462"/>
      <c r="CY462"/>
      <c r="CZ462"/>
      <c r="DA462"/>
      <c r="DB462"/>
      <c r="DC462"/>
      <c r="DD462"/>
      <c r="DE462"/>
      <c r="DF462"/>
      <c r="DG462"/>
      <c r="DH462"/>
      <c r="DI462"/>
      <c r="DJ462"/>
      <c r="DK462"/>
      <c r="DL462"/>
      <c r="DM462"/>
      <c r="DN462"/>
      <c r="DO462"/>
      <c r="DP462"/>
      <c r="DQ462"/>
      <c r="DR462"/>
      <c r="DS462"/>
      <c r="DT462"/>
      <c r="DU462"/>
      <c r="DV462"/>
      <c r="DW462"/>
      <c r="DX462"/>
      <c r="DY462"/>
      <c r="DZ462"/>
      <c r="EA462"/>
      <c r="EB462"/>
      <c r="EC462"/>
      <c r="ED462"/>
      <c r="EE462"/>
      <c r="EF462"/>
      <c r="EG462"/>
      <c r="EH462"/>
      <c r="EI462"/>
      <c r="EJ462"/>
      <c r="EK462"/>
      <c r="EL462"/>
      <c r="EM462"/>
      <c r="EN462"/>
      <c r="EO462"/>
      <c r="EP462"/>
      <c r="EQ462"/>
      <c r="ER462"/>
      <c r="ES462"/>
      <c r="ET462"/>
      <c r="EU462"/>
      <c r="EV462"/>
      <c r="EW462"/>
      <c r="EX462"/>
      <c r="EY462"/>
      <c r="EZ462"/>
      <c r="FA462"/>
      <c r="FB462"/>
      <c r="FC462"/>
      <c r="FD462"/>
      <c r="FE462"/>
      <c r="FF462"/>
      <c r="FG462"/>
      <c r="FH462"/>
      <c r="FI462"/>
      <c r="FJ462"/>
      <c r="FK462"/>
      <c r="FL462"/>
      <c r="FM462"/>
      <c r="FN462"/>
      <c r="FO462"/>
      <c r="FP462"/>
      <c r="FQ462"/>
      <c r="FR462"/>
      <c r="FS462"/>
      <c r="FT462"/>
      <c r="FU462"/>
      <c r="FV462"/>
      <c r="FW462"/>
      <c r="FX462"/>
      <c r="FY462"/>
      <c r="FZ462"/>
      <c r="GA462"/>
      <c r="GB462"/>
      <c r="GC462"/>
      <c r="GD462"/>
      <c r="GE462"/>
      <c r="GF462"/>
      <c r="GG462"/>
      <c r="GH462"/>
      <c r="GI462"/>
      <c r="GJ462"/>
      <c r="GK462"/>
      <c r="GL462"/>
      <c r="GM462"/>
      <c r="GN462"/>
      <c r="GO462"/>
      <c r="GP462"/>
      <c r="GQ462"/>
      <c r="GR462"/>
      <c r="GS462"/>
      <c r="GT462"/>
      <c r="GU462"/>
      <c r="GV462"/>
      <c r="GW462"/>
      <c r="GX462"/>
      <c r="GY462"/>
      <c r="GZ462"/>
      <c r="HA462"/>
      <c r="HB462"/>
      <c r="HC462"/>
      <c r="HD462"/>
      <c r="HE462"/>
      <c r="HF462"/>
      <c r="HG462"/>
      <c r="HH462"/>
      <c r="HI462"/>
      <c r="HJ462"/>
      <c r="HK462"/>
      <c r="HL462"/>
      <c r="HM462"/>
      <c r="HN462"/>
      <c r="HO462"/>
      <c r="HP462"/>
      <c r="HQ462"/>
      <c r="HR462"/>
      <c r="HS462"/>
      <c r="HT462"/>
      <c r="HU462"/>
      <c r="HV462"/>
      <c r="HW462"/>
      <c r="HX462"/>
      <c r="HY462"/>
      <c r="HZ462"/>
      <c r="IA462"/>
      <c r="IB462"/>
      <c r="IC462"/>
      <c r="ID462"/>
      <c r="IE462"/>
      <c r="IF462"/>
      <c r="IG462"/>
      <c r="IH462"/>
      <c r="II462"/>
      <c r="IJ462"/>
      <c r="IK462"/>
      <c r="IL462"/>
      <c r="IM462"/>
      <c r="IN462"/>
      <c r="IO462"/>
      <c r="IP462"/>
      <c r="IQ462"/>
      <c r="IR462"/>
      <c r="IS462"/>
      <c r="IT462"/>
      <c r="IU462"/>
      <c r="IV462"/>
      <c r="IW462"/>
      <c r="IX462"/>
      <c r="IY462"/>
      <c r="IZ462"/>
      <c r="JA462"/>
      <c r="JB462"/>
      <c r="JC462"/>
      <c r="JD462"/>
      <c r="JE462"/>
      <c r="JF462"/>
      <c r="JG462"/>
      <c r="JH462"/>
      <c r="JI462"/>
      <c r="JJ462"/>
      <c r="JK462"/>
      <c r="JL462"/>
      <c r="JM462"/>
      <c r="JN462"/>
      <c r="JO462"/>
      <c r="JP462"/>
      <c r="JQ462"/>
      <c r="JR462"/>
      <c r="JS462"/>
      <c r="JT462"/>
      <c r="JU462"/>
      <c r="JV462"/>
      <c r="JW462"/>
      <c r="JX462"/>
      <c r="JY462"/>
      <c r="JZ462"/>
      <c r="KA462"/>
      <c r="KB462"/>
      <c r="KC462"/>
      <c r="KD462"/>
      <c r="KE462"/>
      <c r="KF462"/>
      <c r="KG462"/>
      <c r="KH462"/>
      <c r="KI462"/>
      <c r="KJ462"/>
      <c r="KK462"/>
      <c r="KL462"/>
      <c r="KM462"/>
      <c r="KN462"/>
      <c r="KO462"/>
      <c r="KP462"/>
      <c r="KQ462"/>
      <c r="KR462"/>
      <c r="KS462"/>
      <c r="KT462"/>
      <c r="KU462"/>
      <c r="KV462"/>
      <c r="KW462"/>
      <c r="KX462"/>
      <c r="KY462"/>
      <c r="KZ462"/>
      <c r="LA462"/>
      <c r="LB462"/>
      <c r="LC462"/>
      <c r="LD462"/>
      <c r="LE462"/>
      <c r="LF462"/>
      <c r="LG462"/>
      <c r="LH462"/>
      <c r="LI462"/>
      <c r="LJ462"/>
      <c r="LK462"/>
      <c r="LL462"/>
      <c r="LM462"/>
      <c r="LN462"/>
      <c r="LO462"/>
      <c r="LP462"/>
      <c r="LQ462"/>
      <c r="LR462"/>
      <c r="LS462"/>
      <c r="LT462"/>
      <c r="LU462"/>
      <c r="LV462"/>
      <c r="LW462"/>
      <c r="LX462"/>
      <c r="LY462"/>
      <c r="LZ462"/>
      <c r="MA462"/>
      <c r="MB462"/>
      <c r="MC462"/>
      <c r="MD462"/>
      <c r="ME462"/>
      <c r="MF462"/>
      <c r="MG462"/>
      <c r="MH462"/>
      <c r="MI462"/>
      <c r="MJ462"/>
      <c r="MK462"/>
      <c r="ML462"/>
      <c r="MM462"/>
      <c r="MN462"/>
      <c r="MO462"/>
      <c r="MP462"/>
      <c r="MQ462"/>
      <c r="MR462"/>
      <c r="MS462"/>
      <c r="MT462"/>
      <c r="MU462"/>
      <c r="MV462"/>
      <c r="MW462"/>
      <c r="MX462"/>
      <c r="MY462"/>
      <c r="MZ462"/>
      <c r="NA462"/>
      <c r="NB462"/>
      <c r="NC462"/>
      <c r="ND462"/>
      <c r="NE462"/>
      <c r="NF462"/>
      <c r="NG462"/>
      <c r="NH462"/>
      <c r="NI462"/>
      <c r="NJ462"/>
      <c r="NK462"/>
      <c r="NL462"/>
      <c r="NM462"/>
      <c r="NN462"/>
      <c r="NO462"/>
      <c r="NP462"/>
      <c r="NQ462"/>
      <c r="NR462"/>
      <c r="NS462"/>
      <c r="NT462"/>
      <c r="NU462"/>
      <c r="NV462"/>
      <c r="NW462"/>
      <c r="NX462"/>
      <c r="NY462"/>
      <c r="NZ462"/>
      <c r="OA462"/>
      <c r="OB462"/>
      <c r="OC462"/>
      <c r="OD462"/>
      <c r="OE462"/>
      <c r="OF462"/>
      <c r="OG462"/>
      <c r="OH462"/>
      <c r="OI462"/>
      <c r="OJ462"/>
      <c r="OK462"/>
      <c r="OL462"/>
      <c r="OM462"/>
      <c r="ON462"/>
      <c r="OO462"/>
      <c r="OP462"/>
      <c r="OQ462"/>
      <c r="OR462"/>
      <c r="OS462"/>
      <c r="OT462"/>
      <c r="OU462"/>
      <c r="OV462"/>
      <c r="OW462"/>
      <c r="OX462"/>
      <c r="OY462"/>
      <c r="OZ462"/>
      <c r="PA462"/>
      <c r="PB462"/>
      <c r="PC462"/>
      <c r="PD462"/>
      <c r="PE462"/>
      <c r="PF462"/>
      <c r="PG462"/>
      <c r="PH462"/>
      <c r="PI462"/>
      <c r="PJ462"/>
      <c r="PK462"/>
      <c r="PL462"/>
      <c r="PM462"/>
      <c r="PN462"/>
      <c r="PO462"/>
      <c r="PP462"/>
      <c r="PQ462"/>
      <c r="PR462"/>
      <c r="PS462"/>
      <c r="PT462"/>
      <c r="PU462"/>
      <c r="PV462"/>
      <c r="PW462"/>
      <c r="PX462"/>
      <c r="PY462"/>
      <c r="PZ462"/>
      <c r="QA462"/>
      <c r="QB462"/>
      <c r="QC462"/>
      <c r="QD462"/>
      <c r="QE462"/>
      <c r="QF462"/>
      <c r="QG462"/>
      <c r="QH462"/>
      <c r="QI462"/>
      <c r="QJ462"/>
      <c r="QK462"/>
      <c r="QL462"/>
      <c r="QM462"/>
      <c r="QN462"/>
      <c r="QO462"/>
      <c r="QP462"/>
      <c r="QQ462"/>
      <c r="QR462"/>
      <c r="QS462"/>
      <c r="QT462"/>
      <c r="QU462"/>
      <c r="QV462"/>
      <c r="QW462"/>
      <c r="QX462"/>
      <c r="QY462"/>
      <c r="QZ462"/>
      <c r="RA462"/>
      <c r="RB462"/>
      <c r="RC462"/>
      <c r="RD462"/>
      <c r="RE462"/>
      <c r="RF462"/>
      <c r="RG462"/>
      <c r="RH462"/>
      <c r="RI462"/>
      <c r="RJ462"/>
      <c r="RK462"/>
      <c r="RL462"/>
      <c r="RM462"/>
      <c r="RN462"/>
      <c r="RO462"/>
      <c r="RP462"/>
      <c r="RQ462"/>
      <c r="RR462"/>
      <c r="RS462"/>
      <c r="RT462"/>
      <c r="RU462"/>
      <c r="RV462"/>
      <c r="RW462"/>
      <c r="RX462"/>
      <c r="RY462"/>
      <c r="RZ462"/>
      <c r="SA462"/>
      <c r="SB462"/>
      <c r="SC462"/>
      <c r="SD462"/>
      <c r="SE462"/>
      <c r="SF462"/>
      <c r="SG462"/>
      <c r="SH462"/>
      <c r="SI462"/>
      <c r="SJ462"/>
      <c r="SK462"/>
      <c r="SL462"/>
      <c r="SM462"/>
      <c r="SN462"/>
      <c r="SO462"/>
      <c r="SP462"/>
      <c r="SQ462"/>
      <c r="SR462"/>
      <c r="SS462"/>
      <c r="ST462"/>
      <c r="SU462"/>
      <c r="SV462"/>
      <c r="SW462"/>
      <c r="SX462"/>
      <c r="SY462"/>
      <c r="SZ462"/>
      <c r="TA462"/>
      <c r="TB462"/>
      <c r="TC462"/>
      <c r="TD462"/>
      <c r="TE462"/>
      <c r="TF462"/>
      <c r="TG462"/>
      <c r="TH462"/>
      <c r="TI462"/>
      <c r="TJ462"/>
      <c r="TK462"/>
      <c r="TL462"/>
      <c r="TM462"/>
      <c r="TN462"/>
      <c r="TO462"/>
      <c r="TP462"/>
      <c r="TQ462"/>
      <c r="TR462"/>
      <c r="TS462"/>
      <c r="TT462"/>
      <c r="TU462"/>
      <c r="TV462"/>
      <c r="TW462"/>
      <c r="TX462"/>
      <c r="TY462"/>
      <c r="TZ462"/>
      <c r="UA462"/>
      <c r="UB462"/>
      <c r="UC462"/>
      <c r="UD462"/>
      <c r="UE462"/>
      <c r="UF462"/>
      <c r="UG462"/>
      <c r="UH462"/>
      <c r="UI462"/>
      <c r="UJ462"/>
      <c r="UK462"/>
      <c r="UL462"/>
      <c r="UM462"/>
      <c r="UN462"/>
      <c r="UO462"/>
      <c r="UP462"/>
      <c r="UQ462"/>
      <c r="UR462"/>
      <c r="US462"/>
      <c r="UT462"/>
      <c r="UU462"/>
      <c r="UV462"/>
      <c r="UW462"/>
      <c r="UX462"/>
      <c r="UY462"/>
      <c r="UZ462"/>
      <c r="VA462"/>
      <c r="VB462"/>
      <c r="VC462"/>
      <c r="VD462"/>
      <c r="VE462"/>
      <c r="VF462"/>
      <c r="VG462"/>
      <c r="VH462"/>
      <c r="VI462"/>
      <c r="VJ462"/>
      <c r="VK462"/>
      <c r="VL462"/>
      <c r="VM462"/>
      <c r="VN462"/>
      <c r="VO462"/>
      <c r="VP462"/>
      <c r="VQ462"/>
      <c r="VR462"/>
      <c r="VS462"/>
      <c r="VT462"/>
      <c r="VU462"/>
      <c r="VV462"/>
      <c r="VW462"/>
      <c r="VX462"/>
      <c r="VY462"/>
      <c r="VZ462"/>
      <c r="WA462"/>
      <c r="WB462"/>
      <c r="WC462"/>
      <c r="WD462"/>
      <c r="WE462"/>
      <c r="WF462"/>
      <c r="WG462"/>
      <c r="WH462"/>
      <c r="WI462"/>
      <c r="WJ462"/>
      <c r="WK462"/>
      <c r="WL462"/>
      <c r="WM462"/>
      <c r="WN462"/>
      <c r="WO462"/>
      <c r="WP462"/>
      <c r="WQ462"/>
      <c r="WR462"/>
      <c r="WS462"/>
      <c r="WT462"/>
      <c r="WU462"/>
      <c r="WV462"/>
      <c r="WW462"/>
      <c r="WX462"/>
      <c r="WY462"/>
      <c r="WZ462"/>
      <c r="XA462"/>
      <c r="XB462"/>
      <c r="XC462"/>
      <c r="XD462"/>
      <c r="XE462"/>
      <c r="XF462"/>
      <c r="XG462"/>
      <c r="XH462"/>
      <c r="XI462"/>
      <c r="XJ462"/>
      <c r="XK462"/>
      <c r="XL462"/>
      <c r="XM462"/>
      <c r="XN462"/>
      <c r="XO462"/>
      <c r="XP462"/>
      <c r="XQ462"/>
      <c r="XR462"/>
      <c r="XS462"/>
      <c r="XT462"/>
      <c r="XU462"/>
      <c r="XV462"/>
      <c r="XW462"/>
      <c r="XX462"/>
      <c r="XY462"/>
      <c r="XZ462"/>
      <c r="YA462"/>
      <c r="YB462"/>
      <c r="YC462"/>
      <c r="YD462"/>
      <c r="YE462"/>
      <c r="YF462"/>
      <c r="YG462"/>
      <c r="YH462"/>
      <c r="YI462"/>
      <c r="YJ462"/>
      <c r="YK462"/>
      <c r="YL462"/>
      <c r="YM462"/>
      <c r="YN462"/>
      <c r="YO462"/>
      <c r="YP462"/>
      <c r="YQ462"/>
      <c r="YR462"/>
      <c r="YS462"/>
      <c r="YT462"/>
      <c r="YU462"/>
      <c r="YV462"/>
      <c r="YW462"/>
      <c r="YX462"/>
      <c r="YY462"/>
      <c r="YZ462"/>
      <c r="ZA462"/>
      <c r="ZB462"/>
      <c r="ZC462"/>
      <c r="ZD462"/>
      <c r="ZE462"/>
      <c r="ZF462"/>
      <c r="ZG462"/>
      <c r="ZH462"/>
      <c r="ZI462"/>
      <c r="ZJ462"/>
      <c r="ZK462"/>
      <c r="ZL462"/>
      <c r="ZM462"/>
      <c r="ZN462"/>
      <c r="ZO462"/>
      <c r="ZP462"/>
      <c r="ZQ462"/>
      <c r="ZR462"/>
      <c r="ZS462"/>
      <c r="ZT462"/>
      <c r="ZU462"/>
      <c r="ZV462"/>
      <c r="ZW462"/>
      <c r="ZX462"/>
      <c r="ZY462"/>
      <c r="ZZ462"/>
      <c r="AAA462"/>
      <c r="AAB462"/>
      <c r="AAC462"/>
      <c r="AAD462"/>
      <c r="AAE462"/>
      <c r="AAF462"/>
      <c r="AAG462"/>
      <c r="AAH462"/>
      <c r="AAI462"/>
      <c r="AAJ462"/>
      <c r="AAK462"/>
      <c r="AAL462"/>
      <c r="AAM462"/>
      <c r="AAN462"/>
      <c r="AAO462"/>
      <c r="AAP462"/>
      <c r="AAQ462"/>
      <c r="AAR462"/>
      <c r="AAS462"/>
      <c r="AAT462"/>
      <c r="AAU462"/>
      <c r="AAV462"/>
      <c r="AAW462"/>
      <c r="AAX462"/>
      <c r="AAY462"/>
      <c r="AAZ462"/>
      <c r="ABA462"/>
      <c r="ABB462"/>
      <c r="ABC462"/>
      <c r="ABD462"/>
      <c r="ABE462"/>
      <c r="ABF462"/>
      <c r="ABG462"/>
      <c r="ABH462"/>
      <c r="ABI462"/>
      <c r="ABJ462"/>
      <c r="ABK462"/>
      <c r="ABL462"/>
      <c r="ABM462"/>
      <c r="ABN462"/>
      <c r="ABO462"/>
      <c r="ABP462"/>
      <c r="ABQ462"/>
      <c r="ABR462"/>
      <c r="ABS462"/>
      <c r="ABT462"/>
      <c r="ABU462"/>
      <c r="ABV462"/>
      <c r="ABW462"/>
      <c r="ABX462"/>
      <c r="ABY462"/>
      <c r="ABZ462"/>
      <c r="ACA462"/>
      <c r="ACB462"/>
      <c r="ACC462"/>
      <c r="ACD462"/>
      <c r="ACE462"/>
      <c r="ACF462"/>
      <c r="ACG462"/>
      <c r="ACH462"/>
      <c r="ACI462"/>
      <c r="ACJ462"/>
      <c r="ACK462"/>
      <c r="ACL462"/>
      <c r="ACM462"/>
      <c r="ACN462"/>
      <c r="ACO462"/>
      <c r="ACP462"/>
      <c r="ACQ462"/>
      <c r="ACR462"/>
      <c r="ACS462"/>
      <c r="ACT462"/>
      <c r="ACU462"/>
      <c r="ACV462"/>
      <c r="ACW462"/>
      <c r="ACX462"/>
      <c r="ACY462"/>
      <c r="ACZ462"/>
      <c r="ADA462"/>
      <c r="ADB462"/>
      <c r="ADC462"/>
      <c r="ADD462"/>
      <c r="ADE462"/>
      <c r="ADF462"/>
      <c r="ADG462"/>
      <c r="ADH462"/>
      <c r="ADI462"/>
      <c r="ADJ462"/>
      <c r="ADK462"/>
      <c r="ADL462"/>
      <c r="ADM462"/>
      <c r="ADN462"/>
      <c r="ADO462"/>
      <c r="ADP462"/>
      <c r="ADQ462"/>
      <c r="ADR462"/>
      <c r="ADS462"/>
      <c r="ADT462"/>
      <c r="ADU462"/>
      <c r="ADV462"/>
      <c r="ADW462"/>
      <c r="ADX462"/>
      <c r="ADY462"/>
      <c r="ADZ462"/>
      <c r="AEA462"/>
      <c r="AEB462"/>
      <c r="AEC462"/>
      <c r="AED462"/>
      <c r="AEE462"/>
      <c r="AEF462"/>
      <c r="AEG462"/>
      <c r="AEH462"/>
      <c r="AEI462"/>
      <c r="AEJ462"/>
      <c r="AEK462"/>
      <c r="AEL462"/>
      <c r="AEM462"/>
      <c r="AEN462"/>
      <c r="AEO462"/>
      <c r="AEP462"/>
      <c r="AEQ462"/>
      <c r="AER462"/>
      <c r="AES462"/>
      <c r="AET462"/>
      <c r="AEU462"/>
      <c r="AEV462"/>
      <c r="AEW462"/>
      <c r="AEX462"/>
      <c r="AEY462"/>
      <c r="AEZ462"/>
      <c r="AFA462"/>
      <c r="AFB462"/>
      <c r="AFC462"/>
      <c r="AFD462"/>
      <c r="AFE462"/>
      <c r="AFF462"/>
      <c r="AFG462"/>
      <c r="AFH462"/>
      <c r="AFI462"/>
      <c r="AFJ462"/>
      <c r="AFK462"/>
      <c r="AFL462"/>
      <c r="AFM462"/>
      <c r="AFN462"/>
      <c r="AFO462"/>
      <c r="AFP462"/>
      <c r="AFQ462"/>
      <c r="AFR462"/>
      <c r="AFS462"/>
      <c r="AFT462"/>
      <c r="AFU462"/>
      <c r="AFV462"/>
      <c r="AFW462"/>
      <c r="AFX462"/>
      <c r="AFY462"/>
      <c r="AFZ462"/>
      <c r="AGA462"/>
      <c r="AGB462"/>
      <c r="AGC462"/>
      <c r="AGD462"/>
      <c r="AGE462"/>
      <c r="AGF462"/>
      <c r="AGG462"/>
      <c r="AGH462"/>
      <c r="AGI462"/>
      <c r="AGJ462"/>
      <c r="AGK462"/>
      <c r="AGL462"/>
      <c r="AGM462"/>
      <c r="AGN462"/>
      <c r="AGO462"/>
      <c r="AGP462"/>
      <c r="AGQ462"/>
      <c r="AGR462"/>
      <c r="AGS462"/>
      <c r="AGT462"/>
      <c r="AGU462"/>
      <c r="AGV462"/>
      <c r="AGW462"/>
      <c r="AGX462"/>
      <c r="AGY462"/>
      <c r="AGZ462"/>
      <c r="AHA462"/>
      <c r="AHB462"/>
      <c r="AHC462"/>
      <c r="AHD462"/>
      <c r="AHE462"/>
      <c r="AHF462"/>
      <c r="AHG462"/>
      <c r="AHH462"/>
      <c r="AHI462"/>
      <c r="AHJ462"/>
      <c r="AHK462"/>
      <c r="AHL462"/>
      <c r="AHM462"/>
      <c r="AHN462"/>
      <c r="AHO462"/>
      <c r="AHP462"/>
      <c r="AHQ462"/>
      <c r="AHR462"/>
      <c r="AHS462"/>
      <c r="AHT462"/>
      <c r="AHU462"/>
      <c r="AHV462"/>
      <c r="AHW462"/>
      <c r="AHX462"/>
      <c r="AHY462"/>
      <c r="AHZ462"/>
      <c r="AIA462"/>
      <c r="AIB462"/>
      <c r="AIC462"/>
      <c r="AID462"/>
      <c r="AIE462"/>
      <c r="AIF462"/>
      <c r="AIG462"/>
      <c r="AIH462"/>
      <c r="AII462"/>
      <c r="AIJ462"/>
      <c r="AIK462"/>
      <c r="AIL462"/>
      <c r="AIM462"/>
      <c r="AIN462"/>
      <c r="AIO462"/>
      <c r="AIP462"/>
      <c r="AIQ462"/>
      <c r="AIR462"/>
      <c r="AIS462"/>
      <c r="AIT462"/>
      <c r="AIU462"/>
      <c r="AIV462"/>
      <c r="AIW462"/>
      <c r="AIX462"/>
      <c r="AIY462"/>
      <c r="AIZ462"/>
      <c r="AJA462"/>
      <c r="AJB462"/>
      <c r="AJC462"/>
      <c r="AJD462"/>
      <c r="AJE462"/>
      <c r="AJF462"/>
      <c r="AJG462"/>
      <c r="AJH462"/>
      <c r="AJI462"/>
      <c r="AJJ462"/>
      <c r="AJK462"/>
      <c r="AJL462"/>
      <c r="AJM462"/>
      <c r="AJN462"/>
      <c r="AJO462"/>
      <c r="AJP462"/>
      <c r="AJQ462"/>
      <c r="AJR462"/>
      <c r="AJS462"/>
      <c r="AJT462"/>
      <c r="AJU462"/>
      <c r="AJV462"/>
      <c r="AJW462"/>
      <c r="AJX462"/>
      <c r="AJY462"/>
      <c r="AJZ462"/>
      <c r="AKA462"/>
      <c r="AKB462"/>
      <c r="AKC462"/>
      <c r="AKD462"/>
      <c r="AKE462"/>
      <c r="AKF462"/>
      <c r="AKG462"/>
      <c r="AKH462"/>
      <c r="AKI462"/>
      <c r="AKJ462"/>
      <c r="AKK462"/>
      <c r="AKL462"/>
      <c r="AKM462"/>
      <c r="AKN462"/>
      <c r="AKO462"/>
      <c r="AKP462"/>
      <c r="AKQ462"/>
      <c r="AKR462"/>
      <c r="AKS462"/>
      <c r="AKT462"/>
      <c r="AKU462"/>
      <c r="AKV462"/>
      <c r="AKW462"/>
      <c r="AKX462"/>
      <c r="AKY462"/>
      <c r="AKZ462"/>
      <c r="ALA462"/>
      <c r="ALB462"/>
      <c r="ALC462"/>
      <c r="ALD462"/>
      <c r="ALE462"/>
      <c r="ALF462"/>
      <c r="ALG462"/>
      <c r="ALH462"/>
      <c r="ALI462"/>
      <c r="ALJ462"/>
      <c r="ALK462"/>
      <c r="ALL462"/>
      <c r="ALM462"/>
      <c r="ALN462"/>
      <c r="ALO462"/>
      <c r="ALP462"/>
      <c r="ALQ462"/>
      <c r="ALR462"/>
      <c r="ALS462"/>
      <c r="ALT462"/>
    </row>
    <row r="463" spans="1:1008" ht="136">
      <c r="A463" s="25" t="s">
        <v>4022</v>
      </c>
      <c r="B463" s="26" t="s">
        <v>3044</v>
      </c>
      <c r="C463" s="25" t="s">
        <v>4022</v>
      </c>
      <c r="D463" s="27"/>
      <c r="E463" s="25" t="s">
        <v>4020</v>
      </c>
      <c r="F463" s="29" t="s">
        <v>4021</v>
      </c>
      <c r="G463" s="25"/>
      <c r="H463" s="28"/>
      <c r="I463" s="20"/>
      <c r="J463"/>
      <c r="K463"/>
      <c r="L463"/>
      <c r="M463"/>
      <c r="N463"/>
      <c r="O463"/>
      <c r="P463"/>
      <c r="Q463"/>
      <c r="R463"/>
      <c r="S463"/>
      <c r="T463"/>
      <c r="U463"/>
      <c r="V463"/>
      <c r="W463"/>
      <c r="X463"/>
      <c r="Y463"/>
      <c r="Z463"/>
      <c r="AA463"/>
      <c r="AB463"/>
      <c r="AC463"/>
      <c r="AD463"/>
      <c r="AE463"/>
      <c r="AF463"/>
      <c r="AG463"/>
      <c r="AH463"/>
      <c r="AI463"/>
      <c r="AJ463"/>
      <c r="AK463"/>
      <c r="AL463"/>
      <c r="AM463"/>
      <c r="AN463"/>
      <c r="AO463"/>
      <c r="AP463"/>
      <c r="AQ463"/>
      <c r="AR463"/>
      <c r="AS463"/>
      <c r="AT463"/>
      <c r="AU463"/>
      <c r="AV463"/>
      <c r="AW463"/>
      <c r="AX463"/>
      <c r="AY463"/>
      <c r="AZ463"/>
      <c r="BA463"/>
      <c r="BB463"/>
      <c r="BC463"/>
      <c r="BD463"/>
      <c r="BE463"/>
      <c r="BF463"/>
      <c r="BG463"/>
      <c r="BH463"/>
      <c r="BI463"/>
      <c r="BJ463"/>
      <c r="BK463"/>
      <c r="BL463"/>
      <c r="BM463"/>
      <c r="BN463"/>
      <c r="BO463"/>
      <c r="BP463"/>
      <c r="BQ463"/>
      <c r="BR463"/>
      <c r="BS463"/>
      <c r="BT463"/>
      <c r="BU463"/>
      <c r="BV463"/>
      <c r="BW463"/>
      <c r="BX463"/>
      <c r="BY463"/>
      <c r="BZ463"/>
      <c r="CA463"/>
      <c r="CB463"/>
      <c r="CC463"/>
      <c r="CD463"/>
      <c r="CE463"/>
      <c r="CF463"/>
      <c r="CG463"/>
      <c r="CH463"/>
      <c r="CI463"/>
      <c r="CJ463"/>
      <c r="CK463"/>
      <c r="CL463"/>
      <c r="CM463"/>
      <c r="CN463"/>
      <c r="CO463"/>
      <c r="CP463"/>
      <c r="CQ463"/>
      <c r="CR463"/>
      <c r="CS463"/>
      <c r="CT463"/>
      <c r="CU463"/>
      <c r="CV463"/>
      <c r="CW463"/>
      <c r="CX463"/>
      <c r="CY463"/>
      <c r="CZ463"/>
      <c r="DA463"/>
      <c r="DB463"/>
      <c r="DC463"/>
      <c r="DD463"/>
      <c r="DE463"/>
      <c r="DF463"/>
      <c r="DG463"/>
      <c r="DH463"/>
      <c r="DI463"/>
      <c r="DJ463"/>
      <c r="DK463"/>
      <c r="DL463"/>
      <c r="DM463"/>
      <c r="DN463"/>
      <c r="DO463"/>
      <c r="DP463"/>
      <c r="DQ463"/>
      <c r="DR463"/>
      <c r="DS463"/>
      <c r="DT463"/>
      <c r="DU463"/>
      <c r="DV463"/>
      <c r="DW463"/>
      <c r="DX463"/>
      <c r="DY463"/>
      <c r="DZ463"/>
      <c r="EA463"/>
      <c r="EB463"/>
      <c r="EC463"/>
      <c r="ED463"/>
      <c r="EE463"/>
      <c r="EF463"/>
      <c r="EG463"/>
      <c r="EH463"/>
      <c r="EI463"/>
      <c r="EJ463"/>
      <c r="EK463"/>
      <c r="EL463"/>
      <c r="EM463"/>
      <c r="EN463"/>
      <c r="EO463"/>
      <c r="EP463"/>
      <c r="EQ463"/>
      <c r="ER463"/>
      <c r="ES463"/>
      <c r="ET463"/>
      <c r="EU463"/>
      <c r="EV463"/>
      <c r="EW463"/>
      <c r="EX463"/>
      <c r="EY463"/>
      <c r="EZ463"/>
      <c r="FA463"/>
      <c r="FB463"/>
      <c r="FC463"/>
      <c r="FD463"/>
      <c r="FE463"/>
      <c r="FF463"/>
      <c r="FG463"/>
      <c r="FH463"/>
      <c r="FI463"/>
      <c r="FJ463"/>
      <c r="FK463"/>
      <c r="FL463"/>
      <c r="FM463"/>
      <c r="FN463"/>
      <c r="FO463"/>
      <c r="FP463"/>
      <c r="FQ463"/>
      <c r="FR463"/>
      <c r="FS463"/>
      <c r="FT463"/>
      <c r="FU463"/>
      <c r="FV463"/>
      <c r="FW463"/>
      <c r="FX463"/>
      <c r="FY463"/>
      <c r="FZ463"/>
      <c r="GA463"/>
      <c r="GB463"/>
      <c r="GC463"/>
      <c r="GD463"/>
      <c r="GE463"/>
      <c r="GF463"/>
      <c r="GG463"/>
      <c r="GH463"/>
      <c r="GI463"/>
      <c r="GJ463"/>
      <c r="GK463"/>
      <c r="GL463"/>
      <c r="GM463"/>
      <c r="GN463"/>
      <c r="GO463"/>
      <c r="GP463"/>
      <c r="GQ463"/>
      <c r="GR463"/>
      <c r="GS463"/>
      <c r="GT463"/>
      <c r="GU463"/>
      <c r="GV463"/>
      <c r="GW463"/>
      <c r="GX463"/>
      <c r="GY463"/>
      <c r="GZ463"/>
      <c r="HA463"/>
      <c r="HB463"/>
      <c r="HC463"/>
      <c r="HD463"/>
      <c r="HE463"/>
      <c r="HF463"/>
      <c r="HG463"/>
      <c r="HH463"/>
      <c r="HI463"/>
      <c r="HJ463"/>
      <c r="HK463"/>
      <c r="HL463"/>
      <c r="HM463"/>
      <c r="HN463"/>
      <c r="HO463"/>
      <c r="HP463"/>
      <c r="HQ463"/>
      <c r="HR463"/>
      <c r="HS463"/>
      <c r="HT463"/>
      <c r="HU463"/>
      <c r="HV463"/>
      <c r="HW463"/>
      <c r="HX463"/>
      <c r="HY463"/>
      <c r="HZ463"/>
      <c r="IA463"/>
      <c r="IB463"/>
      <c r="IC463"/>
      <c r="ID463"/>
      <c r="IE463"/>
      <c r="IF463"/>
      <c r="IG463"/>
      <c r="IH463"/>
      <c r="II463"/>
      <c r="IJ463"/>
      <c r="IK463"/>
      <c r="IL463"/>
      <c r="IM463"/>
      <c r="IN463"/>
      <c r="IO463"/>
      <c r="IP463"/>
      <c r="IQ463"/>
      <c r="IR463"/>
      <c r="IS463"/>
      <c r="IT463"/>
      <c r="IU463"/>
      <c r="IV463"/>
      <c r="IW463"/>
      <c r="IX463"/>
      <c r="IY463"/>
      <c r="IZ463"/>
      <c r="JA463"/>
      <c r="JB463"/>
      <c r="JC463"/>
      <c r="JD463"/>
      <c r="JE463"/>
      <c r="JF463"/>
      <c r="JG463"/>
      <c r="JH463"/>
      <c r="JI463"/>
      <c r="JJ463"/>
      <c r="JK463"/>
      <c r="JL463"/>
      <c r="JM463"/>
      <c r="JN463"/>
      <c r="JO463"/>
      <c r="JP463"/>
      <c r="JQ463"/>
      <c r="JR463"/>
      <c r="JS463"/>
      <c r="JT463"/>
      <c r="JU463"/>
      <c r="JV463"/>
      <c r="JW463"/>
      <c r="JX463"/>
      <c r="JY463"/>
      <c r="JZ463"/>
      <c r="KA463"/>
      <c r="KB463"/>
      <c r="KC463"/>
      <c r="KD463"/>
      <c r="KE463"/>
      <c r="KF463"/>
      <c r="KG463"/>
      <c r="KH463"/>
      <c r="KI463"/>
      <c r="KJ463"/>
      <c r="KK463"/>
      <c r="KL463"/>
      <c r="KM463"/>
      <c r="KN463"/>
      <c r="KO463"/>
      <c r="KP463"/>
      <c r="KQ463"/>
      <c r="KR463"/>
      <c r="KS463"/>
      <c r="KT463"/>
      <c r="KU463"/>
      <c r="KV463"/>
      <c r="KW463"/>
      <c r="KX463"/>
      <c r="KY463"/>
      <c r="KZ463"/>
      <c r="LA463"/>
      <c r="LB463"/>
      <c r="LC463"/>
      <c r="LD463"/>
      <c r="LE463"/>
      <c r="LF463"/>
      <c r="LG463"/>
      <c r="LH463"/>
      <c r="LI463"/>
      <c r="LJ463"/>
      <c r="LK463"/>
      <c r="LL463"/>
      <c r="LM463"/>
      <c r="LN463"/>
      <c r="LO463"/>
      <c r="LP463"/>
      <c r="LQ463"/>
      <c r="LR463"/>
      <c r="LS463"/>
      <c r="LT463"/>
      <c r="LU463"/>
      <c r="LV463"/>
      <c r="LW463"/>
      <c r="LX463"/>
      <c r="LY463"/>
      <c r="LZ463"/>
      <c r="MA463"/>
      <c r="MB463"/>
      <c r="MC463"/>
      <c r="MD463"/>
      <c r="ME463"/>
      <c r="MF463"/>
      <c r="MG463"/>
      <c r="MH463"/>
      <c r="MI463"/>
      <c r="MJ463"/>
      <c r="MK463"/>
      <c r="ML463"/>
      <c r="MM463"/>
      <c r="MN463"/>
      <c r="MO463"/>
      <c r="MP463"/>
      <c r="MQ463"/>
      <c r="MR463"/>
      <c r="MS463"/>
      <c r="MT463"/>
      <c r="MU463"/>
      <c r="MV463"/>
      <c r="MW463"/>
      <c r="MX463"/>
      <c r="MY463"/>
      <c r="MZ463"/>
      <c r="NA463"/>
      <c r="NB463"/>
      <c r="NC463"/>
      <c r="ND463"/>
      <c r="NE463"/>
      <c r="NF463"/>
      <c r="NG463"/>
      <c r="NH463"/>
      <c r="NI463"/>
      <c r="NJ463"/>
      <c r="NK463"/>
      <c r="NL463"/>
      <c r="NM463"/>
      <c r="NN463"/>
      <c r="NO463"/>
      <c r="NP463"/>
      <c r="NQ463"/>
      <c r="NR463"/>
      <c r="NS463"/>
      <c r="NT463"/>
      <c r="NU463"/>
      <c r="NV463"/>
      <c r="NW463"/>
      <c r="NX463"/>
      <c r="NY463"/>
      <c r="NZ463"/>
      <c r="OA463"/>
      <c r="OB463"/>
      <c r="OC463"/>
      <c r="OD463"/>
      <c r="OE463"/>
      <c r="OF463"/>
      <c r="OG463"/>
      <c r="OH463"/>
      <c r="OI463"/>
      <c r="OJ463"/>
      <c r="OK463"/>
      <c r="OL463"/>
      <c r="OM463"/>
      <c r="ON463"/>
      <c r="OO463"/>
      <c r="OP463"/>
      <c r="OQ463"/>
      <c r="OR463"/>
      <c r="OS463"/>
      <c r="OT463"/>
      <c r="OU463"/>
      <c r="OV463"/>
      <c r="OW463"/>
      <c r="OX463"/>
      <c r="OY463"/>
      <c r="OZ463"/>
      <c r="PA463"/>
      <c r="PB463"/>
      <c r="PC463"/>
      <c r="PD463"/>
      <c r="PE463"/>
      <c r="PF463"/>
      <c r="PG463"/>
      <c r="PH463"/>
      <c r="PI463"/>
      <c r="PJ463"/>
      <c r="PK463"/>
      <c r="PL463"/>
      <c r="PM463"/>
      <c r="PN463"/>
      <c r="PO463"/>
      <c r="PP463"/>
      <c r="PQ463"/>
      <c r="PR463"/>
      <c r="PS463"/>
      <c r="PT463"/>
      <c r="PU463"/>
      <c r="PV463"/>
      <c r="PW463"/>
      <c r="PX463"/>
      <c r="PY463"/>
      <c r="PZ463"/>
      <c r="QA463"/>
      <c r="QB463"/>
      <c r="QC463"/>
      <c r="QD463"/>
      <c r="QE463"/>
      <c r="QF463"/>
      <c r="QG463"/>
      <c r="QH463"/>
      <c r="QI463"/>
      <c r="QJ463"/>
      <c r="QK463"/>
      <c r="QL463"/>
      <c r="QM463"/>
      <c r="QN463"/>
      <c r="QO463"/>
      <c r="QP463"/>
      <c r="QQ463"/>
      <c r="QR463"/>
      <c r="QS463"/>
      <c r="QT463"/>
      <c r="QU463"/>
      <c r="QV463"/>
      <c r="QW463"/>
      <c r="QX463"/>
      <c r="QY463"/>
      <c r="QZ463"/>
      <c r="RA463"/>
      <c r="RB463"/>
      <c r="RC463"/>
      <c r="RD463"/>
      <c r="RE463"/>
      <c r="RF463"/>
      <c r="RG463"/>
      <c r="RH463"/>
      <c r="RI463"/>
      <c r="RJ463"/>
      <c r="RK463"/>
      <c r="RL463"/>
      <c r="RM463"/>
      <c r="RN463"/>
      <c r="RO463"/>
      <c r="RP463"/>
      <c r="RQ463"/>
      <c r="RR463"/>
      <c r="RS463"/>
      <c r="RT463"/>
      <c r="RU463"/>
      <c r="RV463"/>
      <c r="RW463"/>
      <c r="RX463"/>
      <c r="RY463"/>
      <c r="RZ463"/>
      <c r="SA463"/>
      <c r="SB463"/>
      <c r="SC463"/>
      <c r="SD463"/>
      <c r="SE463"/>
      <c r="SF463"/>
      <c r="SG463"/>
      <c r="SH463"/>
      <c r="SI463"/>
      <c r="SJ463"/>
      <c r="SK463"/>
      <c r="SL463"/>
      <c r="SM463"/>
      <c r="SN463"/>
      <c r="SO463"/>
      <c r="SP463"/>
      <c r="SQ463"/>
      <c r="SR463"/>
      <c r="SS463"/>
      <c r="ST463"/>
      <c r="SU463"/>
      <c r="SV463"/>
      <c r="SW463"/>
      <c r="SX463"/>
      <c r="SY463"/>
      <c r="SZ463"/>
      <c r="TA463"/>
      <c r="TB463"/>
      <c r="TC463"/>
      <c r="TD463"/>
      <c r="TE463"/>
      <c r="TF463"/>
      <c r="TG463"/>
      <c r="TH463"/>
      <c r="TI463"/>
      <c r="TJ463"/>
      <c r="TK463"/>
      <c r="TL463"/>
      <c r="TM463"/>
      <c r="TN463"/>
      <c r="TO463"/>
      <c r="TP463"/>
      <c r="TQ463"/>
      <c r="TR463"/>
      <c r="TS463"/>
      <c r="TT463"/>
      <c r="TU463"/>
      <c r="TV463"/>
      <c r="TW463"/>
      <c r="TX463"/>
      <c r="TY463"/>
      <c r="TZ463"/>
      <c r="UA463"/>
      <c r="UB463"/>
      <c r="UC463"/>
      <c r="UD463"/>
      <c r="UE463"/>
      <c r="UF463"/>
      <c r="UG463"/>
      <c r="UH463"/>
      <c r="UI463"/>
      <c r="UJ463"/>
      <c r="UK463"/>
      <c r="UL463"/>
      <c r="UM463"/>
      <c r="UN463"/>
      <c r="UO463"/>
      <c r="UP463"/>
      <c r="UQ463"/>
      <c r="UR463"/>
      <c r="US463"/>
      <c r="UT463"/>
      <c r="UU463"/>
      <c r="UV463"/>
      <c r="UW463"/>
      <c r="UX463"/>
      <c r="UY463"/>
      <c r="UZ463"/>
      <c r="VA463"/>
      <c r="VB463"/>
      <c r="VC463"/>
      <c r="VD463"/>
      <c r="VE463"/>
      <c r="VF463"/>
      <c r="VG463"/>
      <c r="VH463"/>
      <c r="VI463"/>
      <c r="VJ463"/>
      <c r="VK463"/>
      <c r="VL463"/>
      <c r="VM463"/>
      <c r="VN463"/>
      <c r="VO463"/>
      <c r="VP463"/>
      <c r="VQ463"/>
      <c r="VR463"/>
      <c r="VS463"/>
      <c r="VT463"/>
      <c r="VU463"/>
      <c r="VV463"/>
      <c r="VW463"/>
      <c r="VX463"/>
      <c r="VY463"/>
      <c r="VZ463"/>
      <c r="WA463"/>
      <c r="WB463"/>
      <c r="WC463"/>
      <c r="WD463"/>
      <c r="WE463"/>
      <c r="WF463"/>
      <c r="WG463"/>
      <c r="WH463"/>
      <c r="WI463"/>
      <c r="WJ463"/>
      <c r="WK463"/>
      <c r="WL463"/>
      <c r="WM463"/>
      <c r="WN463"/>
      <c r="WO463"/>
      <c r="WP463"/>
      <c r="WQ463"/>
      <c r="WR463"/>
      <c r="WS463"/>
      <c r="WT463"/>
      <c r="WU463"/>
      <c r="WV463"/>
      <c r="WW463"/>
      <c r="WX463"/>
      <c r="WY463"/>
      <c r="WZ463"/>
      <c r="XA463"/>
      <c r="XB463"/>
      <c r="XC463"/>
      <c r="XD463"/>
      <c r="XE463"/>
      <c r="XF463"/>
      <c r="XG463"/>
      <c r="XH463"/>
      <c r="XI463"/>
      <c r="XJ463"/>
      <c r="XK463"/>
      <c r="XL463"/>
      <c r="XM463"/>
      <c r="XN463"/>
      <c r="XO463"/>
      <c r="XP463"/>
      <c r="XQ463"/>
      <c r="XR463"/>
      <c r="XS463"/>
      <c r="XT463"/>
      <c r="XU463"/>
      <c r="XV463"/>
      <c r="XW463"/>
      <c r="XX463"/>
      <c r="XY463"/>
      <c r="XZ463"/>
      <c r="YA463"/>
      <c r="YB463"/>
      <c r="YC463"/>
      <c r="YD463"/>
      <c r="YE463"/>
      <c r="YF463"/>
      <c r="YG463"/>
      <c r="YH463"/>
      <c r="YI463"/>
      <c r="YJ463"/>
      <c r="YK463"/>
      <c r="YL463"/>
      <c r="YM463"/>
      <c r="YN463"/>
      <c r="YO463"/>
      <c r="YP463"/>
      <c r="YQ463"/>
      <c r="YR463"/>
      <c r="YS463"/>
      <c r="YT463"/>
      <c r="YU463"/>
      <c r="YV463"/>
      <c r="YW463"/>
      <c r="YX463"/>
      <c r="YY463"/>
      <c r="YZ463"/>
      <c r="ZA463"/>
      <c r="ZB463"/>
      <c r="ZC463"/>
      <c r="ZD463"/>
      <c r="ZE463"/>
      <c r="ZF463"/>
      <c r="ZG463"/>
      <c r="ZH463"/>
      <c r="ZI463"/>
      <c r="ZJ463"/>
      <c r="ZK463"/>
      <c r="ZL463"/>
      <c r="ZM463"/>
      <c r="ZN463"/>
      <c r="ZO463"/>
      <c r="ZP463"/>
      <c r="ZQ463"/>
      <c r="ZR463"/>
      <c r="ZS463"/>
      <c r="ZT463"/>
      <c r="ZU463"/>
      <c r="ZV463"/>
      <c r="ZW463"/>
      <c r="ZX463"/>
      <c r="ZY463"/>
      <c r="ZZ463"/>
      <c r="AAA463"/>
      <c r="AAB463"/>
      <c r="AAC463"/>
      <c r="AAD463"/>
      <c r="AAE463"/>
      <c r="AAF463"/>
      <c r="AAG463"/>
      <c r="AAH463"/>
      <c r="AAI463"/>
      <c r="AAJ463"/>
      <c r="AAK463"/>
      <c r="AAL463"/>
      <c r="AAM463"/>
      <c r="AAN463"/>
      <c r="AAO463"/>
      <c r="AAP463"/>
      <c r="AAQ463"/>
      <c r="AAR463"/>
      <c r="AAS463"/>
      <c r="AAT463"/>
      <c r="AAU463"/>
      <c r="AAV463"/>
      <c r="AAW463"/>
      <c r="AAX463"/>
      <c r="AAY463"/>
      <c r="AAZ463"/>
      <c r="ABA463"/>
      <c r="ABB463"/>
      <c r="ABC463"/>
      <c r="ABD463"/>
      <c r="ABE463"/>
      <c r="ABF463"/>
      <c r="ABG463"/>
      <c r="ABH463"/>
      <c r="ABI463"/>
      <c r="ABJ463"/>
      <c r="ABK463"/>
      <c r="ABL463"/>
      <c r="ABM463"/>
      <c r="ABN463"/>
      <c r="ABO463"/>
      <c r="ABP463"/>
      <c r="ABQ463"/>
      <c r="ABR463"/>
      <c r="ABS463"/>
      <c r="ABT463"/>
      <c r="ABU463"/>
      <c r="ABV463"/>
      <c r="ABW463"/>
      <c r="ABX463"/>
      <c r="ABY463"/>
      <c r="ABZ463"/>
      <c r="ACA463"/>
      <c r="ACB463"/>
      <c r="ACC463"/>
      <c r="ACD463"/>
      <c r="ACE463"/>
      <c r="ACF463"/>
      <c r="ACG463"/>
      <c r="ACH463"/>
      <c r="ACI463"/>
      <c r="ACJ463"/>
      <c r="ACK463"/>
      <c r="ACL463"/>
      <c r="ACM463"/>
      <c r="ACN463"/>
      <c r="ACO463"/>
      <c r="ACP463"/>
      <c r="ACQ463"/>
      <c r="ACR463"/>
      <c r="ACS463"/>
      <c r="ACT463"/>
      <c r="ACU463"/>
      <c r="ACV463"/>
      <c r="ACW463"/>
      <c r="ACX463"/>
      <c r="ACY463"/>
      <c r="ACZ463"/>
      <c r="ADA463"/>
      <c r="ADB463"/>
      <c r="ADC463"/>
      <c r="ADD463"/>
      <c r="ADE463"/>
      <c r="ADF463"/>
      <c r="ADG463"/>
      <c r="ADH463"/>
      <c r="ADI463"/>
      <c r="ADJ463"/>
      <c r="ADK463"/>
      <c r="ADL463"/>
      <c r="ADM463"/>
      <c r="ADN463"/>
      <c r="ADO463"/>
      <c r="ADP463"/>
      <c r="ADQ463"/>
      <c r="ADR463"/>
      <c r="ADS463"/>
      <c r="ADT463"/>
      <c r="ADU463"/>
      <c r="ADV463"/>
      <c r="ADW463"/>
      <c r="ADX463"/>
      <c r="ADY463"/>
      <c r="ADZ463"/>
      <c r="AEA463"/>
      <c r="AEB463"/>
      <c r="AEC463"/>
      <c r="AED463"/>
      <c r="AEE463"/>
      <c r="AEF463"/>
      <c r="AEG463"/>
      <c r="AEH463"/>
      <c r="AEI463"/>
      <c r="AEJ463"/>
      <c r="AEK463"/>
      <c r="AEL463"/>
      <c r="AEM463"/>
      <c r="AEN463"/>
      <c r="AEO463"/>
      <c r="AEP463"/>
      <c r="AEQ463"/>
      <c r="AER463"/>
      <c r="AES463"/>
      <c r="AET463"/>
      <c r="AEU463"/>
      <c r="AEV463"/>
      <c r="AEW463"/>
      <c r="AEX463"/>
      <c r="AEY463"/>
      <c r="AEZ463"/>
      <c r="AFA463"/>
      <c r="AFB463"/>
      <c r="AFC463"/>
      <c r="AFD463"/>
      <c r="AFE463"/>
      <c r="AFF463"/>
      <c r="AFG463"/>
      <c r="AFH463"/>
      <c r="AFI463"/>
      <c r="AFJ463"/>
      <c r="AFK463"/>
      <c r="AFL463"/>
      <c r="AFM463"/>
      <c r="AFN463"/>
      <c r="AFO463"/>
      <c r="AFP463"/>
      <c r="AFQ463"/>
      <c r="AFR463"/>
      <c r="AFS463"/>
      <c r="AFT463"/>
      <c r="AFU463"/>
      <c r="AFV463"/>
      <c r="AFW463"/>
      <c r="AFX463"/>
      <c r="AFY463"/>
      <c r="AFZ463"/>
      <c r="AGA463"/>
      <c r="AGB463"/>
      <c r="AGC463"/>
      <c r="AGD463"/>
      <c r="AGE463"/>
      <c r="AGF463"/>
      <c r="AGG463"/>
      <c r="AGH463"/>
      <c r="AGI463"/>
      <c r="AGJ463"/>
      <c r="AGK463"/>
      <c r="AGL463"/>
      <c r="AGM463"/>
      <c r="AGN463"/>
      <c r="AGO463"/>
      <c r="AGP463"/>
      <c r="AGQ463"/>
      <c r="AGR463"/>
      <c r="AGS463"/>
      <c r="AGT463"/>
      <c r="AGU463"/>
      <c r="AGV463"/>
      <c r="AGW463"/>
      <c r="AGX463"/>
      <c r="AGY463"/>
      <c r="AGZ463"/>
      <c r="AHA463"/>
      <c r="AHB463"/>
      <c r="AHC463"/>
      <c r="AHD463"/>
      <c r="AHE463"/>
      <c r="AHF463"/>
      <c r="AHG463"/>
      <c r="AHH463"/>
      <c r="AHI463"/>
      <c r="AHJ463"/>
      <c r="AHK463"/>
      <c r="AHL463"/>
      <c r="AHM463"/>
      <c r="AHN463"/>
      <c r="AHO463"/>
      <c r="AHP463"/>
      <c r="AHQ463"/>
      <c r="AHR463"/>
      <c r="AHS463"/>
      <c r="AHT463"/>
      <c r="AHU463"/>
      <c r="AHV463"/>
      <c r="AHW463"/>
      <c r="AHX463"/>
      <c r="AHY463"/>
      <c r="AHZ463"/>
      <c r="AIA463"/>
      <c r="AIB463"/>
      <c r="AIC463"/>
      <c r="AID463"/>
      <c r="AIE463"/>
      <c r="AIF463"/>
      <c r="AIG463"/>
      <c r="AIH463"/>
      <c r="AII463"/>
      <c r="AIJ463"/>
      <c r="AIK463"/>
      <c r="AIL463"/>
      <c r="AIM463"/>
      <c r="AIN463"/>
      <c r="AIO463"/>
      <c r="AIP463"/>
      <c r="AIQ463"/>
      <c r="AIR463"/>
      <c r="AIS463"/>
      <c r="AIT463"/>
      <c r="AIU463"/>
      <c r="AIV463"/>
      <c r="AIW463"/>
      <c r="AIX463"/>
      <c r="AIY463"/>
      <c r="AIZ463"/>
      <c r="AJA463"/>
      <c r="AJB463"/>
      <c r="AJC463"/>
      <c r="AJD463"/>
      <c r="AJE463"/>
      <c r="AJF463"/>
      <c r="AJG463"/>
      <c r="AJH463"/>
      <c r="AJI463"/>
      <c r="AJJ463"/>
      <c r="AJK463"/>
      <c r="AJL463"/>
      <c r="AJM463"/>
      <c r="AJN463"/>
      <c r="AJO463"/>
      <c r="AJP463"/>
      <c r="AJQ463"/>
      <c r="AJR463"/>
      <c r="AJS463"/>
      <c r="AJT463"/>
      <c r="AJU463"/>
      <c r="AJV463"/>
      <c r="AJW463"/>
      <c r="AJX463"/>
      <c r="AJY463"/>
      <c r="AJZ463"/>
      <c r="AKA463"/>
      <c r="AKB463"/>
      <c r="AKC463"/>
      <c r="AKD463"/>
      <c r="AKE463"/>
      <c r="AKF463"/>
      <c r="AKG463"/>
      <c r="AKH463"/>
      <c r="AKI463"/>
      <c r="AKJ463"/>
      <c r="AKK463"/>
      <c r="AKL463"/>
      <c r="AKM463"/>
      <c r="AKN463"/>
      <c r="AKO463"/>
      <c r="AKP463"/>
      <c r="AKQ463"/>
      <c r="AKR463"/>
      <c r="AKS463"/>
      <c r="AKT463"/>
      <c r="AKU463"/>
      <c r="AKV463"/>
      <c r="AKW463"/>
      <c r="AKX463"/>
      <c r="AKY463"/>
      <c r="AKZ463"/>
      <c r="ALA463"/>
      <c r="ALB463"/>
      <c r="ALC463"/>
      <c r="ALD463"/>
      <c r="ALE463"/>
      <c r="ALF463"/>
      <c r="ALG463"/>
      <c r="ALH463"/>
      <c r="ALI463"/>
      <c r="ALJ463"/>
      <c r="ALK463"/>
      <c r="ALL463"/>
      <c r="ALM463"/>
      <c r="ALN463"/>
      <c r="ALO463"/>
      <c r="ALP463"/>
      <c r="ALQ463"/>
      <c r="ALR463"/>
      <c r="ALS463"/>
      <c r="ALT463"/>
    </row>
    <row r="464" spans="1:1008" ht="14">
      <c r="A464" s="25" t="s">
        <v>1257</v>
      </c>
      <c r="B464" s="26" t="s">
        <v>109</v>
      </c>
      <c r="C464" s="25" t="str">
        <f t="shared" si="7"/>
        <v>arg0</v>
      </c>
      <c r="D464" s="27" t="s">
        <v>13</v>
      </c>
      <c r="E464" s="25" t="s">
        <v>1258</v>
      </c>
      <c r="F464" s="25" t="s">
        <v>1259</v>
      </c>
      <c r="G464" s="25">
        <v>500</v>
      </c>
      <c r="H464" s="25"/>
    </row>
    <row r="465" spans="1:8" ht="14">
      <c r="A465" s="25" t="s">
        <v>1260</v>
      </c>
      <c r="B465" s="26" t="s">
        <v>109</v>
      </c>
      <c r="C465" s="25" t="str">
        <f t="shared" si="7"/>
        <v>arg10</v>
      </c>
      <c r="D465" s="27" t="s">
        <v>13</v>
      </c>
      <c r="E465" s="25" t="s">
        <v>1261</v>
      </c>
      <c r="F465" s="25" t="s">
        <v>1262</v>
      </c>
      <c r="G465" s="25">
        <v>500</v>
      </c>
      <c r="H465" s="25"/>
    </row>
    <row r="466" spans="1:8" ht="14">
      <c r="A466" s="25" t="s">
        <v>1263</v>
      </c>
      <c r="B466" s="26" t="s">
        <v>109</v>
      </c>
      <c r="C466" s="25" t="str">
        <f t="shared" si="7"/>
        <v>arg6</v>
      </c>
      <c r="D466" s="27" t="s">
        <v>13</v>
      </c>
      <c r="E466" s="25" t="s">
        <v>1264</v>
      </c>
      <c r="F466" s="25" t="s">
        <v>1265</v>
      </c>
      <c r="G466" s="25">
        <v>500</v>
      </c>
      <c r="H466" s="25"/>
    </row>
    <row r="467" spans="1:8" ht="14">
      <c r="A467" s="25" t="s">
        <v>1266</v>
      </c>
      <c r="B467" s="26" t="s">
        <v>109</v>
      </c>
      <c r="C467" s="25" t="str">
        <f t="shared" si="7"/>
        <v>lys0</v>
      </c>
      <c r="D467" s="27" t="s">
        <v>13</v>
      </c>
      <c r="E467" s="25" t="s">
        <v>1267</v>
      </c>
      <c r="F467" s="27" t="s">
        <v>2802</v>
      </c>
      <c r="G467" s="25">
        <v>500</v>
      </c>
      <c r="H467" s="25"/>
    </row>
    <row r="468" spans="1:8" ht="14">
      <c r="A468" s="25" t="s">
        <v>1268</v>
      </c>
      <c r="B468" s="26" t="s">
        <v>109</v>
      </c>
      <c r="C468" s="25" t="str">
        <f t="shared" si="7"/>
        <v>lys4</v>
      </c>
      <c r="D468" s="27" t="s">
        <v>13</v>
      </c>
      <c r="E468" s="25" t="s">
        <v>1269</v>
      </c>
      <c r="F468" s="25" t="s">
        <v>1270</v>
      </c>
      <c r="G468" s="25">
        <v>500</v>
      </c>
      <c r="H468" s="25"/>
    </row>
    <row r="469" spans="1:8" ht="14">
      <c r="A469" s="25" t="s">
        <v>1271</v>
      </c>
      <c r="B469" s="26" t="s">
        <v>109</v>
      </c>
      <c r="C469" s="25" t="str">
        <f t="shared" si="7"/>
        <v>lys6</v>
      </c>
      <c r="D469" s="27" t="s">
        <v>13</v>
      </c>
      <c r="E469" s="25" t="s">
        <v>1272</v>
      </c>
      <c r="F469" s="25" t="s">
        <v>1273</v>
      </c>
      <c r="G469" s="25">
        <v>500</v>
      </c>
      <c r="H469" s="25"/>
    </row>
    <row r="470" spans="1:8" ht="14">
      <c r="A470" s="25" t="s">
        <v>1274</v>
      </c>
      <c r="B470" s="26" t="s">
        <v>109</v>
      </c>
      <c r="C470" s="25" t="str">
        <f t="shared" si="7"/>
        <v>lys8</v>
      </c>
      <c r="D470" s="27" t="s">
        <v>13</v>
      </c>
      <c r="E470" s="25" t="s">
        <v>1275</v>
      </c>
      <c r="F470" s="25" t="s">
        <v>1276</v>
      </c>
      <c r="G470" s="25">
        <v>500</v>
      </c>
      <c r="H470" s="25"/>
    </row>
    <row r="471" spans="1:8" ht="14">
      <c r="A471" s="25" t="s">
        <v>2804</v>
      </c>
      <c r="B471" s="26" t="s">
        <v>109</v>
      </c>
      <c r="C471" s="25" t="str">
        <f t="shared" si="7"/>
        <v>lys0arg0</v>
      </c>
      <c r="D471" s="27" t="s">
        <v>13</v>
      </c>
      <c r="E471" s="25" t="s">
        <v>2803</v>
      </c>
      <c r="F471" s="25" t="s">
        <v>2811</v>
      </c>
      <c r="G471" s="25">
        <v>500</v>
      </c>
      <c r="H471" s="25"/>
    </row>
    <row r="472" spans="1:8" ht="14">
      <c r="A472" s="25" t="s">
        <v>2805</v>
      </c>
      <c r="B472" s="26" t="s">
        <v>109</v>
      </c>
      <c r="C472" s="25" t="str">
        <f t="shared" si="7"/>
        <v>lys4arg6</v>
      </c>
      <c r="D472" s="27"/>
      <c r="E472" s="25" t="s">
        <v>2806</v>
      </c>
      <c r="F472" s="25" t="s">
        <v>2810</v>
      </c>
      <c r="G472" s="25">
        <v>500</v>
      </c>
      <c r="H472" s="25"/>
    </row>
    <row r="473" spans="1:8" ht="14">
      <c r="A473" s="25" t="s">
        <v>2807</v>
      </c>
      <c r="B473" s="26" t="s">
        <v>109</v>
      </c>
      <c r="C473" s="25" t="str">
        <f t="shared" si="7"/>
        <v>lys8arg10</v>
      </c>
      <c r="D473" s="27"/>
      <c r="E473" s="25" t="s">
        <v>2808</v>
      </c>
      <c r="F473" s="25" t="s">
        <v>2809</v>
      </c>
      <c r="G473" s="25">
        <v>500</v>
      </c>
      <c r="H473" s="25"/>
    </row>
    <row r="474" spans="1:8" ht="14">
      <c r="A474" s="25" t="s">
        <v>1277</v>
      </c>
      <c r="B474" s="26" t="s">
        <v>111</v>
      </c>
      <c r="C474" s="25" t="str">
        <f t="shared" si="7"/>
        <v>abc_transporters</v>
      </c>
      <c r="D474" s="27" t="s">
        <v>13</v>
      </c>
      <c r="E474" s="25" t="s">
        <v>1278</v>
      </c>
      <c r="F474" s="25" t="s">
        <v>1279</v>
      </c>
      <c r="G474" s="25">
        <v>500</v>
      </c>
      <c r="H474" s="25"/>
    </row>
    <row r="475" spans="1:8" ht="14">
      <c r="A475" s="25" t="s">
        <v>1280</v>
      </c>
      <c r="B475" s="26" t="s">
        <v>111</v>
      </c>
      <c r="C475" s="25" t="str">
        <f t="shared" si="7"/>
        <v>amidoxime_reducing_complex</v>
      </c>
      <c r="D475" s="27" t="s">
        <v>13</v>
      </c>
      <c r="E475" s="25" t="s">
        <v>1281</v>
      </c>
      <c r="F475" s="25" t="s">
        <v>1282</v>
      </c>
      <c r="G475" s="25">
        <v>500</v>
      </c>
      <c r="H475" s="25"/>
    </row>
    <row r="476" spans="1:8" ht="14">
      <c r="A476" s="25" t="s">
        <v>1283</v>
      </c>
      <c r="B476" s="26" t="s">
        <v>111</v>
      </c>
      <c r="C476" s="25" t="str">
        <f t="shared" si="7"/>
        <v>amino_acid_metabolism</v>
      </c>
      <c r="D476" s="27" t="s">
        <v>13</v>
      </c>
      <c r="E476" s="25" t="s">
        <v>1284</v>
      </c>
      <c r="F476" s="25" t="s">
        <v>1285</v>
      </c>
      <c r="G476" s="25">
        <v>500</v>
      </c>
      <c r="H476" s="25"/>
    </row>
    <row r="477" spans="1:8" ht="14">
      <c r="A477" s="25" t="s">
        <v>1286</v>
      </c>
      <c r="B477" s="26" t="s">
        <v>111</v>
      </c>
      <c r="C477" s="25" t="str">
        <f t="shared" si="7"/>
        <v>apoptosis</v>
      </c>
      <c r="D477" s="27" t="s">
        <v>13</v>
      </c>
      <c r="E477" s="25" t="s">
        <v>1287</v>
      </c>
      <c r="F477" s="25" t="s">
        <v>1288</v>
      </c>
      <c r="G477" s="25">
        <v>500</v>
      </c>
      <c r="H477" s="25"/>
    </row>
    <row r="478" spans="1:8" ht="14">
      <c r="A478" s="25" t="s">
        <v>1289</v>
      </c>
      <c r="B478" s="26" t="s">
        <v>111</v>
      </c>
      <c r="C478" s="25" t="str">
        <f t="shared" si="7"/>
        <v>autophagy</v>
      </c>
      <c r="D478" s="27" t="s">
        <v>13</v>
      </c>
      <c r="E478" s="25" t="s">
        <v>1290</v>
      </c>
      <c r="F478" s="25" t="s">
        <v>1291</v>
      </c>
      <c r="G478" s="25">
        <v>500</v>
      </c>
      <c r="H478" s="25"/>
    </row>
    <row r="479" spans="1:8" ht="14">
      <c r="A479" s="25" t="s">
        <v>1292</v>
      </c>
      <c r="B479" s="26" t="s">
        <v>111</v>
      </c>
      <c r="C479" s="25" t="str">
        <f t="shared" si="7"/>
        <v>biotin_utilizing_proteins</v>
      </c>
      <c r="D479" s="27" t="s">
        <v>13</v>
      </c>
      <c r="E479" s="25" t="s">
        <v>1293</v>
      </c>
      <c r="F479" s="25" t="s">
        <v>1294</v>
      </c>
      <c r="G479" s="25">
        <v>500</v>
      </c>
      <c r="H479" s="25"/>
    </row>
    <row r="480" spans="1:8" ht="14">
      <c r="A480" s="25" t="s">
        <v>1295</v>
      </c>
      <c r="B480" s="26" t="s">
        <v>111</v>
      </c>
      <c r="C480" s="25" t="str">
        <f t="shared" si="7"/>
        <v>branched_chain_amino_acid_dehydrogenase_complex</v>
      </c>
      <c r="D480" s="27" t="s">
        <v>13</v>
      </c>
      <c r="E480" s="25" t="s">
        <v>1296</v>
      </c>
      <c r="F480" s="25" t="s">
        <v>1297</v>
      </c>
      <c r="G480" s="25">
        <v>500</v>
      </c>
      <c r="H480" s="25"/>
    </row>
    <row r="481" spans="1:8" ht="14">
      <c r="A481" s="25" t="s">
        <v>1298</v>
      </c>
      <c r="B481" s="26" t="s">
        <v>111</v>
      </c>
      <c r="C481" s="25" t="str">
        <f t="shared" si="7"/>
        <v>branched_chain_amino_acid_metabolism</v>
      </c>
      <c r="D481" s="27" t="s">
        <v>13</v>
      </c>
      <c r="E481" s="25" t="s">
        <v>1299</v>
      </c>
      <c r="F481" s="25" t="s">
        <v>1300</v>
      </c>
      <c r="G481" s="25">
        <v>500</v>
      </c>
      <c r="H481" s="25"/>
    </row>
    <row r="482" spans="1:8" ht="14">
      <c r="A482" s="25" t="s">
        <v>1301</v>
      </c>
      <c r="B482" s="26" t="s">
        <v>111</v>
      </c>
      <c r="C482" s="25" t="str">
        <f t="shared" si="7"/>
        <v>calcium_cycle</v>
      </c>
      <c r="D482" s="27" t="s">
        <v>13</v>
      </c>
      <c r="E482" s="25" t="s">
        <v>1302</v>
      </c>
      <c r="F482" s="25" t="s">
        <v>1303</v>
      </c>
      <c r="G482" s="25">
        <v>500</v>
      </c>
      <c r="H482" s="25"/>
    </row>
    <row r="483" spans="1:8" ht="14">
      <c r="A483" s="25" t="s">
        <v>1304</v>
      </c>
      <c r="B483" s="26" t="s">
        <v>111</v>
      </c>
      <c r="C483" s="25" t="str">
        <f t="shared" si="7"/>
        <v>calcium_homeostasis</v>
      </c>
      <c r="D483" s="27" t="s">
        <v>13</v>
      </c>
      <c r="E483" s="25" t="s">
        <v>1305</v>
      </c>
      <c r="F483" s="25" t="s">
        <v>1306</v>
      </c>
      <c r="G483" s="25">
        <v>500</v>
      </c>
      <c r="H483" s="25"/>
    </row>
    <row r="484" spans="1:8" ht="14">
      <c r="A484" s="25" t="s">
        <v>1307</v>
      </c>
      <c r="B484" s="26" t="s">
        <v>111</v>
      </c>
      <c r="C484" s="25" t="str">
        <f t="shared" si="7"/>
        <v>calcium_uniporter</v>
      </c>
      <c r="D484" s="27" t="s">
        <v>13</v>
      </c>
      <c r="E484" s="25" t="s">
        <v>1308</v>
      </c>
      <c r="F484" s="25" t="s">
        <v>1309</v>
      </c>
      <c r="G484" s="25">
        <v>500</v>
      </c>
      <c r="H484" s="25"/>
    </row>
    <row r="485" spans="1:8" ht="14">
      <c r="A485" s="25" t="s">
        <v>1310</v>
      </c>
      <c r="B485" s="26" t="s">
        <v>111</v>
      </c>
      <c r="C485" s="25" t="str">
        <f t="shared" si="7"/>
        <v>camp_pka_signaling</v>
      </c>
      <c r="D485" s="27" t="s">
        <v>13</v>
      </c>
      <c r="E485" s="25" t="s">
        <v>1311</v>
      </c>
      <c r="F485" s="25" t="s">
        <v>1312</v>
      </c>
      <c r="G485" s="25">
        <v>500</v>
      </c>
      <c r="H485" s="25"/>
    </row>
    <row r="486" spans="1:8" ht="14">
      <c r="A486" s="25" t="s">
        <v>1313</v>
      </c>
      <c r="B486" s="26" t="s">
        <v>111</v>
      </c>
      <c r="C486" s="25" t="str">
        <f t="shared" si="7"/>
        <v>carbohydrate_metabolism</v>
      </c>
      <c r="D486" s="27" t="s">
        <v>13</v>
      </c>
      <c r="E486" s="25" t="s">
        <v>1314</v>
      </c>
      <c r="F486" s="25" t="s">
        <v>1315</v>
      </c>
      <c r="G486" s="25">
        <v>500</v>
      </c>
      <c r="H486" s="25"/>
    </row>
    <row r="487" spans="1:8" ht="14">
      <c r="A487" s="25" t="s">
        <v>1316</v>
      </c>
      <c r="B487" s="26" t="s">
        <v>111</v>
      </c>
      <c r="C487" s="25" t="str">
        <f t="shared" si="7"/>
        <v>cardiolipin_synthesis</v>
      </c>
      <c r="D487" s="27" t="s">
        <v>13</v>
      </c>
      <c r="E487" s="25" t="s">
        <v>1317</v>
      </c>
      <c r="F487" s="25" t="s">
        <v>1318</v>
      </c>
      <c r="G487" s="25">
        <v>500</v>
      </c>
      <c r="H487" s="25"/>
    </row>
    <row r="488" spans="1:8" ht="14">
      <c r="A488" s="25" t="s">
        <v>1319</v>
      </c>
      <c r="B488" s="26" t="s">
        <v>111</v>
      </c>
      <c r="C488" s="25" t="str">
        <f t="shared" si="7"/>
        <v>carnitine_shuttle</v>
      </c>
      <c r="D488" s="27" t="s">
        <v>13</v>
      </c>
      <c r="E488" s="25" t="s">
        <v>1320</v>
      </c>
      <c r="F488" s="25" t="s">
        <v>1321</v>
      </c>
      <c r="G488" s="25">
        <v>500</v>
      </c>
      <c r="H488" s="25"/>
    </row>
    <row r="489" spans="1:8" ht="14">
      <c r="A489" s="25" t="s">
        <v>1322</v>
      </c>
      <c r="B489" s="26" t="s">
        <v>111</v>
      </c>
      <c r="C489" s="25" t="str">
        <f t="shared" si="7"/>
        <v>carnitine_synthesis_and_transport</v>
      </c>
      <c r="D489" s="27" t="s">
        <v>13</v>
      </c>
      <c r="E489" s="25" t="s">
        <v>1323</v>
      </c>
      <c r="F489" s="25" t="s">
        <v>1324</v>
      </c>
      <c r="G489" s="25">
        <v>500</v>
      </c>
      <c r="H489" s="25"/>
    </row>
    <row r="490" spans="1:8" ht="14">
      <c r="A490" s="25" t="s">
        <v>1325</v>
      </c>
      <c r="B490" s="26" t="s">
        <v>111</v>
      </c>
      <c r="C490" s="25" t="str">
        <f t="shared" si="7"/>
        <v>catechol_metabolism</v>
      </c>
      <c r="D490" s="27" t="s">
        <v>13</v>
      </c>
      <c r="E490" s="25" t="s">
        <v>1326</v>
      </c>
      <c r="F490" s="25" t="s">
        <v>1327</v>
      </c>
      <c r="G490" s="25">
        <v>500</v>
      </c>
      <c r="H490" s="25"/>
    </row>
    <row r="491" spans="1:8" ht="14">
      <c r="A491" s="25" t="s">
        <v>1328</v>
      </c>
      <c r="B491" s="26" t="s">
        <v>111</v>
      </c>
      <c r="C491" s="25" t="str">
        <f t="shared" si="7"/>
        <v>chaperones</v>
      </c>
      <c r="D491" s="27" t="s">
        <v>13</v>
      </c>
      <c r="E491" s="25" t="s">
        <v>1329</v>
      </c>
      <c r="F491" s="25" t="s">
        <v>1330</v>
      </c>
      <c r="G491" s="25">
        <v>500</v>
      </c>
      <c r="H491" s="25"/>
    </row>
    <row r="492" spans="1:8" ht="14">
      <c r="A492" s="25" t="s">
        <v>1331</v>
      </c>
      <c r="B492" s="26" t="s">
        <v>111</v>
      </c>
      <c r="C492" s="25" t="str">
        <f t="shared" si="7"/>
        <v>cholesterol_associated</v>
      </c>
      <c r="D492" s="27" t="s">
        <v>13</v>
      </c>
      <c r="E492" s="25" t="s">
        <v>1332</v>
      </c>
      <c r="F492" s="25" t="s">
        <v>1333</v>
      </c>
      <c r="G492" s="25">
        <v>500</v>
      </c>
      <c r="H492" s="25"/>
    </row>
    <row r="493" spans="1:8" ht="14">
      <c r="A493" s="25" t="s">
        <v>1334</v>
      </c>
      <c r="B493" s="26" t="s">
        <v>111</v>
      </c>
      <c r="C493" s="25" t="str">
        <f t="shared" si="7"/>
        <v>choline_and_betaine_metabolism</v>
      </c>
      <c r="D493" s="27" t="s">
        <v>13</v>
      </c>
      <c r="E493" s="25" t="s">
        <v>1335</v>
      </c>
      <c r="F493" s="25" t="s">
        <v>1336</v>
      </c>
      <c r="G493" s="25">
        <v>500</v>
      </c>
      <c r="H493" s="25"/>
    </row>
    <row r="494" spans="1:8" ht="14">
      <c r="A494" s="25" t="s">
        <v>1337</v>
      </c>
      <c r="B494" s="26" t="s">
        <v>111</v>
      </c>
      <c r="C494" s="25" t="str">
        <f t="shared" si="7"/>
        <v>ci_assembly_factors</v>
      </c>
      <c r="D494" s="27" t="s">
        <v>13</v>
      </c>
      <c r="E494" s="25" t="s">
        <v>1338</v>
      </c>
      <c r="F494" s="25" t="s">
        <v>1339</v>
      </c>
      <c r="G494" s="25">
        <v>500</v>
      </c>
      <c r="H494" s="25"/>
    </row>
    <row r="495" spans="1:8" ht="14">
      <c r="A495" s="25" t="s">
        <v>1340</v>
      </c>
      <c r="B495" s="26" t="s">
        <v>111</v>
      </c>
      <c r="C495" s="25" t="str">
        <f t="shared" si="7"/>
        <v>ci_subunits</v>
      </c>
      <c r="D495" s="27" t="s">
        <v>13</v>
      </c>
      <c r="E495" s="25" t="s">
        <v>1341</v>
      </c>
      <c r="F495" s="25" t="s">
        <v>1342</v>
      </c>
      <c r="G495" s="25">
        <v>500</v>
      </c>
      <c r="H495" s="25"/>
    </row>
    <row r="496" spans="1:8" ht="14">
      <c r="A496" s="25" t="s">
        <v>1343</v>
      </c>
      <c r="B496" s="26" t="s">
        <v>111</v>
      </c>
      <c r="C496" s="25" t="str">
        <f t="shared" si="7"/>
        <v>cii_assembly_factors</v>
      </c>
      <c r="D496" s="27" t="s">
        <v>13</v>
      </c>
      <c r="E496" s="25" t="s">
        <v>1344</v>
      </c>
      <c r="F496" s="25" t="s">
        <v>1345</v>
      </c>
      <c r="G496" s="25">
        <v>500</v>
      </c>
      <c r="H496" s="25"/>
    </row>
    <row r="497" spans="1:8" ht="14">
      <c r="A497" s="25" t="s">
        <v>1346</v>
      </c>
      <c r="B497" s="26" t="s">
        <v>111</v>
      </c>
      <c r="C497" s="25" t="str">
        <f t="shared" si="7"/>
        <v>cii_subunits</v>
      </c>
      <c r="D497" s="27" t="s">
        <v>13</v>
      </c>
      <c r="E497" s="25" t="s">
        <v>1347</v>
      </c>
      <c r="F497" s="25" t="s">
        <v>1348</v>
      </c>
      <c r="G497" s="25">
        <v>500</v>
      </c>
      <c r="H497" s="25"/>
    </row>
    <row r="498" spans="1:8" ht="14">
      <c r="A498" s="25" t="s">
        <v>1349</v>
      </c>
      <c r="B498" s="26" t="s">
        <v>111</v>
      </c>
      <c r="C498" s="25" t="str">
        <f t="shared" ref="C498:C561" si="8">A498</f>
        <v>ciii_assembly_factors</v>
      </c>
      <c r="D498" s="27" t="s">
        <v>13</v>
      </c>
      <c r="E498" s="25" t="s">
        <v>1350</v>
      </c>
      <c r="F498" s="25" t="s">
        <v>1351</v>
      </c>
      <c r="G498" s="25">
        <v>500</v>
      </c>
      <c r="H498" s="25"/>
    </row>
    <row r="499" spans="1:8" ht="14">
      <c r="A499" s="25" t="s">
        <v>1352</v>
      </c>
      <c r="B499" s="26" t="s">
        <v>111</v>
      </c>
      <c r="C499" s="25" t="str">
        <f t="shared" si="8"/>
        <v>ciii_subunits</v>
      </c>
      <c r="D499" s="27" t="s">
        <v>13</v>
      </c>
      <c r="E499" s="25" t="s">
        <v>1353</v>
      </c>
      <c r="F499" s="25" t="s">
        <v>1354</v>
      </c>
      <c r="G499" s="25">
        <v>500</v>
      </c>
      <c r="H499" s="25"/>
    </row>
    <row r="500" spans="1:8" ht="14">
      <c r="A500" s="25" t="s">
        <v>1355</v>
      </c>
      <c r="B500" s="26" t="s">
        <v>111</v>
      </c>
      <c r="C500" s="25" t="str">
        <f t="shared" si="8"/>
        <v>civ_assembly_factors</v>
      </c>
      <c r="D500" s="27" t="s">
        <v>13</v>
      </c>
      <c r="E500" s="25" t="s">
        <v>1356</v>
      </c>
      <c r="F500" s="25" t="s">
        <v>1357</v>
      </c>
      <c r="G500" s="25">
        <v>500</v>
      </c>
      <c r="H500" s="25"/>
    </row>
    <row r="501" spans="1:8" ht="14">
      <c r="A501" s="25" t="s">
        <v>1358</v>
      </c>
      <c r="B501" s="26" t="s">
        <v>111</v>
      </c>
      <c r="C501" s="25" t="str">
        <f t="shared" si="8"/>
        <v>civ_subunits</v>
      </c>
      <c r="D501" s="27" t="s">
        <v>13</v>
      </c>
      <c r="E501" s="25" t="s">
        <v>1359</v>
      </c>
      <c r="F501" s="25" t="s">
        <v>1360</v>
      </c>
      <c r="G501" s="25">
        <v>500</v>
      </c>
      <c r="H501" s="25"/>
    </row>
    <row r="502" spans="1:8" ht="14">
      <c r="A502" s="25" t="s">
        <v>1361</v>
      </c>
      <c r="B502" s="26" t="s">
        <v>111</v>
      </c>
      <c r="C502" s="25" t="str">
        <f t="shared" si="8"/>
        <v>coenzyme_a_metabolism</v>
      </c>
      <c r="D502" s="27" t="s">
        <v>13</v>
      </c>
      <c r="E502" s="25" t="s">
        <v>1362</v>
      </c>
      <c r="F502" s="25" t="s">
        <v>1363</v>
      </c>
      <c r="G502" s="25">
        <v>500</v>
      </c>
      <c r="H502" s="25"/>
    </row>
    <row r="503" spans="1:8" ht="14">
      <c r="A503" s="25" t="s">
        <v>1364</v>
      </c>
      <c r="B503" s="26" t="s">
        <v>111</v>
      </c>
      <c r="C503" s="25" t="str">
        <f t="shared" si="8"/>
        <v>coenzyme_q_metabolism</v>
      </c>
      <c r="D503" s="27" t="s">
        <v>13</v>
      </c>
      <c r="E503" s="25" t="s">
        <v>1365</v>
      </c>
      <c r="F503" s="25" t="s">
        <v>1366</v>
      </c>
      <c r="G503" s="25">
        <v>500</v>
      </c>
      <c r="H503" s="25"/>
    </row>
    <row r="504" spans="1:8" ht="14">
      <c r="A504" s="25" t="s">
        <v>1367</v>
      </c>
      <c r="B504" s="26" t="s">
        <v>111</v>
      </c>
      <c r="C504" s="25" t="str">
        <f t="shared" si="8"/>
        <v>complex_i</v>
      </c>
      <c r="D504" s="27" t="s">
        <v>13</v>
      </c>
      <c r="E504" s="25" t="s">
        <v>1368</v>
      </c>
      <c r="F504" s="25" t="s">
        <v>1369</v>
      </c>
      <c r="G504" s="25">
        <v>500</v>
      </c>
      <c r="H504" s="25"/>
    </row>
    <row r="505" spans="1:8" ht="14">
      <c r="A505" s="25" t="s">
        <v>1370</v>
      </c>
      <c r="B505" s="26" t="s">
        <v>111</v>
      </c>
      <c r="C505" s="25" t="str">
        <f t="shared" si="8"/>
        <v>complex_ii</v>
      </c>
      <c r="D505" s="27" t="s">
        <v>13</v>
      </c>
      <c r="E505" s="25" t="s">
        <v>1371</v>
      </c>
      <c r="F505" s="25" t="s">
        <v>1372</v>
      </c>
      <c r="G505" s="25">
        <v>500</v>
      </c>
      <c r="H505" s="25"/>
    </row>
    <row r="506" spans="1:8" ht="14">
      <c r="A506" s="25" t="s">
        <v>1373</v>
      </c>
      <c r="B506" s="26" t="s">
        <v>111</v>
      </c>
      <c r="C506" s="25" t="str">
        <f t="shared" si="8"/>
        <v>complex_iii</v>
      </c>
      <c r="D506" s="27" t="s">
        <v>13</v>
      </c>
      <c r="E506" s="25" t="s">
        <v>1374</v>
      </c>
      <c r="F506" s="25" t="s">
        <v>1375</v>
      </c>
      <c r="G506" s="25">
        <v>500</v>
      </c>
      <c r="H506" s="25"/>
    </row>
    <row r="507" spans="1:8" ht="14">
      <c r="A507" s="25" t="s">
        <v>1376</v>
      </c>
      <c r="B507" s="26" t="s">
        <v>111</v>
      </c>
      <c r="C507" s="25" t="str">
        <f t="shared" si="8"/>
        <v>complex_iv</v>
      </c>
      <c r="D507" s="27" t="s">
        <v>13</v>
      </c>
      <c r="E507" s="25" t="s">
        <v>1377</v>
      </c>
      <c r="F507" s="25" t="s">
        <v>1378</v>
      </c>
      <c r="G507" s="25">
        <v>500</v>
      </c>
      <c r="H507" s="25"/>
    </row>
    <row r="508" spans="1:8" ht="14">
      <c r="A508" s="25" t="s">
        <v>1379</v>
      </c>
      <c r="B508" s="26" t="s">
        <v>111</v>
      </c>
      <c r="C508" s="25" t="str">
        <f t="shared" si="8"/>
        <v>complex_v</v>
      </c>
      <c r="D508" s="27" t="s">
        <v>13</v>
      </c>
      <c r="E508" s="25" t="s">
        <v>1380</v>
      </c>
      <c r="F508" s="25" t="s">
        <v>1381</v>
      </c>
      <c r="G508" s="25">
        <v>500</v>
      </c>
      <c r="H508" s="25"/>
    </row>
    <row r="509" spans="1:8" ht="14">
      <c r="A509" s="25" t="s">
        <v>1382</v>
      </c>
      <c r="B509" s="26" t="s">
        <v>111</v>
      </c>
      <c r="C509" s="25" t="str">
        <f t="shared" si="8"/>
        <v>copper_metabolism</v>
      </c>
      <c r="D509" s="27" t="s">
        <v>13</v>
      </c>
      <c r="E509" s="25" t="s">
        <v>1383</v>
      </c>
      <c r="F509" s="25" t="s">
        <v>1384</v>
      </c>
      <c r="G509" s="25">
        <v>500</v>
      </c>
      <c r="H509" s="25"/>
    </row>
    <row r="510" spans="1:8" ht="14">
      <c r="A510" s="25" t="s">
        <v>1385</v>
      </c>
      <c r="B510" s="26" t="s">
        <v>111</v>
      </c>
      <c r="C510" s="25" t="str">
        <f t="shared" si="8"/>
        <v>creatine_metabolism</v>
      </c>
      <c r="D510" s="27" t="s">
        <v>13</v>
      </c>
      <c r="E510" s="25" t="s">
        <v>1386</v>
      </c>
      <c r="F510" s="25" t="s">
        <v>1387</v>
      </c>
      <c r="G510" s="25">
        <v>500</v>
      </c>
      <c r="H510" s="25"/>
    </row>
    <row r="511" spans="1:8" ht="14">
      <c r="A511" s="25" t="s">
        <v>1388</v>
      </c>
      <c r="B511" s="26" t="s">
        <v>111</v>
      </c>
      <c r="C511" s="25" t="str">
        <f t="shared" si="8"/>
        <v>cristae_formation</v>
      </c>
      <c r="D511" s="27" t="s">
        <v>13</v>
      </c>
      <c r="E511" s="25" t="s">
        <v>1389</v>
      </c>
      <c r="F511" s="25" t="s">
        <v>1390</v>
      </c>
      <c r="G511" s="25">
        <v>500</v>
      </c>
      <c r="H511" s="25"/>
    </row>
    <row r="512" spans="1:8" ht="14">
      <c r="A512" s="25" t="s">
        <v>1391</v>
      </c>
      <c r="B512" s="26" t="s">
        <v>111</v>
      </c>
      <c r="C512" s="25" t="str">
        <f t="shared" si="8"/>
        <v>cv_assembly_factors</v>
      </c>
      <c r="D512" s="27" t="s">
        <v>13</v>
      </c>
      <c r="E512" s="25" t="s">
        <v>1392</v>
      </c>
      <c r="F512" s="25" t="s">
        <v>1393</v>
      </c>
      <c r="G512" s="25">
        <v>500</v>
      </c>
      <c r="H512" s="25"/>
    </row>
    <row r="513" spans="1:8" ht="14">
      <c r="A513" s="25" t="s">
        <v>1394</v>
      </c>
      <c r="B513" s="26" t="s">
        <v>111</v>
      </c>
      <c r="C513" s="25" t="str">
        <f t="shared" si="8"/>
        <v>cv_subunits</v>
      </c>
      <c r="D513" s="27" t="s">
        <v>13</v>
      </c>
      <c r="E513" s="25" t="s">
        <v>1395</v>
      </c>
      <c r="F513" s="25" t="s">
        <v>1396</v>
      </c>
      <c r="G513" s="25">
        <v>500</v>
      </c>
      <c r="H513" s="25"/>
    </row>
    <row r="514" spans="1:8" ht="14">
      <c r="A514" s="25" t="s">
        <v>1397</v>
      </c>
      <c r="B514" s="26" t="s">
        <v>111</v>
      </c>
      <c r="C514" s="25" t="str">
        <f t="shared" si="8"/>
        <v>cytochrome_c</v>
      </c>
      <c r="D514" s="27" t="s">
        <v>13</v>
      </c>
      <c r="E514" s="25" t="s">
        <v>1398</v>
      </c>
      <c r="F514" s="25" t="s">
        <v>1399</v>
      </c>
      <c r="G514" s="25">
        <v>500</v>
      </c>
      <c r="H514" s="25"/>
    </row>
    <row r="515" spans="1:8" ht="14">
      <c r="A515" s="25" t="s">
        <v>1400</v>
      </c>
      <c r="B515" s="26" t="s">
        <v>111</v>
      </c>
      <c r="C515" s="25" t="str">
        <f t="shared" si="8"/>
        <v>cytochromes</v>
      </c>
      <c r="D515" s="27" t="s">
        <v>13</v>
      </c>
      <c r="E515" s="25" t="s">
        <v>1401</v>
      </c>
      <c r="F515" s="25" t="s">
        <v>1402</v>
      </c>
      <c r="G515" s="25">
        <v>500</v>
      </c>
      <c r="H515" s="25"/>
    </row>
    <row r="516" spans="1:8" ht="14">
      <c r="A516" s="25" t="s">
        <v>1403</v>
      </c>
      <c r="B516" s="26" t="s">
        <v>111</v>
      </c>
      <c r="C516" s="25" t="str">
        <f t="shared" si="8"/>
        <v>detoxification</v>
      </c>
      <c r="D516" s="27" t="s">
        <v>13</v>
      </c>
      <c r="E516" s="25" t="s">
        <v>1404</v>
      </c>
      <c r="F516" s="25" t="s">
        <v>1405</v>
      </c>
      <c r="G516" s="25">
        <v>500</v>
      </c>
      <c r="H516" s="25"/>
    </row>
    <row r="517" spans="1:8" ht="14">
      <c r="A517" s="25" t="s">
        <v>1406</v>
      </c>
      <c r="B517" s="26" t="s">
        <v>111</v>
      </c>
      <c r="C517" s="25" t="str">
        <f t="shared" si="8"/>
        <v>ef_hand_proteins</v>
      </c>
      <c r="D517" s="27" t="s">
        <v>13</v>
      </c>
      <c r="E517" s="25" t="s">
        <v>1407</v>
      </c>
      <c r="F517" s="25" t="s">
        <v>1408</v>
      </c>
      <c r="G517" s="25">
        <v>500</v>
      </c>
      <c r="H517" s="25"/>
    </row>
    <row r="518" spans="1:8" ht="14">
      <c r="A518" s="25" t="s">
        <v>1409</v>
      </c>
      <c r="B518" s="26" t="s">
        <v>111</v>
      </c>
      <c r="C518" s="25" t="str">
        <f t="shared" si="8"/>
        <v>eicosanoid_metabolism</v>
      </c>
      <c r="D518" s="27" t="s">
        <v>13</v>
      </c>
      <c r="E518" s="25" t="s">
        <v>1410</v>
      </c>
      <c r="F518" s="25" t="s">
        <v>1411</v>
      </c>
      <c r="G518" s="25">
        <v>500</v>
      </c>
      <c r="H518" s="25"/>
    </row>
    <row r="519" spans="1:8" ht="14">
      <c r="A519" s="25" t="s">
        <v>1412</v>
      </c>
      <c r="B519" s="26" t="s">
        <v>111</v>
      </c>
      <c r="C519" s="25" t="str">
        <f t="shared" si="8"/>
        <v>electron_carriers</v>
      </c>
      <c r="D519" s="27" t="s">
        <v>13</v>
      </c>
      <c r="E519" s="25" t="s">
        <v>1413</v>
      </c>
      <c r="F519" s="25" t="s">
        <v>1414</v>
      </c>
      <c r="G519" s="25">
        <v>500</v>
      </c>
      <c r="H519" s="25"/>
    </row>
    <row r="520" spans="1:8" ht="14">
      <c r="A520" s="25" t="s">
        <v>1415</v>
      </c>
      <c r="B520" s="26" t="s">
        <v>111</v>
      </c>
      <c r="C520" s="25" t="str">
        <f t="shared" si="8"/>
        <v>fatty_acid_oxidation</v>
      </c>
      <c r="D520" s="27" t="s">
        <v>13</v>
      </c>
      <c r="E520" s="25" t="s">
        <v>1416</v>
      </c>
      <c r="F520" s="25" t="s">
        <v>1417</v>
      </c>
      <c r="G520" s="25">
        <v>500</v>
      </c>
      <c r="H520" s="25"/>
    </row>
    <row r="521" spans="1:8" ht="14">
      <c r="A521" s="25" t="s">
        <v>1418</v>
      </c>
      <c r="B521" s="26" t="s">
        <v>111</v>
      </c>
      <c r="C521" s="25" t="str">
        <f t="shared" si="8"/>
        <v>fe_s_cluster_biosynthesis</v>
      </c>
      <c r="D521" s="27" t="s">
        <v>13</v>
      </c>
      <c r="E521" s="25" t="s">
        <v>1419</v>
      </c>
      <c r="F521" s="25" t="s">
        <v>1420</v>
      </c>
      <c r="G521" s="25">
        <v>500</v>
      </c>
      <c r="H521" s="25"/>
    </row>
    <row r="522" spans="1:8" ht="14">
      <c r="A522" s="25" t="s">
        <v>1421</v>
      </c>
      <c r="B522" s="26" t="s">
        <v>111</v>
      </c>
      <c r="C522" s="25" t="str">
        <f t="shared" si="8"/>
        <v>fe_s_containing_proteins</v>
      </c>
      <c r="D522" s="27" t="s">
        <v>13</v>
      </c>
      <c r="E522" s="25" t="s">
        <v>1422</v>
      </c>
      <c r="F522" s="25" t="s">
        <v>1423</v>
      </c>
      <c r="G522" s="25">
        <v>500</v>
      </c>
      <c r="H522" s="25"/>
    </row>
    <row r="523" spans="1:8" ht="14">
      <c r="A523" s="25" t="s">
        <v>1424</v>
      </c>
      <c r="B523" s="26" t="s">
        <v>111</v>
      </c>
      <c r="C523" s="25" t="str">
        <f t="shared" si="8"/>
        <v>fission</v>
      </c>
      <c r="D523" s="27" t="s">
        <v>13</v>
      </c>
      <c r="E523" s="25" t="s">
        <v>1425</v>
      </c>
      <c r="F523" s="25" t="s">
        <v>1426</v>
      </c>
      <c r="G523" s="25">
        <v>500</v>
      </c>
      <c r="H523" s="25"/>
    </row>
    <row r="524" spans="1:8" ht="14">
      <c r="A524" s="25" t="s">
        <v>1427</v>
      </c>
      <c r="B524" s="26" t="s">
        <v>111</v>
      </c>
      <c r="C524" s="25" t="str">
        <f t="shared" si="8"/>
        <v>fmet_processing</v>
      </c>
      <c r="D524" s="27" t="s">
        <v>13</v>
      </c>
      <c r="E524" s="25" t="s">
        <v>1428</v>
      </c>
      <c r="F524" s="25" t="s">
        <v>1429</v>
      </c>
      <c r="G524" s="25">
        <v>500</v>
      </c>
      <c r="H524" s="25"/>
    </row>
    <row r="525" spans="1:8" ht="14">
      <c r="A525" s="25" t="s">
        <v>1430</v>
      </c>
      <c r="B525" s="26" t="s">
        <v>111</v>
      </c>
      <c r="C525" s="25" t="str">
        <f t="shared" si="8"/>
        <v>folate_and_1_c_metabolism</v>
      </c>
      <c r="D525" s="27" t="s">
        <v>13</v>
      </c>
      <c r="E525" s="25" t="s">
        <v>1431</v>
      </c>
      <c r="F525" s="25" t="s">
        <v>1432</v>
      </c>
      <c r="G525" s="25">
        <v>500</v>
      </c>
      <c r="H525" s="25"/>
    </row>
    <row r="526" spans="1:8" ht="14">
      <c r="A526" s="25" t="s">
        <v>1433</v>
      </c>
      <c r="B526" s="26" t="s">
        <v>111</v>
      </c>
      <c r="C526" s="25" t="str">
        <f t="shared" si="8"/>
        <v>fusion</v>
      </c>
      <c r="D526" s="27" t="s">
        <v>13</v>
      </c>
      <c r="E526" s="25" t="s">
        <v>1434</v>
      </c>
      <c r="F526" s="25" t="s">
        <v>1435</v>
      </c>
      <c r="G526" s="25">
        <v>500</v>
      </c>
      <c r="H526" s="25"/>
    </row>
    <row r="527" spans="1:8" ht="14">
      <c r="A527" s="25" t="s">
        <v>1436</v>
      </c>
      <c r="B527" s="26" t="s">
        <v>111</v>
      </c>
      <c r="C527" s="25" t="str">
        <f t="shared" si="8"/>
        <v>gaba_metabolism</v>
      </c>
      <c r="D527" s="27" t="s">
        <v>13</v>
      </c>
      <c r="E527" s="25" t="s">
        <v>1437</v>
      </c>
      <c r="F527" s="25" t="s">
        <v>1438</v>
      </c>
      <c r="G527" s="25">
        <v>500</v>
      </c>
      <c r="H527" s="25"/>
    </row>
    <row r="528" spans="1:8" ht="14">
      <c r="A528" s="25" t="s">
        <v>1439</v>
      </c>
      <c r="B528" s="26" t="s">
        <v>111</v>
      </c>
      <c r="C528" s="25" t="str">
        <f t="shared" si="8"/>
        <v>gluconeogenesis</v>
      </c>
      <c r="D528" s="27" t="s">
        <v>13</v>
      </c>
      <c r="E528" s="25" t="s">
        <v>1440</v>
      </c>
      <c r="F528" s="25" t="s">
        <v>1441</v>
      </c>
      <c r="G528" s="25">
        <v>500</v>
      </c>
      <c r="H528" s="25"/>
    </row>
    <row r="529" spans="1:8" ht="14">
      <c r="A529" s="25" t="s">
        <v>1442</v>
      </c>
      <c r="B529" s="26" t="s">
        <v>111</v>
      </c>
      <c r="C529" s="25" t="str">
        <f t="shared" si="8"/>
        <v>glutamate_metabolism</v>
      </c>
      <c r="D529" s="27" t="s">
        <v>13</v>
      </c>
      <c r="E529" s="25" t="s">
        <v>1443</v>
      </c>
      <c r="F529" s="25" t="s">
        <v>1444</v>
      </c>
      <c r="G529" s="25">
        <v>500</v>
      </c>
      <c r="H529" s="25"/>
    </row>
    <row r="530" spans="1:8" ht="14">
      <c r="A530" s="25" t="s">
        <v>1445</v>
      </c>
      <c r="B530" s="26" t="s">
        <v>111</v>
      </c>
      <c r="C530" s="25" t="str">
        <f t="shared" si="8"/>
        <v>glycerol_phosphate_shuttle</v>
      </c>
      <c r="D530" s="27" t="s">
        <v>13</v>
      </c>
      <c r="E530" s="25" t="s">
        <v>1446</v>
      </c>
      <c r="F530" s="25" t="s">
        <v>1447</v>
      </c>
      <c r="G530" s="25">
        <v>500</v>
      </c>
      <c r="H530" s="25"/>
    </row>
    <row r="531" spans="1:8" ht="14">
      <c r="A531" s="25" t="s">
        <v>1448</v>
      </c>
      <c r="B531" s="26" t="s">
        <v>111</v>
      </c>
      <c r="C531" s="25" t="str">
        <f t="shared" si="8"/>
        <v>glycine_cleavage_system</v>
      </c>
      <c r="D531" s="27" t="s">
        <v>13</v>
      </c>
      <c r="E531" s="25" t="s">
        <v>1449</v>
      </c>
      <c r="F531" s="25" t="s">
        <v>1450</v>
      </c>
      <c r="G531" s="25">
        <v>500</v>
      </c>
      <c r="H531" s="25"/>
    </row>
    <row r="532" spans="1:8" ht="14">
      <c r="A532" s="25" t="s">
        <v>1451</v>
      </c>
      <c r="B532" s="26" t="s">
        <v>111</v>
      </c>
      <c r="C532" s="25" t="str">
        <f t="shared" si="8"/>
        <v>glycine_metabolism</v>
      </c>
      <c r="D532" s="27" t="s">
        <v>13</v>
      </c>
      <c r="E532" s="25" t="s">
        <v>1452</v>
      </c>
      <c r="F532" s="25" t="s">
        <v>1453</v>
      </c>
      <c r="G532" s="25">
        <v>500</v>
      </c>
      <c r="H532" s="25"/>
    </row>
    <row r="533" spans="1:8" ht="14">
      <c r="A533" s="25" t="s">
        <v>1454</v>
      </c>
      <c r="B533" s="26" t="s">
        <v>111</v>
      </c>
      <c r="C533" s="25" t="str">
        <f t="shared" si="8"/>
        <v>glyoxylate_metabolism</v>
      </c>
      <c r="D533" s="27" t="s">
        <v>13</v>
      </c>
      <c r="E533" s="25" t="s">
        <v>1455</v>
      </c>
      <c r="F533" s="25" t="s">
        <v>1456</v>
      </c>
      <c r="G533" s="25">
        <v>500</v>
      </c>
      <c r="H533" s="25"/>
    </row>
    <row r="534" spans="1:8" ht="14">
      <c r="A534" s="25" t="s">
        <v>1457</v>
      </c>
      <c r="B534" s="26" t="s">
        <v>111</v>
      </c>
      <c r="C534" s="25" t="str">
        <f t="shared" si="8"/>
        <v>heme_containing_proteins</v>
      </c>
      <c r="D534" s="27" t="s">
        <v>13</v>
      </c>
      <c r="E534" s="25" t="s">
        <v>1458</v>
      </c>
      <c r="F534" s="25" t="s">
        <v>1459</v>
      </c>
      <c r="G534" s="25">
        <v>500</v>
      </c>
      <c r="H534" s="25"/>
    </row>
    <row r="535" spans="1:8" ht="14">
      <c r="A535" s="25" t="s">
        <v>1460</v>
      </c>
      <c r="B535" s="26" t="s">
        <v>111</v>
      </c>
      <c r="C535" s="25" t="str">
        <f t="shared" si="8"/>
        <v>heme_synthesis_and_processing</v>
      </c>
      <c r="D535" s="27" t="s">
        <v>13</v>
      </c>
      <c r="E535" s="25" t="s">
        <v>1461</v>
      </c>
      <c r="F535" s="25" t="s">
        <v>1462</v>
      </c>
      <c r="G535" s="25">
        <v>500</v>
      </c>
      <c r="H535" s="25"/>
    </row>
    <row r="536" spans="1:8" ht="14">
      <c r="A536" s="25" t="s">
        <v>1463</v>
      </c>
      <c r="B536" s="26" t="s">
        <v>111</v>
      </c>
      <c r="C536" s="25" t="str">
        <f t="shared" si="8"/>
        <v>immune_response</v>
      </c>
      <c r="D536" s="27" t="s">
        <v>13</v>
      </c>
      <c r="E536" s="25" t="s">
        <v>1464</v>
      </c>
      <c r="F536" s="25" t="s">
        <v>1465</v>
      </c>
      <c r="G536" s="25">
        <v>500</v>
      </c>
      <c r="H536" s="25"/>
    </row>
    <row r="537" spans="1:8" ht="14">
      <c r="A537" s="25" t="s">
        <v>1466</v>
      </c>
      <c r="B537" s="26" t="s">
        <v>111</v>
      </c>
      <c r="C537" s="25" t="str">
        <f t="shared" si="8"/>
        <v>import_motor</v>
      </c>
      <c r="D537" s="27" t="s">
        <v>13</v>
      </c>
      <c r="E537" s="25" t="s">
        <v>1467</v>
      </c>
      <c r="F537" s="25" t="s">
        <v>1468</v>
      </c>
      <c r="G537" s="25">
        <v>500</v>
      </c>
      <c r="H537" s="25"/>
    </row>
    <row r="538" spans="1:8" ht="14">
      <c r="A538" s="25" t="s">
        <v>1469</v>
      </c>
      <c r="B538" s="26" t="s">
        <v>111</v>
      </c>
      <c r="C538" s="25" t="str">
        <f t="shared" si="8"/>
        <v>intramitochondrial_membrane_interactions</v>
      </c>
      <c r="D538" s="27" t="s">
        <v>13</v>
      </c>
      <c r="E538" s="25" t="s">
        <v>1470</v>
      </c>
      <c r="F538" s="25" t="s">
        <v>1471</v>
      </c>
      <c r="G538" s="25">
        <v>500</v>
      </c>
      <c r="H538" s="25"/>
    </row>
    <row r="539" spans="1:8" ht="14">
      <c r="A539" s="25" t="s">
        <v>1472</v>
      </c>
      <c r="B539" s="26" t="s">
        <v>111</v>
      </c>
      <c r="C539" s="25" t="str">
        <f t="shared" si="8"/>
        <v>iron_homeostasis</v>
      </c>
      <c r="D539" s="27" t="s">
        <v>13</v>
      </c>
      <c r="E539" s="25" t="s">
        <v>1473</v>
      </c>
      <c r="F539" s="25" t="s">
        <v>1474</v>
      </c>
      <c r="G539" s="25">
        <v>500</v>
      </c>
      <c r="H539" s="25"/>
    </row>
    <row r="540" spans="1:8" ht="14">
      <c r="A540" s="25" t="s">
        <v>1475</v>
      </c>
      <c r="B540" s="26" t="s">
        <v>111</v>
      </c>
      <c r="C540" s="25" t="str">
        <f t="shared" si="8"/>
        <v>itaconate_metabolism</v>
      </c>
      <c r="D540" s="27" t="s">
        <v>13</v>
      </c>
      <c r="E540" s="25" t="s">
        <v>1476</v>
      </c>
      <c r="F540" s="25" t="s">
        <v>1477</v>
      </c>
      <c r="G540" s="25">
        <v>500</v>
      </c>
      <c r="H540" s="25"/>
    </row>
    <row r="541" spans="1:8" ht="14">
      <c r="A541" s="25" t="s">
        <v>1478</v>
      </c>
      <c r="B541" s="26" t="s">
        <v>111</v>
      </c>
      <c r="C541" s="25" t="str">
        <f t="shared" si="8"/>
        <v>ketone_metabolism</v>
      </c>
      <c r="D541" s="27" t="s">
        <v>13</v>
      </c>
      <c r="E541" s="25" t="s">
        <v>1479</v>
      </c>
      <c r="F541" s="25" t="s">
        <v>1480</v>
      </c>
      <c r="G541" s="25">
        <v>500</v>
      </c>
      <c r="H541" s="25"/>
    </row>
    <row r="542" spans="1:8" ht="14">
      <c r="A542" s="25" t="s">
        <v>1481</v>
      </c>
      <c r="B542" s="26" t="s">
        <v>111</v>
      </c>
      <c r="C542" s="25" t="str">
        <f t="shared" si="8"/>
        <v>kynurenine_metabolism</v>
      </c>
      <c r="D542" s="27" t="s">
        <v>13</v>
      </c>
      <c r="E542" s="25" t="s">
        <v>1482</v>
      </c>
      <c r="F542" s="25" t="s">
        <v>1483</v>
      </c>
      <c r="G542" s="25">
        <v>500</v>
      </c>
      <c r="H542" s="25"/>
    </row>
    <row r="543" spans="1:8" ht="14">
      <c r="A543" s="25" t="s">
        <v>1484</v>
      </c>
      <c r="B543" s="26" t="s">
        <v>111</v>
      </c>
      <c r="C543" s="25" t="str">
        <f t="shared" si="8"/>
        <v>lipid_metabolism</v>
      </c>
      <c r="D543" s="27" t="s">
        <v>13</v>
      </c>
      <c r="E543" s="25" t="s">
        <v>1485</v>
      </c>
      <c r="F543" s="25" t="s">
        <v>1486</v>
      </c>
      <c r="G543" s="25">
        <v>500</v>
      </c>
      <c r="H543" s="25"/>
    </row>
    <row r="544" spans="1:8" ht="14">
      <c r="A544" s="25" t="s">
        <v>1487</v>
      </c>
      <c r="B544" s="26" t="s">
        <v>111</v>
      </c>
      <c r="C544" s="25" t="str">
        <f t="shared" si="8"/>
        <v>lipoate_insertion</v>
      </c>
      <c r="D544" s="27" t="s">
        <v>13</v>
      </c>
      <c r="E544" s="25" t="s">
        <v>1488</v>
      </c>
      <c r="F544" s="25" t="s">
        <v>1489</v>
      </c>
      <c r="G544" s="25">
        <v>500</v>
      </c>
      <c r="H544" s="25"/>
    </row>
    <row r="545" spans="1:8" ht="14">
      <c r="A545" s="25" t="s">
        <v>1490</v>
      </c>
      <c r="B545" s="26" t="s">
        <v>111</v>
      </c>
      <c r="C545" s="25" t="str">
        <f t="shared" si="8"/>
        <v>lysine_metabolism</v>
      </c>
      <c r="D545" s="27" t="s">
        <v>13</v>
      </c>
      <c r="E545" s="25" t="s">
        <v>1491</v>
      </c>
      <c r="F545" s="25" t="s">
        <v>1492</v>
      </c>
      <c r="G545" s="25">
        <v>500</v>
      </c>
      <c r="H545" s="25"/>
    </row>
    <row r="546" spans="1:8" ht="14">
      <c r="A546" s="25" t="s">
        <v>1493</v>
      </c>
      <c r="B546" s="26" t="s">
        <v>111</v>
      </c>
      <c r="C546" s="25" t="str">
        <f t="shared" si="8"/>
        <v>malate_aspartate_shuttle</v>
      </c>
      <c r="D546" s="27" t="s">
        <v>13</v>
      </c>
      <c r="E546" s="25" t="s">
        <v>1494</v>
      </c>
      <c r="F546" s="25" t="s">
        <v>1495</v>
      </c>
      <c r="G546" s="25">
        <v>500</v>
      </c>
      <c r="H546" s="25"/>
    </row>
    <row r="547" spans="1:8" ht="14">
      <c r="A547" s="25" t="s">
        <v>1496</v>
      </c>
      <c r="B547" s="26" t="s">
        <v>111</v>
      </c>
      <c r="C547" s="25" t="str">
        <f t="shared" si="8"/>
        <v>metabolism</v>
      </c>
      <c r="D547" s="27" t="s">
        <v>13</v>
      </c>
      <c r="E547" s="25" t="s">
        <v>1497</v>
      </c>
      <c r="F547" s="25" t="s">
        <v>1497</v>
      </c>
      <c r="G547" s="25">
        <v>500</v>
      </c>
      <c r="H547" s="25"/>
    </row>
    <row r="548" spans="1:8" ht="14">
      <c r="A548" s="25" t="s">
        <v>1498</v>
      </c>
      <c r="B548" s="26" t="s">
        <v>111</v>
      </c>
      <c r="C548" s="25" t="str">
        <f t="shared" si="8"/>
        <v>metals_and_cofactors</v>
      </c>
      <c r="D548" s="27" t="s">
        <v>13</v>
      </c>
      <c r="E548" s="25" t="s">
        <v>1499</v>
      </c>
      <c r="F548" s="25" t="s">
        <v>1500</v>
      </c>
      <c r="G548" s="25">
        <v>500</v>
      </c>
      <c r="H548" s="25"/>
    </row>
    <row r="549" spans="1:8" ht="14">
      <c r="A549" s="25" t="s">
        <v>1501</v>
      </c>
      <c r="B549" s="26" t="s">
        <v>111</v>
      </c>
      <c r="C549" s="25" t="str">
        <f t="shared" si="8"/>
        <v>mia40</v>
      </c>
      <c r="D549" s="27" t="s">
        <v>13</v>
      </c>
      <c r="E549" s="25" t="s">
        <v>1502</v>
      </c>
      <c r="F549" s="25" t="s">
        <v>1503</v>
      </c>
      <c r="G549" s="25">
        <v>500</v>
      </c>
      <c r="H549" s="25"/>
    </row>
    <row r="550" spans="1:8" ht="14">
      <c r="A550" s="25" t="s">
        <v>1504</v>
      </c>
      <c r="B550" s="26" t="s">
        <v>111</v>
      </c>
      <c r="C550" s="25" t="str">
        <f t="shared" si="8"/>
        <v>micos_complex</v>
      </c>
      <c r="D550" s="27" t="s">
        <v>13</v>
      </c>
      <c r="E550" s="25" t="s">
        <v>1505</v>
      </c>
      <c r="F550" s="25" t="s">
        <v>1506</v>
      </c>
      <c r="G550" s="25">
        <v>500</v>
      </c>
      <c r="H550" s="25"/>
    </row>
    <row r="551" spans="1:8" ht="14">
      <c r="A551" s="25" t="s">
        <v>1507</v>
      </c>
      <c r="B551" s="26" t="s">
        <v>111</v>
      </c>
      <c r="C551" s="25" t="str">
        <f t="shared" si="8"/>
        <v>mitochondrial_dynamics_and_surveillance</v>
      </c>
      <c r="D551" s="27" t="s">
        <v>13</v>
      </c>
      <c r="E551" s="25" t="s">
        <v>1508</v>
      </c>
      <c r="F551" s="25" t="s">
        <v>1508</v>
      </c>
      <c r="G551" s="25">
        <v>500</v>
      </c>
      <c r="H551" s="25"/>
    </row>
    <row r="552" spans="1:8" ht="14">
      <c r="A552" s="25" t="s">
        <v>1509</v>
      </c>
      <c r="B552" s="26" t="s">
        <v>111</v>
      </c>
      <c r="C552" s="25" t="str">
        <f t="shared" si="8"/>
        <v>mitochondrial_permeability_transition_pore</v>
      </c>
      <c r="D552" s="27" t="s">
        <v>13</v>
      </c>
      <c r="E552" s="25" t="s">
        <v>1510</v>
      </c>
      <c r="F552" s="25" t="s">
        <v>1511</v>
      </c>
      <c r="G552" s="25">
        <v>500</v>
      </c>
      <c r="H552" s="25"/>
    </row>
    <row r="553" spans="1:8" ht="14">
      <c r="A553" s="25" t="s">
        <v>1512</v>
      </c>
      <c r="B553" s="26" t="s">
        <v>111</v>
      </c>
      <c r="C553" s="25" t="str">
        <f t="shared" si="8"/>
        <v>mitochondrial_ribosome</v>
      </c>
      <c r="D553" s="27" t="s">
        <v>13</v>
      </c>
      <c r="E553" s="25" t="s">
        <v>1513</v>
      </c>
      <c r="F553" s="25" t="s">
        <v>1514</v>
      </c>
      <c r="G553" s="25">
        <v>500</v>
      </c>
      <c r="H553" s="25"/>
    </row>
    <row r="554" spans="1:8" ht="14">
      <c r="A554" s="25" t="s">
        <v>1515</v>
      </c>
      <c r="B554" s="26" t="s">
        <v>111</v>
      </c>
      <c r="C554" s="25" t="str">
        <f t="shared" si="8"/>
        <v>mitochondrial_ribosome_assembly</v>
      </c>
      <c r="D554" s="27" t="s">
        <v>13</v>
      </c>
      <c r="E554" s="25" t="s">
        <v>1516</v>
      </c>
      <c r="F554" s="25" t="s">
        <v>1517</v>
      </c>
      <c r="G554" s="25">
        <v>500</v>
      </c>
      <c r="H554" s="25"/>
    </row>
    <row r="555" spans="1:8" ht="14">
      <c r="A555" s="25" t="s">
        <v>1518</v>
      </c>
      <c r="B555" s="26" t="s">
        <v>111</v>
      </c>
      <c r="C555" s="25" t="str">
        <f t="shared" si="8"/>
        <v>mitophagy</v>
      </c>
      <c r="D555" s="27" t="s">
        <v>13</v>
      </c>
      <c r="E555" s="25" t="s">
        <v>1519</v>
      </c>
      <c r="F555" s="25" t="s">
        <v>1520</v>
      </c>
      <c r="G555" s="25">
        <v>500</v>
      </c>
      <c r="H555" s="25"/>
    </row>
    <row r="556" spans="1:8" ht="14">
      <c r="A556" s="25" t="s">
        <v>1521</v>
      </c>
      <c r="B556" s="26" t="s">
        <v>111</v>
      </c>
      <c r="C556" s="25" t="str">
        <f t="shared" si="8"/>
        <v>molybdenum_cofactor_synthesis_and_proteins</v>
      </c>
      <c r="D556" s="27" t="s">
        <v>13</v>
      </c>
      <c r="E556" s="25" t="s">
        <v>1522</v>
      </c>
      <c r="F556" s="25" t="s">
        <v>1523</v>
      </c>
      <c r="G556" s="25">
        <v>500</v>
      </c>
      <c r="H556" s="25"/>
    </row>
    <row r="557" spans="1:8" ht="14">
      <c r="A557" s="25" t="s">
        <v>1524</v>
      </c>
      <c r="B557" s="26" t="s">
        <v>111</v>
      </c>
      <c r="C557" s="25" t="str">
        <f t="shared" si="8"/>
        <v>mt_mrna_modifications</v>
      </c>
      <c r="D557" s="27" t="s">
        <v>13</v>
      </c>
      <c r="E557" s="25" t="s">
        <v>1525</v>
      </c>
      <c r="F557" s="25" t="s">
        <v>1526</v>
      </c>
      <c r="G557" s="25">
        <v>500</v>
      </c>
      <c r="H557" s="25"/>
    </row>
    <row r="558" spans="1:8" ht="14">
      <c r="A558" s="25" t="s">
        <v>1527</v>
      </c>
      <c r="B558" s="26" t="s">
        <v>111</v>
      </c>
      <c r="C558" s="25" t="str">
        <f t="shared" si="8"/>
        <v>mt_rrna_modifications</v>
      </c>
      <c r="D558" s="27" t="s">
        <v>13</v>
      </c>
      <c r="E558" s="25" t="s">
        <v>1528</v>
      </c>
      <c r="F558" s="25" t="s">
        <v>1529</v>
      </c>
      <c r="G558" s="25">
        <v>500</v>
      </c>
      <c r="H558" s="25"/>
    </row>
    <row r="559" spans="1:8" ht="14">
      <c r="A559" s="25" t="s">
        <v>1530</v>
      </c>
      <c r="B559" s="26" t="s">
        <v>111</v>
      </c>
      <c r="C559" s="25" t="str">
        <f t="shared" si="8"/>
        <v>mt_trna_modifications</v>
      </c>
      <c r="D559" s="27" t="s">
        <v>13</v>
      </c>
      <c r="E559" s="25" t="s">
        <v>1531</v>
      </c>
      <c r="F559" s="25" t="s">
        <v>1532</v>
      </c>
      <c r="G559" s="25">
        <v>500</v>
      </c>
      <c r="H559" s="25"/>
    </row>
    <row r="560" spans="1:8" ht="14">
      <c r="A560" s="25" t="s">
        <v>1533</v>
      </c>
      <c r="B560" s="26" t="s">
        <v>111</v>
      </c>
      <c r="C560" s="25" t="str">
        <f t="shared" si="8"/>
        <v>mt_trna_synthetases</v>
      </c>
      <c r="D560" s="27" t="s">
        <v>13</v>
      </c>
      <c r="E560" s="25" t="s">
        <v>1534</v>
      </c>
      <c r="F560" s="25" t="s">
        <v>1535</v>
      </c>
      <c r="G560" s="25">
        <v>500</v>
      </c>
      <c r="H560" s="25"/>
    </row>
    <row r="561" spans="1:8" ht="14">
      <c r="A561" s="25" t="s">
        <v>1536</v>
      </c>
      <c r="B561" s="26" t="s">
        <v>111</v>
      </c>
      <c r="C561" s="25" t="str">
        <f t="shared" si="8"/>
        <v>mtdna_maintenance</v>
      </c>
      <c r="D561" s="27" t="s">
        <v>13</v>
      </c>
      <c r="E561" s="25" t="s">
        <v>1537</v>
      </c>
      <c r="F561" s="25" t="s">
        <v>1538</v>
      </c>
      <c r="G561" s="25">
        <v>500</v>
      </c>
      <c r="H561" s="25"/>
    </row>
    <row r="562" spans="1:8" ht="14">
      <c r="A562" s="25" t="s">
        <v>1539</v>
      </c>
      <c r="B562" s="26" t="s">
        <v>111</v>
      </c>
      <c r="C562" s="25" t="str">
        <f t="shared" ref="C562:C625" si="9">A562</f>
        <v>mtdna_modifications</v>
      </c>
      <c r="D562" s="27" t="s">
        <v>13</v>
      </c>
      <c r="E562" s="25" t="s">
        <v>1540</v>
      </c>
      <c r="F562" s="25" t="s">
        <v>1541</v>
      </c>
      <c r="G562" s="25">
        <v>500</v>
      </c>
      <c r="H562" s="25"/>
    </row>
    <row r="563" spans="1:8" ht="14">
      <c r="A563" s="25" t="s">
        <v>1542</v>
      </c>
      <c r="B563" s="26" t="s">
        <v>111</v>
      </c>
      <c r="C563" s="25" t="str">
        <f t="shared" si="9"/>
        <v>mtdna_nucleoid</v>
      </c>
      <c r="D563" s="27" t="s">
        <v>13</v>
      </c>
      <c r="E563" s="25" t="s">
        <v>1543</v>
      </c>
      <c r="F563" s="25" t="s">
        <v>1544</v>
      </c>
      <c r="G563" s="25">
        <v>500</v>
      </c>
      <c r="H563" s="25"/>
    </row>
    <row r="564" spans="1:8" ht="14">
      <c r="A564" s="25" t="s">
        <v>1545</v>
      </c>
      <c r="B564" s="26" t="s">
        <v>111</v>
      </c>
      <c r="C564" s="25" t="str">
        <f t="shared" si="9"/>
        <v>mtdna_repair</v>
      </c>
      <c r="D564" s="27" t="s">
        <v>13</v>
      </c>
      <c r="E564" s="25" t="s">
        <v>1546</v>
      </c>
      <c r="F564" s="25" t="s">
        <v>1547</v>
      </c>
      <c r="G564" s="25">
        <v>500</v>
      </c>
      <c r="H564" s="25"/>
    </row>
    <row r="565" spans="1:8" ht="14">
      <c r="A565" s="25" t="s">
        <v>1548</v>
      </c>
      <c r="B565" s="26" t="s">
        <v>111</v>
      </c>
      <c r="C565" s="25" t="str">
        <f t="shared" si="9"/>
        <v>mtdna_replication</v>
      </c>
      <c r="D565" s="27" t="s">
        <v>13</v>
      </c>
      <c r="E565" s="25" t="s">
        <v>1549</v>
      </c>
      <c r="F565" s="25" t="s">
        <v>1550</v>
      </c>
      <c r="G565" s="25">
        <v>500</v>
      </c>
      <c r="H565" s="25"/>
    </row>
    <row r="566" spans="1:8" ht="14">
      <c r="A566" s="25" t="s">
        <v>1551</v>
      </c>
      <c r="B566" s="26" t="s">
        <v>111</v>
      </c>
      <c r="C566" s="25" t="str">
        <f t="shared" si="9"/>
        <v>mtdna_stability_and_decay</v>
      </c>
      <c r="D566" s="27" t="s">
        <v>13</v>
      </c>
      <c r="E566" s="25" t="s">
        <v>1552</v>
      </c>
      <c r="F566" s="25" t="s">
        <v>1553</v>
      </c>
      <c r="G566" s="25">
        <v>500</v>
      </c>
      <c r="H566" s="25"/>
    </row>
    <row r="567" spans="1:8" ht="14">
      <c r="A567" s="25" t="s">
        <v>1554</v>
      </c>
      <c r="B567" s="26" t="s">
        <v>111</v>
      </c>
      <c r="C567" s="25" t="str">
        <f t="shared" si="9"/>
        <v>mtrna_granules</v>
      </c>
      <c r="D567" s="27" t="s">
        <v>13</v>
      </c>
      <c r="E567" s="25" t="s">
        <v>1555</v>
      </c>
      <c r="F567" s="25" t="s">
        <v>1556</v>
      </c>
      <c r="G567" s="25">
        <v>500</v>
      </c>
      <c r="H567" s="25"/>
    </row>
    <row r="568" spans="1:8" ht="14">
      <c r="A568" s="25" t="s">
        <v>1557</v>
      </c>
      <c r="B568" s="26" t="s">
        <v>111</v>
      </c>
      <c r="C568" s="25" t="str">
        <f t="shared" si="9"/>
        <v>mtrna_metabolism</v>
      </c>
      <c r="D568" s="27" t="s">
        <v>13</v>
      </c>
      <c r="E568" s="25" t="s">
        <v>1558</v>
      </c>
      <c r="F568" s="25" t="s">
        <v>1559</v>
      </c>
      <c r="G568" s="25">
        <v>500</v>
      </c>
      <c r="H568" s="25"/>
    </row>
    <row r="569" spans="1:8" ht="14">
      <c r="A569" s="25" t="s">
        <v>1560</v>
      </c>
      <c r="B569" s="26" t="s">
        <v>111</v>
      </c>
      <c r="C569" s="25" t="str">
        <f t="shared" si="9"/>
        <v>mtrna_stability_and_decay</v>
      </c>
      <c r="D569" s="27" t="s">
        <v>13</v>
      </c>
      <c r="E569" s="25" t="s">
        <v>1561</v>
      </c>
      <c r="F569" s="25" t="s">
        <v>1562</v>
      </c>
      <c r="G569" s="25">
        <v>500</v>
      </c>
      <c r="H569" s="25"/>
    </row>
    <row r="570" spans="1:8" ht="14">
      <c r="A570" s="25" t="s">
        <v>1563</v>
      </c>
      <c r="B570" s="26" t="s">
        <v>111</v>
      </c>
      <c r="C570" s="25" t="str">
        <f t="shared" si="9"/>
        <v>nad_biosynthesis_and_metabolism</v>
      </c>
      <c r="D570" s="27" t="s">
        <v>13</v>
      </c>
      <c r="E570" s="25" t="s">
        <v>1564</v>
      </c>
      <c r="F570" s="25" t="s">
        <v>1565</v>
      </c>
      <c r="G570" s="25">
        <v>500</v>
      </c>
      <c r="H570" s="25"/>
    </row>
    <row r="571" spans="1:8" ht="14">
      <c r="A571" s="25" t="s">
        <v>1566</v>
      </c>
      <c r="B571" s="26" t="s">
        <v>111</v>
      </c>
      <c r="C571" s="25" t="str">
        <f t="shared" si="9"/>
        <v>nucleotide_import</v>
      </c>
      <c r="D571" s="27" t="s">
        <v>13</v>
      </c>
      <c r="E571" s="25" t="s">
        <v>1567</v>
      </c>
      <c r="F571" s="25" t="s">
        <v>1568</v>
      </c>
      <c r="G571" s="25">
        <v>500</v>
      </c>
      <c r="H571" s="25"/>
    </row>
    <row r="572" spans="1:8" ht="14">
      <c r="A572" s="25" t="s">
        <v>1569</v>
      </c>
      <c r="B572" s="26" t="s">
        <v>111</v>
      </c>
      <c r="C572" s="25" t="str">
        <f t="shared" si="9"/>
        <v>nucleotide_metabolism</v>
      </c>
      <c r="D572" s="27" t="s">
        <v>13</v>
      </c>
      <c r="E572" s="25" t="s">
        <v>1570</v>
      </c>
      <c r="F572" s="25" t="s">
        <v>1571</v>
      </c>
      <c r="G572" s="25">
        <v>500</v>
      </c>
      <c r="H572" s="25"/>
    </row>
    <row r="573" spans="1:8" ht="14">
      <c r="A573" s="25" t="s">
        <v>1572</v>
      </c>
      <c r="B573" s="26" t="s">
        <v>111</v>
      </c>
      <c r="C573" s="25" t="str">
        <f t="shared" si="9"/>
        <v>nucleotide_synthesis_and_processing</v>
      </c>
      <c r="D573" s="27" t="s">
        <v>13</v>
      </c>
      <c r="E573" s="25" t="s">
        <v>1573</v>
      </c>
      <c r="F573" s="25" t="s">
        <v>1574</v>
      </c>
      <c r="G573" s="25">
        <v>500</v>
      </c>
      <c r="H573" s="25"/>
    </row>
    <row r="574" spans="1:8" ht="14">
      <c r="A574" s="25" t="s">
        <v>1575</v>
      </c>
      <c r="B574" s="26" t="s">
        <v>111</v>
      </c>
      <c r="C574" s="25" t="str">
        <f t="shared" si="9"/>
        <v>organelle_contact_sites</v>
      </c>
      <c r="D574" s="27" t="s">
        <v>13</v>
      </c>
      <c r="E574" s="25" t="s">
        <v>1576</v>
      </c>
      <c r="F574" s="25" t="s">
        <v>1577</v>
      </c>
      <c r="G574" s="25">
        <v>500</v>
      </c>
      <c r="H574" s="25"/>
    </row>
    <row r="575" spans="1:8" ht="14">
      <c r="A575" s="25" t="s">
        <v>1578</v>
      </c>
      <c r="B575" s="26" t="s">
        <v>111</v>
      </c>
      <c r="C575" s="25" t="str">
        <f t="shared" si="9"/>
        <v>oxa</v>
      </c>
      <c r="D575" s="27" t="s">
        <v>13</v>
      </c>
      <c r="E575" s="25" t="s">
        <v>1579</v>
      </c>
      <c r="F575" s="25" t="s">
        <v>1580</v>
      </c>
      <c r="G575" s="25">
        <v>500</v>
      </c>
      <c r="H575" s="25"/>
    </row>
    <row r="576" spans="1:8" ht="14">
      <c r="A576" s="25" t="s">
        <v>1581</v>
      </c>
      <c r="B576" s="26" t="s">
        <v>111</v>
      </c>
      <c r="C576" s="25" t="str">
        <f t="shared" si="9"/>
        <v>oxphos</v>
      </c>
      <c r="D576" s="27" t="s">
        <v>13</v>
      </c>
      <c r="E576" s="25" t="s">
        <v>1582</v>
      </c>
      <c r="F576" s="25" t="s">
        <v>1582</v>
      </c>
      <c r="G576" s="25">
        <v>500</v>
      </c>
      <c r="H576" s="25"/>
    </row>
    <row r="577" spans="1:8" ht="14">
      <c r="A577" s="25" t="s">
        <v>1583</v>
      </c>
      <c r="B577" s="26" t="s">
        <v>111</v>
      </c>
      <c r="C577" s="25" t="str">
        <f t="shared" si="9"/>
        <v>oxphos_assembly_factors</v>
      </c>
      <c r="D577" s="27" t="s">
        <v>13</v>
      </c>
      <c r="E577" s="25" t="s">
        <v>1584</v>
      </c>
      <c r="F577" s="25" t="s">
        <v>1585</v>
      </c>
      <c r="G577" s="25">
        <v>500</v>
      </c>
      <c r="H577" s="25"/>
    </row>
    <row r="578" spans="1:8" ht="14">
      <c r="A578" s="25" t="s">
        <v>1586</v>
      </c>
      <c r="B578" s="26" t="s">
        <v>111</v>
      </c>
      <c r="C578" s="25" t="str">
        <f t="shared" si="9"/>
        <v>oxphos_subunits</v>
      </c>
      <c r="D578" s="27" t="s">
        <v>13</v>
      </c>
      <c r="E578" s="25" t="s">
        <v>1587</v>
      </c>
      <c r="F578" s="25" t="s">
        <v>1588</v>
      </c>
      <c r="G578" s="25">
        <v>500</v>
      </c>
      <c r="H578" s="25"/>
    </row>
    <row r="579" spans="1:8" ht="14">
      <c r="A579" s="25" t="s">
        <v>1589</v>
      </c>
      <c r="B579" s="26" t="s">
        <v>111</v>
      </c>
      <c r="C579" s="25" t="str">
        <f t="shared" si="9"/>
        <v>phospholipid_metabolism</v>
      </c>
      <c r="D579" s="27" t="s">
        <v>13</v>
      </c>
      <c r="E579" s="25" t="s">
        <v>1590</v>
      </c>
      <c r="F579" s="25" t="s">
        <v>1591</v>
      </c>
      <c r="G579" s="25">
        <v>500</v>
      </c>
      <c r="H579" s="25"/>
    </row>
    <row r="580" spans="1:8" ht="14">
      <c r="A580" s="25" t="s">
        <v>1592</v>
      </c>
      <c r="B580" s="26" t="s">
        <v>111</v>
      </c>
      <c r="C580" s="25" t="str">
        <f t="shared" si="9"/>
        <v>polycistronic_mtrna_processing</v>
      </c>
      <c r="D580" s="27" t="s">
        <v>13</v>
      </c>
      <c r="E580" s="25" t="s">
        <v>1593</v>
      </c>
      <c r="F580" s="25" t="s">
        <v>1594</v>
      </c>
      <c r="G580" s="25">
        <v>500</v>
      </c>
      <c r="H580" s="25"/>
    </row>
    <row r="581" spans="1:8" ht="14">
      <c r="A581" s="25" t="s">
        <v>1595</v>
      </c>
      <c r="B581" s="26" t="s">
        <v>111</v>
      </c>
      <c r="C581" s="25" t="str">
        <f t="shared" si="9"/>
        <v>preprotein_cleavage</v>
      </c>
      <c r="D581" s="27" t="s">
        <v>13</v>
      </c>
      <c r="E581" s="25" t="s">
        <v>1596</v>
      </c>
      <c r="F581" s="25" t="s">
        <v>1597</v>
      </c>
      <c r="G581" s="25">
        <v>500</v>
      </c>
      <c r="H581" s="25"/>
    </row>
    <row r="582" spans="1:8" ht="14">
      <c r="A582" s="25" t="s">
        <v>1598</v>
      </c>
      <c r="B582" s="26" t="s">
        <v>111</v>
      </c>
      <c r="C582" s="25" t="str">
        <f t="shared" si="9"/>
        <v>proline_metabolism</v>
      </c>
      <c r="D582" s="27" t="s">
        <v>13</v>
      </c>
      <c r="E582" s="25" t="s">
        <v>1599</v>
      </c>
      <c r="F582" s="25" t="s">
        <v>1600</v>
      </c>
      <c r="G582" s="25">
        <v>500</v>
      </c>
      <c r="H582" s="25"/>
    </row>
    <row r="583" spans="1:8" ht="14">
      <c r="A583" s="25" t="s">
        <v>1601</v>
      </c>
      <c r="B583" s="26" t="s">
        <v>111</v>
      </c>
      <c r="C583" s="25" t="str">
        <f t="shared" si="9"/>
        <v>propanoate_metabolism</v>
      </c>
      <c r="D583" s="27" t="s">
        <v>13</v>
      </c>
      <c r="E583" s="25" t="s">
        <v>1602</v>
      </c>
      <c r="F583" s="25" t="s">
        <v>1603</v>
      </c>
      <c r="G583" s="25">
        <v>500</v>
      </c>
      <c r="H583" s="25"/>
    </row>
    <row r="584" spans="1:8" ht="14">
      <c r="A584" s="25" t="s">
        <v>1604</v>
      </c>
      <c r="B584" s="26" t="s">
        <v>111</v>
      </c>
      <c r="C584" s="25" t="str">
        <f t="shared" si="9"/>
        <v>proteases</v>
      </c>
      <c r="D584" s="27" t="s">
        <v>13</v>
      </c>
      <c r="E584" s="25" t="s">
        <v>1605</v>
      </c>
      <c r="F584" s="25" t="s">
        <v>1606</v>
      </c>
      <c r="G584" s="25">
        <v>500</v>
      </c>
      <c r="H584" s="25"/>
    </row>
    <row r="585" spans="1:8" ht="14">
      <c r="A585" s="25" t="s">
        <v>1607</v>
      </c>
      <c r="B585" s="26" t="s">
        <v>111</v>
      </c>
      <c r="C585" s="25" t="str">
        <f t="shared" si="9"/>
        <v>protein_homeostasis</v>
      </c>
      <c r="D585" s="27" t="s">
        <v>13</v>
      </c>
      <c r="E585" s="25" t="s">
        <v>1608</v>
      </c>
      <c r="F585" s="25" t="s">
        <v>1609</v>
      </c>
      <c r="G585" s="25">
        <v>500</v>
      </c>
      <c r="H585" s="25"/>
    </row>
    <row r="586" spans="1:8" ht="14">
      <c r="A586" s="25" t="s">
        <v>1610</v>
      </c>
      <c r="B586" s="26" t="s">
        <v>111</v>
      </c>
      <c r="C586" s="25" t="str">
        <f t="shared" si="9"/>
        <v>protein_import_and_sorting</v>
      </c>
      <c r="D586" s="27" t="s">
        <v>13</v>
      </c>
      <c r="E586" s="25" t="s">
        <v>1611</v>
      </c>
      <c r="F586" s="25" t="s">
        <v>1612</v>
      </c>
      <c r="G586" s="25">
        <v>500</v>
      </c>
      <c r="H586" s="25"/>
    </row>
    <row r="587" spans="1:8" ht="14">
      <c r="A587" s="25" t="s">
        <v>1613</v>
      </c>
      <c r="B587" s="26" t="s">
        <v>111</v>
      </c>
      <c r="C587" s="25" t="str">
        <f t="shared" si="9"/>
        <v>pyruvate_metabolism</v>
      </c>
      <c r="D587" s="27" t="s">
        <v>13</v>
      </c>
      <c r="E587" s="25" t="s">
        <v>1614</v>
      </c>
      <c r="F587" s="25" t="s">
        <v>1615</v>
      </c>
      <c r="G587" s="25">
        <v>500</v>
      </c>
      <c r="H587" s="25"/>
    </row>
    <row r="588" spans="1:8" ht="14">
      <c r="A588" s="25" t="s">
        <v>1616</v>
      </c>
      <c r="B588" s="26" t="s">
        <v>111</v>
      </c>
      <c r="C588" s="25" t="str">
        <f t="shared" si="9"/>
        <v>respirasome_assembly</v>
      </c>
      <c r="D588" s="27" t="s">
        <v>13</v>
      </c>
      <c r="E588" s="25" t="s">
        <v>1617</v>
      </c>
      <c r="F588" s="25" t="s">
        <v>1618</v>
      </c>
      <c r="G588" s="25">
        <v>500</v>
      </c>
      <c r="H588" s="25"/>
    </row>
    <row r="589" spans="1:8" ht="14">
      <c r="A589" s="25" t="s">
        <v>1619</v>
      </c>
      <c r="B589" s="26" t="s">
        <v>111</v>
      </c>
      <c r="C589" s="25" t="str">
        <f t="shared" si="9"/>
        <v>ros_and_glutathione_metabolism</v>
      </c>
      <c r="D589" s="27" t="s">
        <v>13</v>
      </c>
      <c r="E589" s="25" t="s">
        <v>1620</v>
      </c>
      <c r="F589" s="25" t="s">
        <v>1621</v>
      </c>
      <c r="G589" s="25">
        <v>500</v>
      </c>
      <c r="H589" s="25"/>
    </row>
    <row r="590" spans="1:8" ht="14">
      <c r="A590" s="25" t="s">
        <v>1622</v>
      </c>
      <c r="B590" s="26" t="s">
        <v>111</v>
      </c>
      <c r="C590" s="25" t="str">
        <f t="shared" si="9"/>
        <v>sam</v>
      </c>
      <c r="D590" s="27" t="s">
        <v>13</v>
      </c>
      <c r="E590" s="25" t="s">
        <v>1623</v>
      </c>
      <c r="F590" s="25" t="s">
        <v>1624</v>
      </c>
      <c r="G590" s="25">
        <v>500</v>
      </c>
      <c r="H590" s="25"/>
    </row>
    <row r="591" spans="1:8" ht="14">
      <c r="A591" s="25" t="s">
        <v>1625</v>
      </c>
      <c r="B591" s="26" t="s">
        <v>111</v>
      </c>
      <c r="C591" s="25" t="str">
        <f t="shared" si="9"/>
        <v>selenoproteins</v>
      </c>
      <c r="D591" s="27" t="s">
        <v>13</v>
      </c>
      <c r="E591" s="25" t="s">
        <v>1626</v>
      </c>
      <c r="F591" s="25" t="s">
        <v>1627</v>
      </c>
      <c r="G591" s="25">
        <v>500</v>
      </c>
      <c r="H591" s="25"/>
    </row>
    <row r="592" spans="1:8" ht="14">
      <c r="A592" s="25" t="s">
        <v>1628</v>
      </c>
      <c r="B592" s="26" t="s">
        <v>111</v>
      </c>
      <c r="C592" s="25" t="str">
        <f t="shared" si="9"/>
        <v>serine_metabolism</v>
      </c>
      <c r="D592" s="27" t="s">
        <v>13</v>
      </c>
      <c r="E592" s="25" t="s">
        <v>1629</v>
      </c>
      <c r="F592" s="25" t="s">
        <v>1630</v>
      </c>
      <c r="G592" s="25">
        <v>500</v>
      </c>
      <c r="H592" s="25"/>
    </row>
    <row r="593" spans="1:8" ht="14">
      <c r="A593" s="25" t="s">
        <v>1631</v>
      </c>
      <c r="B593" s="26" t="s">
        <v>111</v>
      </c>
      <c r="C593" s="25" t="str">
        <f t="shared" si="9"/>
        <v>sideroflexins</v>
      </c>
      <c r="D593" s="27" t="s">
        <v>13</v>
      </c>
      <c r="E593" s="25" t="s">
        <v>1632</v>
      </c>
      <c r="F593" s="25" t="s">
        <v>1633</v>
      </c>
      <c r="G593" s="25">
        <v>500</v>
      </c>
      <c r="H593" s="25"/>
    </row>
    <row r="594" spans="1:8" ht="14">
      <c r="A594" s="25" t="s">
        <v>1634</v>
      </c>
      <c r="B594" s="26" t="s">
        <v>111</v>
      </c>
      <c r="C594" s="25" t="str">
        <f t="shared" si="9"/>
        <v>signaling</v>
      </c>
      <c r="D594" s="27" t="s">
        <v>13</v>
      </c>
      <c r="E594" s="25" t="s">
        <v>1635</v>
      </c>
      <c r="F594" s="25" t="s">
        <v>1635</v>
      </c>
      <c r="G594" s="25">
        <v>500</v>
      </c>
      <c r="H594" s="25"/>
    </row>
    <row r="595" spans="1:8" ht="14">
      <c r="A595" s="25" t="s">
        <v>1636</v>
      </c>
      <c r="B595" s="26" t="s">
        <v>111</v>
      </c>
      <c r="C595" s="25" t="str">
        <f t="shared" si="9"/>
        <v>slc25a_family</v>
      </c>
      <c r="D595" s="27" t="s">
        <v>13</v>
      </c>
      <c r="E595" s="25" t="s">
        <v>1637</v>
      </c>
      <c r="F595" s="25" t="s">
        <v>1638</v>
      </c>
      <c r="G595" s="25">
        <v>500</v>
      </c>
      <c r="H595" s="25"/>
    </row>
    <row r="596" spans="1:8" ht="14">
      <c r="A596" s="25" t="s">
        <v>1639</v>
      </c>
      <c r="B596" s="26" t="s">
        <v>111</v>
      </c>
      <c r="C596" s="25" t="str">
        <f t="shared" si="9"/>
        <v>small_molecule_transport</v>
      </c>
      <c r="D596" s="27" t="s">
        <v>13</v>
      </c>
      <c r="E596" s="25" t="s">
        <v>1640</v>
      </c>
      <c r="F596" s="25" t="s">
        <v>1640</v>
      </c>
      <c r="G596" s="25">
        <v>500</v>
      </c>
      <c r="H596" s="25"/>
    </row>
    <row r="597" spans="1:8" ht="14">
      <c r="A597" s="25" t="s">
        <v>1641</v>
      </c>
      <c r="B597" s="26" t="s">
        <v>111</v>
      </c>
      <c r="C597" s="25" t="str">
        <f t="shared" si="9"/>
        <v>sulfur_metabolism</v>
      </c>
      <c r="D597" s="27" t="s">
        <v>13</v>
      </c>
      <c r="E597" s="25" t="s">
        <v>1642</v>
      </c>
      <c r="F597" s="25" t="s">
        <v>1643</v>
      </c>
      <c r="G597" s="25">
        <v>500</v>
      </c>
      <c r="H597" s="25"/>
    </row>
    <row r="598" spans="1:8" ht="14">
      <c r="A598" s="25" t="s">
        <v>1644</v>
      </c>
      <c r="B598" s="26" t="s">
        <v>111</v>
      </c>
      <c r="C598" s="25" t="str">
        <f t="shared" si="9"/>
        <v>tca_associated</v>
      </c>
      <c r="D598" s="27" t="s">
        <v>13</v>
      </c>
      <c r="E598" s="25" t="s">
        <v>1645</v>
      </c>
      <c r="F598" s="25" t="s">
        <v>1646</v>
      </c>
      <c r="G598" s="25">
        <v>500</v>
      </c>
      <c r="H598" s="25"/>
    </row>
    <row r="599" spans="1:8" ht="14">
      <c r="A599" s="25" t="s">
        <v>1647</v>
      </c>
      <c r="B599" s="26" t="s">
        <v>111</v>
      </c>
      <c r="C599" s="25" t="str">
        <f t="shared" si="9"/>
        <v>tca_cycle</v>
      </c>
      <c r="D599" s="27" t="s">
        <v>13</v>
      </c>
      <c r="E599" s="25" t="s">
        <v>1648</v>
      </c>
      <c r="F599" s="25" t="s">
        <v>1649</v>
      </c>
      <c r="G599" s="25">
        <v>500</v>
      </c>
      <c r="H599" s="25"/>
    </row>
    <row r="600" spans="1:8" ht="14">
      <c r="A600" s="25" t="s">
        <v>1650</v>
      </c>
      <c r="B600" s="26" t="s">
        <v>111</v>
      </c>
      <c r="C600" s="25" t="str">
        <f t="shared" si="9"/>
        <v>tetrahydrobiopterin_synthesis</v>
      </c>
      <c r="D600" s="27" t="s">
        <v>13</v>
      </c>
      <c r="E600" s="25" t="s">
        <v>1651</v>
      </c>
      <c r="F600" s="25" t="s">
        <v>1652</v>
      </c>
      <c r="G600" s="25">
        <v>500</v>
      </c>
      <c r="H600" s="25"/>
    </row>
    <row r="601" spans="1:8" ht="14">
      <c r="A601" s="25" t="s">
        <v>1653</v>
      </c>
      <c r="B601" s="26" t="s">
        <v>111</v>
      </c>
      <c r="C601" s="25" t="str">
        <f t="shared" si="9"/>
        <v>tim22_carrier_pathway</v>
      </c>
      <c r="D601" s="27" t="s">
        <v>13</v>
      </c>
      <c r="E601" s="25" t="s">
        <v>1654</v>
      </c>
      <c r="F601" s="25" t="s">
        <v>1655</v>
      </c>
      <c r="G601" s="25">
        <v>500</v>
      </c>
      <c r="H601" s="25"/>
    </row>
    <row r="602" spans="1:8" ht="14">
      <c r="A602" s="25" t="s">
        <v>1656</v>
      </c>
      <c r="B602" s="26" t="s">
        <v>111</v>
      </c>
      <c r="C602" s="25" t="str">
        <f t="shared" si="9"/>
        <v>tim23_presequence_pathway</v>
      </c>
      <c r="D602" s="27" t="s">
        <v>13</v>
      </c>
      <c r="E602" s="25" t="s">
        <v>1657</v>
      </c>
      <c r="F602" s="25" t="s">
        <v>1658</v>
      </c>
      <c r="G602" s="25">
        <v>500</v>
      </c>
      <c r="H602" s="25"/>
    </row>
    <row r="603" spans="1:8" ht="14">
      <c r="A603" s="25" t="s">
        <v>1659</v>
      </c>
      <c r="B603" s="26" t="s">
        <v>111</v>
      </c>
      <c r="C603" s="25" t="str">
        <f t="shared" si="9"/>
        <v>tom</v>
      </c>
      <c r="D603" s="27" t="s">
        <v>13</v>
      </c>
      <c r="E603" s="25" t="s">
        <v>1660</v>
      </c>
      <c r="F603" s="25" t="s">
        <v>1661</v>
      </c>
      <c r="G603" s="25">
        <v>500</v>
      </c>
      <c r="H603" s="25"/>
    </row>
    <row r="604" spans="1:8" ht="14">
      <c r="A604" s="25" t="s">
        <v>1662</v>
      </c>
      <c r="B604" s="26" t="s">
        <v>111</v>
      </c>
      <c r="C604" s="25" t="str">
        <f t="shared" si="9"/>
        <v>trafficking</v>
      </c>
      <c r="D604" s="27" t="s">
        <v>13</v>
      </c>
      <c r="E604" s="25" t="s">
        <v>1663</v>
      </c>
      <c r="F604" s="25" t="s">
        <v>1664</v>
      </c>
      <c r="G604" s="25">
        <v>500</v>
      </c>
      <c r="H604" s="25"/>
    </row>
    <row r="605" spans="1:8" ht="14">
      <c r="A605" s="25" t="s">
        <v>1665</v>
      </c>
      <c r="B605" s="26" t="s">
        <v>111</v>
      </c>
      <c r="C605" s="25" t="str">
        <f t="shared" si="9"/>
        <v>transcription</v>
      </c>
      <c r="D605" s="27" t="s">
        <v>13</v>
      </c>
      <c r="E605" s="25" t="s">
        <v>1666</v>
      </c>
      <c r="F605" s="25" t="s">
        <v>1667</v>
      </c>
      <c r="G605" s="25">
        <v>500</v>
      </c>
      <c r="H605" s="25"/>
    </row>
    <row r="606" spans="1:8" ht="14">
      <c r="A606" s="25" t="s">
        <v>1668</v>
      </c>
      <c r="B606" s="26" t="s">
        <v>111</v>
      </c>
      <c r="C606" s="25" t="str">
        <f t="shared" si="9"/>
        <v>translation</v>
      </c>
      <c r="D606" s="27" t="s">
        <v>13</v>
      </c>
      <c r="E606" s="25" t="s">
        <v>1669</v>
      </c>
      <c r="F606" s="25" t="s">
        <v>1670</v>
      </c>
      <c r="G606" s="25">
        <v>500</v>
      </c>
      <c r="H606" s="25"/>
    </row>
    <row r="607" spans="1:8" ht="14">
      <c r="A607" s="25" t="s">
        <v>1671</v>
      </c>
      <c r="B607" s="26" t="s">
        <v>111</v>
      </c>
      <c r="C607" s="25" t="str">
        <f t="shared" si="9"/>
        <v>translation_factors</v>
      </c>
      <c r="D607" s="27" t="s">
        <v>13</v>
      </c>
      <c r="E607" s="25" t="s">
        <v>1672</v>
      </c>
      <c r="F607" s="25" t="s">
        <v>1673</v>
      </c>
      <c r="G607" s="25">
        <v>500</v>
      </c>
      <c r="H607" s="25"/>
    </row>
    <row r="608" spans="1:8" ht="14">
      <c r="A608" s="25" t="s">
        <v>1674</v>
      </c>
      <c r="B608" s="26" t="s">
        <v>111</v>
      </c>
      <c r="C608" s="25" t="str">
        <f t="shared" si="9"/>
        <v>type_ii_fatty_acid_synthesis</v>
      </c>
      <c r="D608" s="27" t="s">
        <v>13</v>
      </c>
      <c r="E608" s="25" t="s">
        <v>1675</v>
      </c>
      <c r="F608" s="25" t="s">
        <v>1676</v>
      </c>
      <c r="G608" s="25">
        <v>500</v>
      </c>
      <c r="H608" s="25"/>
    </row>
    <row r="609" spans="1:8" ht="14">
      <c r="A609" s="25" t="s">
        <v>1677</v>
      </c>
      <c r="B609" s="26" t="s">
        <v>111</v>
      </c>
      <c r="C609" s="25" t="str">
        <f t="shared" si="9"/>
        <v>urea_cycle</v>
      </c>
      <c r="D609" s="27" t="s">
        <v>13</v>
      </c>
      <c r="E609" s="25" t="s">
        <v>1678</v>
      </c>
      <c r="F609" s="25" t="s">
        <v>1679</v>
      </c>
      <c r="G609" s="25">
        <v>500</v>
      </c>
      <c r="H609" s="25"/>
    </row>
    <row r="610" spans="1:8" ht="14">
      <c r="A610" s="25" t="s">
        <v>1680</v>
      </c>
      <c r="B610" s="26" t="s">
        <v>111</v>
      </c>
      <c r="C610" s="25" t="str">
        <f t="shared" si="9"/>
        <v>vitamin_a_metabolism</v>
      </c>
      <c r="D610" s="27" t="s">
        <v>13</v>
      </c>
      <c r="E610" s="25" t="s">
        <v>1681</v>
      </c>
      <c r="F610" s="25" t="s">
        <v>1682</v>
      </c>
      <c r="G610" s="25">
        <v>500</v>
      </c>
      <c r="H610" s="25"/>
    </row>
    <row r="611" spans="1:8" ht="14">
      <c r="A611" s="25" t="s">
        <v>1683</v>
      </c>
      <c r="B611" s="26" t="s">
        <v>111</v>
      </c>
      <c r="C611" s="25" t="str">
        <f t="shared" si="9"/>
        <v>vitamin_b1_metabolism</v>
      </c>
      <c r="D611" s="27" t="s">
        <v>13</v>
      </c>
      <c r="E611" s="25" t="s">
        <v>1684</v>
      </c>
      <c r="F611" s="25" t="s">
        <v>1685</v>
      </c>
      <c r="G611" s="25">
        <v>500</v>
      </c>
      <c r="H611" s="25"/>
    </row>
    <row r="612" spans="1:8" ht="14">
      <c r="A612" s="25" t="s">
        <v>1686</v>
      </c>
      <c r="B612" s="26" t="s">
        <v>111</v>
      </c>
      <c r="C612" s="25" t="str">
        <f t="shared" si="9"/>
        <v>vitamin_b12_metabolism</v>
      </c>
      <c r="D612" s="27" t="s">
        <v>13</v>
      </c>
      <c r="E612" s="25" t="s">
        <v>1687</v>
      </c>
      <c r="F612" s="25" t="s">
        <v>1688</v>
      </c>
      <c r="G612" s="25">
        <v>500</v>
      </c>
      <c r="H612" s="25"/>
    </row>
    <row r="613" spans="1:8" ht="14">
      <c r="A613" s="25" t="s">
        <v>1689</v>
      </c>
      <c r="B613" s="26" t="s">
        <v>111</v>
      </c>
      <c r="C613" s="25" t="str">
        <f t="shared" si="9"/>
        <v>vitamin_b2_metabolism</v>
      </c>
      <c r="D613" s="27" t="s">
        <v>13</v>
      </c>
      <c r="E613" s="25" t="s">
        <v>1690</v>
      </c>
      <c r="F613" s="25" t="s">
        <v>1691</v>
      </c>
      <c r="G613" s="25">
        <v>500</v>
      </c>
      <c r="H613" s="25"/>
    </row>
    <row r="614" spans="1:8" ht="14">
      <c r="A614" s="25" t="s">
        <v>1692</v>
      </c>
      <c r="B614" s="26" t="s">
        <v>111</v>
      </c>
      <c r="C614" s="25" t="str">
        <f t="shared" si="9"/>
        <v>vitamin_b6_metabolism</v>
      </c>
      <c r="D614" s="27" t="s">
        <v>13</v>
      </c>
      <c r="E614" s="25" t="s">
        <v>1693</v>
      </c>
      <c r="F614" s="25" t="s">
        <v>1694</v>
      </c>
      <c r="G614" s="25">
        <v>500</v>
      </c>
      <c r="H614" s="25"/>
    </row>
    <row r="615" spans="1:8" ht="14">
      <c r="A615" s="25" t="s">
        <v>1695</v>
      </c>
      <c r="B615" s="26" t="s">
        <v>111</v>
      </c>
      <c r="C615" s="25" t="str">
        <f t="shared" si="9"/>
        <v>vitamin_c_metabolism</v>
      </c>
      <c r="D615" s="27" t="s">
        <v>13</v>
      </c>
      <c r="E615" s="25" t="s">
        <v>1696</v>
      </c>
      <c r="F615" s="25" t="s">
        <v>1697</v>
      </c>
      <c r="G615" s="25">
        <v>500</v>
      </c>
      <c r="H615" s="25"/>
    </row>
    <row r="616" spans="1:8" ht="14">
      <c r="A616" s="25" t="s">
        <v>1698</v>
      </c>
      <c r="B616" s="26" t="s">
        <v>111</v>
      </c>
      <c r="C616" s="25" t="str">
        <f t="shared" si="9"/>
        <v>vitamin_d_metabolism</v>
      </c>
      <c r="D616" s="27" t="s">
        <v>13</v>
      </c>
      <c r="E616" s="25" t="s">
        <v>1699</v>
      </c>
      <c r="F616" s="25" t="s">
        <v>1700</v>
      </c>
      <c r="G616" s="25">
        <v>500</v>
      </c>
      <c r="H616" s="25"/>
    </row>
    <row r="617" spans="1:8" ht="14">
      <c r="A617" s="25" t="s">
        <v>1701</v>
      </c>
      <c r="B617" s="26" t="s">
        <v>111</v>
      </c>
      <c r="C617" s="25" t="str">
        <f t="shared" si="9"/>
        <v>vitamin_metabolism</v>
      </c>
      <c r="D617" s="27" t="s">
        <v>13</v>
      </c>
      <c r="E617" s="25" t="s">
        <v>1702</v>
      </c>
      <c r="F617" s="25" t="s">
        <v>1703</v>
      </c>
      <c r="G617" s="25">
        <v>500</v>
      </c>
      <c r="H617" s="25"/>
    </row>
    <row r="618" spans="1:8" ht="14">
      <c r="A618" s="25" t="s">
        <v>1704</v>
      </c>
      <c r="B618" s="26" t="s">
        <v>111</v>
      </c>
      <c r="C618" s="25" t="str">
        <f t="shared" si="9"/>
        <v>xenobiotic_metabolism</v>
      </c>
      <c r="D618" s="27" t="s">
        <v>13</v>
      </c>
      <c r="E618" s="25" t="s">
        <v>1705</v>
      </c>
      <c r="F618" s="25" t="s">
        <v>1706</v>
      </c>
      <c r="G618" s="25">
        <v>500</v>
      </c>
      <c r="H618" s="25"/>
    </row>
    <row r="619" spans="1:8" ht="14">
      <c r="A619" s="25" t="s">
        <v>1707</v>
      </c>
      <c r="B619" s="26" t="s">
        <v>1708</v>
      </c>
      <c r="C619" s="25" t="str">
        <f t="shared" si="9"/>
        <v>arbitrary</v>
      </c>
      <c r="D619" s="27" t="s">
        <v>13</v>
      </c>
      <c r="E619" s="25" t="s">
        <v>1709</v>
      </c>
      <c r="F619" s="25" t="s">
        <v>1710</v>
      </c>
      <c r="G619" s="25">
        <v>500</v>
      </c>
      <c r="H619" s="25"/>
    </row>
    <row r="620" spans="1:8" ht="14">
      <c r="A620" s="25" t="s">
        <v>1711</v>
      </c>
      <c r="B620" s="26" t="s">
        <v>1708</v>
      </c>
      <c r="C620" s="25" t="str">
        <f t="shared" si="9"/>
        <v>random</v>
      </c>
      <c r="D620" s="27" t="s">
        <v>13</v>
      </c>
      <c r="E620" s="25" t="s">
        <v>1712</v>
      </c>
      <c r="F620" s="25" t="s">
        <v>1710</v>
      </c>
      <c r="G620" s="25">
        <v>500</v>
      </c>
      <c r="H620" s="25"/>
    </row>
    <row r="621" spans="1:8" ht="14">
      <c r="A621" s="25" t="s">
        <v>1713</v>
      </c>
      <c r="B621" s="26" t="s">
        <v>114</v>
      </c>
      <c r="C621" s="25" t="str">
        <f t="shared" si="9"/>
        <v>in_vitro</v>
      </c>
      <c r="D621" s="27" t="s">
        <v>13</v>
      </c>
      <c r="E621" s="25" t="s">
        <v>1714</v>
      </c>
      <c r="F621" s="25" t="s">
        <v>1715</v>
      </c>
      <c r="G621" s="25">
        <v>500</v>
      </c>
      <c r="H621" s="25"/>
    </row>
    <row r="622" spans="1:8" ht="14">
      <c r="A622" s="25" t="s">
        <v>1716</v>
      </c>
      <c r="B622" s="26" t="s">
        <v>114</v>
      </c>
      <c r="C622" s="25" t="str">
        <f t="shared" si="9"/>
        <v>in_vivo</v>
      </c>
      <c r="D622" s="27" t="s">
        <v>13</v>
      </c>
      <c r="E622" s="25" t="s">
        <v>1717</v>
      </c>
      <c r="F622" s="25" t="s">
        <v>1718</v>
      </c>
      <c r="G622" s="25">
        <v>500</v>
      </c>
      <c r="H622" s="25"/>
    </row>
    <row r="623" spans="1:8" s="4" customFormat="1" ht="14">
      <c r="A623" s="25" t="s">
        <v>1719</v>
      </c>
      <c r="B623" s="26" t="s">
        <v>114</v>
      </c>
      <c r="C623" s="25" t="str">
        <f t="shared" si="9"/>
        <v>xenografts</v>
      </c>
      <c r="D623" s="27" t="s">
        <v>13</v>
      </c>
      <c r="E623" s="25" t="s">
        <v>1719</v>
      </c>
      <c r="F623" s="25" t="s">
        <v>1720</v>
      </c>
      <c r="G623" s="25">
        <v>500</v>
      </c>
      <c r="H623" s="30"/>
    </row>
    <row r="624" spans="1:8" s="4" customFormat="1" ht="14">
      <c r="A624" s="25" t="s">
        <v>2925</v>
      </c>
      <c r="B624" s="26" t="s">
        <v>2923</v>
      </c>
      <c r="C624" s="25" t="str">
        <f t="shared" si="9"/>
        <v>nestincre</v>
      </c>
      <c r="D624" s="25" t="s">
        <v>13</v>
      </c>
      <c r="E624" s="25" t="s">
        <v>2924</v>
      </c>
      <c r="F624" s="25" t="s">
        <v>2937</v>
      </c>
      <c r="G624" s="25">
        <v>500</v>
      </c>
      <c r="H624" s="30"/>
    </row>
    <row r="625" spans="1:8" ht="14">
      <c r="A625" s="25" t="s">
        <v>2927</v>
      </c>
      <c r="B625" s="26" t="s">
        <v>2923</v>
      </c>
      <c r="C625" s="25" t="str">
        <f t="shared" si="9"/>
        <v>cmvcre</v>
      </c>
      <c r="D625" s="25" t="s">
        <v>13</v>
      </c>
      <c r="E625" s="25" t="s">
        <v>2926</v>
      </c>
      <c r="F625" s="25" t="s">
        <v>2936</v>
      </c>
      <c r="G625" s="25">
        <v>500</v>
      </c>
      <c r="H625" s="25"/>
    </row>
    <row r="626" spans="1:8" ht="14">
      <c r="A626" s="25" t="s">
        <v>2930</v>
      </c>
      <c r="B626" s="26" t="s">
        <v>2923</v>
      </c>
      <c r="C626" s="25" t="str">
        <f t="shared" ref="C626:C690" si="10">A626</f>
        <v>myh6cre</v>
      </c>
      <c r="D626" s="25" t="s">
        <v>13</v>
      </c>
      <c r="E626" s="25" t="s">
        <v>2929</v>
      </c>
      <c r="F626" s="25" t="s">
        <v>2928</v>
      </c>
      <c r="G626" s="25">
        <v>500</v>
      </c>
      <c r="H626" s="25"/>
    </row>
    <row r="627" spans="1:8" ht="14">
      <c r="A627" s="25" t="s">
        <v>2397</v>
      </c>
      <c r="B627" s="26" t="s">
        <v>2923</v>
      </c>
      <c r="C627" s="25" t="str">
        <f t="shared" si="10"/>
        <v>albcre</v>
      </c>
      <c r="D627" s="25" t="s">
        <v>13</v>
      </c>
      <c r="E627" s="25" t="s">
        <v>2931</v>
      </c>
      <c r="F627" s="25" t="s">
        <v>2935</v>
      </c>
      <c r="G627" s="25">
        <v>500</v>
      </c>
      <c r="H627" s="25"/>
    </row>
    <row r="628" spans="1:8" ht="14">
      <c r="A628" s="25" t="s">
        <v>2932</v>
      </c>
      <c r="B628" s="26" t="s">
        <v>2923</v>
      </c>
      <c r="C628" s="25" t="str">
        <f t="shared" si="10"/>
        <v>ucpcre</v>
      </c>
      <c r="D628" s="25" t="s">
        <v>13</v>
      </c>
      <c r="E628" s="25" t="s">
        <v>2933</v>
      </c>
      <c r="F628" s="25" t="s">
        <v>2934</v>
      </c>
      <c r="G628" s="25">
        <v>500</v>
      </c>
      <c r="H628" s="25"/>
    </row>
    <row r="629" spans="1:8" ht="14">
      <c r="A629" s="25" t="s">
        <v>2394</v>
      </c>
      <c r="B629" s="26" t="s">
        <v>2923</v>
      </c>
      <c r="C629" s="25" t="str">
        <f t="shared" si="10"/>
        <v>adipoqcre</v>
      </c>
      <c r="D629" s="25" t="s">
        <v>13</v>
      </c>
      <c r="E629" s="25" t="s">
        <v>2938</v>
      </c>
      <c r="F629" s="25" t="s">
        <v>2939</v>
      </c>
      <c r="G629" s="25">
        <v>500</v>
      </c>
      <c r="H629" s="25"/>
    </row>
    <row r="630" spans="1:8" ht="14">
      <c r="A630" s="25" t="s">
        <v>2940</v>
      </c>
      <c r="B630" s="26" t="s">
        <v>2923</v>
      </c>
      <c r="C630" s="25" t="str">
        <f t="shared" si="10"/>
        <v>ckmmcre</v>
      </c>
      <c r="D630" s="25" t="s">
        <v>13</v>
      </c>
      <c r="E630" s="25" t="s">
        <v>2941</v>
      </c>
      <c r="F630" s="25" t="s">
        <v>2942</v>
      </c>
      <c r="G630" s="25">
        <v>500</v>
      </c>
      <c r="H630" s="25"/>
    </row>
    <row r="631" spans="1:8" ht="14">
      <c r="A631" s="25" t="s">
        <v>1721</v>
      </c>
      <c r="B631" s="26" t="s">
        <v>3780</v>
      </c>
      <c r="C631" s="25" t="str">
        <f t="shared" si="10"/>
        <v>eclips</v>
      </c>
      <c r="D631" s="27" t="s">
        <v>13</v>
      </c>
      <c r="E631" s="25" t="s">
        <v>1722</v>
      </c>
      <c r="F631" s="25" t="s">
        <v>1722</v>
      </c>
      <c r="G631" s="25">
        <v>500</v>
      </c>
      <c r="H631" s="25"/>
    </row>
    <row r="632" spans="1:8" ht="14">
      <c r="A632" s="25" t="s">
        <v>1723</v>
      </c>
      <c r="B632" s="26" t="s">
        <v>3780</v>
      </c>
      <c r="C632" s="25" t="str">
        <f t="shared" si="10"/>
        <v>exploris240</v>
      </c>
      <c r="D632" s="27" t="s">
        <v>13</v>
      </c>
      <c r="E632" s="25" t="s">
        <v>1724</v>
      </c>
      <c r="F632" s="25" t="s">
        <v>1725</v>
      </c>
      <c r="G632" s="25">
        <v>500</v>
      </c>
      <c r="H632" s="25"/>
    </row>
    <row r="633" spans="1:8" ht="14">
      <c r="A633" s="25" t="s">
        <v>1726</v>
      </c>
      <c r="B633" s="26" t="s">
        <v>3780</v>
      </c>
      <c r="C633" s="25" t="str">
        <f t="shared" si="10"/>
        <v>exploris480</v>
      </c>
      <c r="D633" s="27" t="s">
        <v>13</v>
      </c>
      <c r="E633" s="25" t="s">
        <v>1727</v>
      </c>
      <c r="F633" s="25" t="s">
        <v>1728</v>
      </c>
      <c r="G633" s="25">
        <v>500</v>
      </c>
      <c r="H633" s="25"/>
    </row>
    <row r="634" spans="1:8" ht="14">
      <c r="A634" s="25" t="s">
        <v>1729</v>
      </c>
      <c r="B634" s="26" t="s">
        <v>3780</v>
      </c>
      <c r="C634" s="25" t="str">
        <f t="shared" si="10"/>
        <v>qex</v>
      </c>
      <c r="D634" s="27" t="s">
        <v>13</v>
      </c>
      <c r="E634" s="25" t="s">
        <v>1730</v>
      </c>
      <c r="F634" s="25" t="s">
        <v>1731</v>
      </c>
      <c r="G634" s="25">
        <v>500</v>
      </c>
      <c r="H634" s="25"/>
    </row>
    <row r="635" spans="1:8" ht="14">
      <c r="A635" s="25" t="s">
        <v>1732</v>
      </c>
      <c r="B635" s="26" t="s">
        <v>3780</v>
      </c>
      <c r="C635" s="25" t="str">
        <f t="shared" si="10"/>
        <v>qexplus</v>
      </c>
      <c r="D635" s="27" t="s">
        <v>13</v>
      </c>
      <c r="E635" s="25" t="s">
        <v>1733</v>
      </c>
      <c r="F635" s="25" t="s">
        <v>1734</v>
      </c>
      <c r="G635" s="25">
        <v>500</v>
      </c>
      <c r="H635" s="25"/>
    </row>
    <row r="636" spans="1:8" ht="14">
      <c r="A636" s="25" t="s">
        <v>3012</v>
      </c>
      <c r="B636" s="26" t="s">
        <v>3780</v>
      </c>
      <c r="C636" s="25" t="str">
        <f t="shared" si="10"/>
        <v>tofpro2</v>
      </c>
      <c r="D636" s="27" t="s">
        <v>13</v>
      </c>
      <c r="E636" s="25" t="s">
        <v>3013</v>
      </c>
      <c r="F636" s="25" t="s">
        <v>3014</v>
      </c>
      <c r="G636" s="25">
        <v>500</v>
      </c>
      <c r="H636" s="25"/>
    </row>
    <row r="637" spans="1:8" ht="14">
      <c r="A637" s="25" t="s">
        <v>1735</v>
      </c>
      <c r="B637" s="26" t="s">
        <v>3780</v>
      </c>
      <c r="C637" s="25" t="str">
        <f t="shared" si="10"/>
        <v>ttofhct</v>
      </c>
      <c r="D637" s="27" t="s">
        <v>13</v>
      </c>
      <c r="E637" s="25" t="s">
        <v>1736</v>
      </c>
      <c r="F637" s="25" t="s">
        <v>3015</v>
      </c>
      <c r="G637" s="25">
        <v>500</v>
      </c>
      <c r="H637" s="25"/>
    </row>
    <row r="638" spans="1:8" ht="14">
      <c r="A638" s="25" t="s">
        <v>1737</v>
      </c>
      <c r="B638" s="26" t="s">
        <v>3780</v>
      </c>
      <c r="C638" s="25" t="str">
        <f t="shared" si="10"/>
        <v>ttofscp</v>
      </c>
      <c r="D638" s="27" t="s">
        <v>13</v>
      </c>
      <c r="E638" s="25" t="s">
        <v>1738</v>
      </c>
      <c r="F638" s="25" t="s">
        <v>3016</v>
      </c>
      <c r="G638" s="25">
        <v>500</v>
      </c>
      <c r="H638" s="25"/>
    </row>
    <row r="639" spans="1:8" ht="14">
      <c r="A639" s="25" t="s">
        <v>1739</v>
      </c>
      <c r="B639" s="26" t="s">
        <v>81</v>
      </c>
      <c r="C639" s="25" t="str">
        <f t="shared" si="10"/>
        <v>faims</v>
      </c>
      <c r="D639" s="27" t="s">
        <v>13</v>
      </c>
      <c r="E639" s="25" t="s">
        <v>4446</v>
      </c>
      <c r="F639" s="25" t="s">
        <v>1741</v>
      </c>
      <c r="G639" s="25">
        <v>500</v>
      </c>
      <c r="H639" s="25"/>
    </row>
    <row r="640" spans="1:8" ht="14">
      <c r="A640" s="25" t="s">
        <v>3101</v>
      </c>
      <c r="B640" s="26" t="s">
        <v>81</v>
      </c>
      <c r="C640" s="25" t="str">
        <f t="shared" si="10"/>
        <v>no_interface</v>
      </c>
      <c r="D640" s="27" t="s">
        <v>13</v>
      </c>
      <c r="E640" s="25" t="s">
        <v>4411</v>
      </c>
      <c r="F640" s="25" t="s">
        <v>1743</v>
      </c>
      <c r="G640" s="25">
        <v>500</v>
      </c>
      <c r="H640" s="25"/>
    </row>
    <row r="641" spans="1:8" ht="14">
      <c r="A641" s="25" t="s">
        <v>262</v>
      </c>
      <c r="B641" s="26" t="s">
        <v>81</v>
      </c>
      <c r="C641" s="25" t="str">
        <f t="shared" si="10"/>
        <v>none</v>
      </c>
      <c r="D641" s="27" t="s">
        <v>13</v>
      </c>
      <c r="E641" s="25" t="s">
        <v>1742</v>
      </c>
      <c r="F641" s="25" t="s">
        <v>4412</v>
      </c>
      <c r="G641" s="25">
        <v>500</v>
      </c>
      <c r="H641" s="25"/>
    </row>
    <row r="642" spans="1:8" ht="14">
      <c r="A642" s="25" t="s">
        <v>1744</v>
      </c>
      <c r="B642" s="26" t="s">
        <v>34</v>
      </c>
      <c r="C642" s="25" t="str">
        <f t="shared" si="10"/>
        <v>easy_spray</v>
      </c>
      <c r="D642" s="27" t="s">
        <v>13</v>
      </c>
      <c r="E642" s="25" t="s">
        <v>1745</v>
      </c>
      <c r="F642" s="25" t="s">
        <v>1746</v>
      </c>
      <c r="G642" s="25">
        <v>500</v>
      </c>
      <c r="H642" s="25"/>
    </row>
    <row r="643" spans="1:8" ht="14">
      <c r="A643" s="25" t="s">
        <v>1747</v>
      </c>
      <c r="B643" s="26" t="s">
        <v>34</v>
      </c>
      <c r="C643" s="25" t="str">
        <f t="shared" si="10"/>
        <v>flex</v>
      </c>
      <c r="D643" s="27" t="s">
        <v>13</v>
      </c>
      <c r="E643" s="25" t="s">
        <v>1748</v>
      </c>
      <c r="F643" s="25" t="s">
        <v>1749</v>
      </c>
      <c r="G643" s="25">
        <v>500</v>
      </c>
      <c r="H643" s="25"/>
    </row>
    <row r="644" spans="1:8" ht="14">
      <c r="A644" s="25" t="s">
        <v>1750</v>
      </c>
      <c r="B644" s="26" t="s">
        <v>34</v>
      </c>
      <c r="C644" s="25" t="str">
        <f t="shared" si="10"/>
        <v>ion_max</v>
      </c>
      <c r="D644" s="27" t="s">
        <v>13</v>
      </c>
      <c r="E644" s="25" t="s">
        <v>1751</v>
      </c>
      <c r="F644" s="25" t="s">
        <v>1752</v>
      </c>
      <c r="G644" s="25">
        <v>500</v>
      </c>
      <c r="H644" s="25"/>
    </row>
    <row r="645" spans="1:8" ht="14">
      <c r="A645" s="25" t="s">
        <v>2998</v>
      </c>
      <c r="B645" s="26" t="s">
        <v>34</v>
      </c>
      <c r="C645" s="25" t="str">
        <f t="shared" si="10"/>
        <v>captivespray</v>
      </c>
      <c r="D645" s="27" t="s">
        <v>2997</v>
      </c>
      <c r="E645" s="25" t="s">
        <v>3002</v>
      </c>
      <c r="F645" s="25" t="s">
        <v>3004</v>
      </c>
      <c r="G645" s="25">
        <v>500</v>
      </c>
      <c r="H645" s="25"/>
    </row>
    <row r="646" spans="1:8" ht="14">
      <c r="A646" s="25" t="s">
        <v>2999</v>
      </c>
      <c r="B646" s="26" t="s">
        <v>34</v>
      </c>
      <c r="C646" s="25" t="str">
        <f t="shared" si="10"/>
        <v>captivespraytwo</v>
      </c>
      <c r="D646" s="27" t="s">
        <v>3000</v>
      </c>
      <c r="E646" s="25" t="s">
        <v>3001</v>
      </c>
      <c r="F646" s="25" t="s">
        <v>3003</v>
      </c>
      <c r="G646" s="25">
        <v>500</v>
      </c>
      <c r="H646" s="25"/>
    </row>
    <row r="647" spans="1:8" ht="14">
      <c r="A647" s="25" t="s">
        <v>3005</v>
      </c>
      <c r="B647" s="26" t="s">
        <v>34</v>
      </c>
      <c r="C647" s="25" t="str">
        <f t="shared" si="10"/>
        <v>captiivespraypro</v>
      </c>
      <c r="D647" s="27" t="s">
        <v>3006</v>
      </c>
      <c r="E647" s="25" t="s">
        <v>3007</v>
      </c>
      <c r="F647" s="25" t="s">
        <v>3008</v>
      </c>
      <c r="G647" s="25">
        <v>500</v>
      </c>
      <c r="H647" s="25"/>
    </row>
    <row r="648" spans="1:8" ht="14">
      <c r="A648" s="25" t="s">
        <v>1753</v>
      </c>
      <c r="B648" s="26" t="s">
        <v>19</v>
      </c>
      <c r="C648" s="25" t="str">
        <f t="shared" si="10"/>
        <v>e1</v>
      </c>
      <c r="D648" s="25" t="s">
        <v>1753</v>
      </c>
      <c r="E648" s="25" t="s">
        <v>1754</v>
      </c>
      <c r="F648" s="25" t="s">
        <v>1755</v>
      </c>
      <c r="G648" s="25">
        <v>500</v>
      </c>
      <c r="H648" s="25"/>
    </row>
    <row r="649" spans="1:8" ht="14">
      <c r="A649" s="25" t="s">
        <v>1756</v>
      </c>
      <c r="B649" s="26" t="s">
        <v>19</v>
      </c>
      <c r="C649" s="25" t="str">
        <f t="shared" si="10"/>
        <v>e2</v>
      </c>
      <c r="D649" s="25" t="s">
        <v>1756</v>
      </c>
      <c r="E649" s="25" t="s">
        <v>1757</v>
      </c>
      <c r="F649" s="25" t="s">
        <v>1758</v>
      </c>
      <c r="G649" s="25">
        <v>500</v>
      </c>
      <c r="H649" s="25"/>
    </row>
    <row r="650" spans="1:8" ht="14">
      <c r="A650" s="25" t="s">
        <v>1759</v>
      </c>
      <c r="B650" s="26" t="s">
        <v>19</v>
      </c>
      <c r="C650" s="25" t="str">
        <f t="shared" si="10"/>
        <v>expl480</v>
      </c>
      <c r="D650" s="25" t="s">
        <v>1759</v>
      </c>
      <c r="E650" s="25" t="s">
        <v>1760</v>
      </c>
      <c r="F650" s="25" t="s">
        <v>2875</v>
      </c>
      <c r="G650" s="25">
        <v>500</v>
      </c>
      <c r="H650" s="25"/>
    </row>
    <row r="651" spans="1:8" ht="14">
      <c r="A651" s="25" t="s">
        <v>2872</v>
      </c>
      <c r="B651" s="26" t="s">
        <v>19</v>
      </c>
      <c r="C651" s="25" t="str">
        <f t="shared" si="10"/>
        <v>hfxage</v>
      </c>
      <c r="D651" s="25" t="s">
        <v>13</v>
      </c>
      <c r="E651" s="25" t="s">
        <v>2873</v>
      </c>
      <c r="F651" s="25" t="s">
        <v>2874</v>
      </c>
      <c r="G651" s="25">
        <v>500</v>
      </c>
      <c r="H651" s="25"/>
    </row>
    <row r="652" spans="1:8" ht="14">
      <c r="A652" s="25" t="s">
        <v>1761</v>
      </c>
      <c r="B652" s="26" t="s">
        <v>19</v>
      </c>
      <c r="C652" s="25" t="str">
        <f t="shared" si="10"/>
        <v>ignarius</v>
      </c>
      <c r="D652" s="25" t="s">
        <v>1761</v>
      </c>
      <c r="E652" s="25" t="s">
        <v>1762</v>
      </c>
      <c r="F652" s="25" t="s">
        <v>1763</v>
      </c>
      <c r="G652" s="25">
        <v>500</v>
      </c>
      <c r="H652" s="25"/>
    </row>
    <row r="653" spans="1:8" ht="14">
      <c r="A653" s="25" t="s">
        <v>1764</v>
      </c>
      <c r="B653" s="26" t="s">
        <v>19</v>
      </c>
      <c r="C653" s="25" t="str">
        <f t="shared" si="10"/>
        <v>timstof</v>
      </c>
      <c r="D653" s="25" t="s">
        <v>1764</v>
      </c>
      <c r="E653" s="25" t="s">
        <v>1765</v>
      </c>
      <c r="F653" s="25" t="s">
        <v>1766</v>
      </c>
      <c r="G653" s="25">
        <v>500</v>
      </c>
      <c r="H653" s="25"/>
    </row>
    <row r="654" spans="1:8" ht="14">
      <c r="A654" s="25" t="s">
        <v>1767</v>
      </c>
      <c r="B654" s="26" t="s">
        <v>124</v>
      </c>
      <c r="C654" s="25" t="str">
        <f t="shared" si="10"/>
        <v>120000res</v>
      </c>
      <c r="D654" s="27" t="s">
        <v>13</v>
      </c>
      <c r="E654" s="25">
        <v>120000</v>
      </c>
      <c r="F654" s="25" t="s">
        <v>1768</v>
      </c>
      <c r="G654" s="25">
        <v>500</v>
      </c>
      <c r="H654" s="25"/>
    </row>
    <row r="655" spans="1:8" ht="14">
      <c r="A655" s="25" t="s">
        <v>1769</v>
      </c>
      <c r="B655" s="26" t="s">
        <v>124</v>
      </c>
      <c r="C655" s="25" t="str">
        <f t="shared" si="10"/>
        <v>15000res</v>
      </c>
      <c r="D655" s="27" t="s">
        <v>13</v>
      </c>
      <c r="E655" s="25">
        <v>15000</v>
      </c>
      <c r="F655" s="25" t="s">
        <v>1768</v>
      </c>
      <c r="G655" s="25">
        <v>500</v>
      </c>
      <c r="H655" s="25"/>
    </row>
    <row r="656" spans="1:8" ht="14">
      <c r="A656" s="25" t="s">
        <v>1770</v>
      </c>
      <c r="B656" s="26" t="s">
        <v>124</v>
      </c>
      <c r="C656" s="25" t="str">
        <f t="shared" si="10"/>
        <v>17500res</v>
      </c>
      <c r="D656" s="27" t="s">
        <v>13</v>
      </c>
      <c r="E656" s="25">
        <v>17500</v>
      </c>
      <c r="F656" s="25" t="s">
        <v>1771</v>
      </c>
      <c r="G656" s="25">
        <v>500</v>
      </c>
      <c r="H656" s="25"/>
    </row>
    <row r="657" spans="1:8" ht="14">
      <c r="A657" s="25" t="s">
        <v>1772</v>
      </c>
      <c r="B657" s="26" t="s">
        <v>124</v>
      </c>
      <c r="C657" s="25" t="str">
        <f t="shared" si="10"/>
        <v>30000res</v>
      </c>
      <c r="D657" s="27" t="s">
        <v>13</v>
      </c>
      <c r="E657" s="25">
        <v>30000</v>
      </c>
      <c r="F657" s="25" t="s">
        <v>1768</v>
      </c>
      <c r="G657" s="25">
        <v>500</v>
      </c>
      <c r="H657" s="25"/>
    </row>
    <row r="658" spans="1:8" ht="14">
      <c r="A658" s="25" t="s">
        <v>1773</v>
      </c>
      <c r="B658" s="26" t="s">
        <v>124</v>
      </c>
      <c r="C658" s="25" t="str">
        <f t="shared" si="10"/>
        <v>35000res</v>
      </c>
      <c r="D658" s="27" t="s">
        <v>13</v>
      </c>
      <c r="E658" s="25">
        <v>35000</v>
      </c>
      <c r="F658" s="25" t="s">
        <v>1771</v>
      </c>
      <c r="G658" s="25">
        <v>500</v>
      </c>
      <c r="H658" s="25"/>
    </row>
    <row r="659" spans="1:8" ht="14">
      <c r="A659" s="25" t="s">
        <v>1774</v>
      </c>
      <c r="B659" s="26" t="s">
        <v>124</v>
      </c>
      <c r="C659" s="25" t="str">
        <f t="shared" si="10"/>
        <v>45000res</v>
      </c>
      <c r="D659" s="27" t="s">
        <v>13</v>
      </c>
      <c r="E659" s="25">
        <v>45000</v>
      </c>
      <c r="F659" s="25" t="s">
        <v>1768</v>
      </c>
      <c r="G659" s="25">
        <v>500</v>
      </c>
      <c r="H659" s="25"/>
    </row>
    <row r="660" spans="1:8" ht="14">
      <c r="A660" s="25" t="s">
        <v>1775</v>
      </c>
      <c r="B660" s="26" t="s">
        <v>124</v>
      </c>
      <c r="C660" s="25" t="str">
        <f t="shared" si="10"/>
        <v>60000res</v>
      </c>
      <c r="D660" s="27" t="s">
        <v>13</v>
      </c>
      <c r="E660" s="25">
        <v>60000</v>
      </c>
      <c r="F660" s="25" t="s">
        <v>1768</v>
      </c>
      <c r="G660" s="25">
        <v>500</v>
      </c>
      <c r="H660" s="25"/>
    </row>
    <row r="661" spans="1:8" ht="14">
      <c r="A661" s="25" t="s">
        <v>1776</v>
      </c>
      <c r="B661" s="26" t="s">
        <v>124</v>
      </c>
      <c r="C661" s="25" t="str">
        <f t="shared" si="10"/>
        <v>7500res</v>
      </c>
      <c r="D661" s="27" t="s">
        <v>13</v>
      </c>
      <c r="E661" s="25">
        <v>7500</v>
      </c>
      <c r="F661" s="25" t="s">
        <v>1768</v>
      </c>
      <c r="G661" s="25">
        <v>500</v>
      </c>
      <c r="H661" s="25"/>
    </row>
    <row r="662" spans="1:8" ht="14">
      <c r="A662" s="25" t="s">
        <v>1777</v>
      </c>
      <c r="B662" s="26" t="s">
        <v>126</v>
      </c>
      <c r="C662" s="25" t="str">
        <f t="shared" si="10"/>
        <v>ab</v>
      </c>
      <c r="D662" s="27" t="s">
        <v>13</v>
      </c>
      <c r="E662" s="25" t="s">
        <v>1779</v>
      </c>
      <c r="F662" s="25" t="s">
        <v>1778</v>
      </c>
      <c r="G662" s="25">
        <v>500</v>
      </c>
      <c r="H662" s="25"/>
    </row>
    <row r="663" spans="1:8" ht="14">
      <c r="A663" s="25" t="s">
        <v>1780</v>
      </c>
      <c r="B663" s="26" t="s">
        <v>126</v>
      </c>
      <c r="C663" s="25" t="str">
        <f t="shared" si="10"/>
        <v>al</v>
      </c>
      <c r="D663" s="27" t="s">
        <v>13</v>
      </c>
      <c r="E663" s="25" t="s">
        <v>1782</v>
      </c>
      <c r="F663" s="25" t="s">
        <v>1781</v>
      </c>
      <c r="G663" s="25">
        <v>500</v>
      </c>
      <c r="H663" s="25"/>
    </row>
    <row r="664" spans="1:8" ht="14">
      <c r="A664" s="25" t="s">
        <v>1783</v>
      </c>
      <c r="B664" s="26" t="s">
        <v>126</v>
      </c>
      <c r="C664" s="25" t="str">
        <f t="shared" si="10"/>
        <v>am</v>
      </c>
      <c r="D664" s="27" t="s">
        <v>13</v>
      </c>
      <c r="E664" s="25" t="s">
        <v>1785</v>
      </c>
      <c r="F664" s="25" t="s">
        <v>1784</v>
      </c>
      <c r="G664" s="25">
        <v>500</v>
      </c>
      <c r="H664" s="25"/>
    </row>
    <row r="665" spans="1:8" ht="14">
      <c r="A665" s="25" t="s">
        <v>1786</v>
      </c>
      <c r="B665" s="26" t="s">
        <v>126</v>
      </c>
      <c r="C665" s="25" t="str">
        <f t="shared" si="10"/>
        <v>an</v>
      </c>
      <c r="D665" s="27" t="s">
        <v>13</v>
      </c>
      <c r="E665" s="25" t="s">
        <v>1788</v>
      </c>
      <c r="F665" s="25" t="s">
        <v>1787</v>
      </c>
      <c r="G665" s="25">
        <v>500</v>
      </c>
      <c r="H665" s="25"/>
    </row>
    <row r="666" spans="1:8" ht="14">
      <c r="A666" s="25" t="s">
        <v>1789</v>
      </c>
      <c r="B666" s="26" t="s">
        <v>126</v>
      </c>
      <c r="C666" s="25" t="str">
        <f t="shared" si="10"/>
        <v>bbl</v>
      </c>
      <c r="D666" s="27" t="s">
        <v>13</v>
      </c>
      <c r="E666" s="25" t="s">
        <v>1791</v>
      </c>
      <c r="F666" s="25" t="s">
        <v>1790</v>
      </c>
      <c r="G666" s="25">
        <v>500</v>
      </c>
      <c r="H666" s="25"/>
    </row>
    <row r="667" spans="1:8" ht="14">
      <c r="A667" s="25" t="s">
        <v>1792</v>
      </c>
      <c r="B667" s="26" t="s">
        <v>126</v>
      </c>
      <c r="C667" s="25" t="str">
        <f t="shared" si="10"/>
        <v>bbs</v>
      </c>
      <c r="D667" s="27" t="s">
        <v>13</v>
      </c>
      <c r="E667" s="25" t="s">
        <v>1794</v>
      </c>
      <c r="F667" s="25" t="s">
        <v>1793</v>
      </c>
      <c r="G667" s="25">
        <v>500</v>
      </c>
      <c r="H667" s="25"/>
    </row>
    <row r="668" spans="1:8" ht="14">
      <c r="A668" s="25" t="s">
        <v>1795</v>
      </c>
      <c r="B668" s="26" t="s">
        <v>126</v>
      </c>
      <c r="C668" s="25" t="str">
        <f t="shared" si="10"/>
        <v>bfa</v>
      </c>
      <c r="D668" s="27" t="s">
        <v>13</v>
      </c>
      <c r="E668" s="25" t="s">
        <v>1797</v>
      </c>
      <c r="F668" s="25" t="s">
        <v>1796</v>
      </c>
      <c r="G668" s="25">
        <v>500</v>
      </c>
      <c r="H668" s="25"/>
    </row>
    <row r="669" spans="1:8" ht="14">
      <c r="A669" s="25" t="s">
        <v>1798</v>
      </c>
      <c r="B669" s="26" t="s">
        <v>126</v>
      </c>
      <c r="C669" s="25" t="str">
        <f t="shared" si="10"/>
        <v>bfp_ca</v>
      </c>
      <c r="D669" s="27" t="s">
        <v>13</v>
      </c>
      <c r="E669" s="25" t="s">
        <v>1800</v>
      </c>
      <c r="F669" s="25" t="s">
        <v>1799</v>
      </c>
      <c r="G669" s="25">
        <v>500</v>
      </c>
      <c r="H669" s="25"/>
    </row>
    <row r="670" spans="1:8" ht="14">
      <c r="A670" s="25" t="s">
        <v>1801</v>
      </c>
      <c r="B670" s="26" t="s">
        <v>126</v>
      </c>
      <c r="C670" s="25" t="str">
        <f t="shared" si="10"/>
        <v>bfp_cr</v>
      </c>
      <c r="D670" s="27" t="s">
        <v>13</v>
      </c>
      <c r="E670" s="25" t="s">
        <v>1803</v>
      </c>
      <c r="F670" s="25" t="s">
        <v>1802</v>
      </c>
      <c r="G670" s="25">
        <v>500</v>
      </c>
      <c r="H670" s="25"/>
    </row>
    <row r="671" spans="1:8" ht="14">
      <c r="A671" s="25" t="s">
        <v>1804</v>
      </c>
      <c r="B671" s="26" t="s">
        <v>126</v>
      </c>
      <c r="C671" s="25" t="str">
        <f t="shared" si="10"/>
        <v>bfp_mi</v>
      </c>
      <c r="D671" s="27" t="s">
        <v>13</v>
      </c>
      <c r="E671" s="25" t="s">
        <v>1806</v>
      </c>
      <c r="F671" s="25" t="s">
        <v>1805</v>
      </c>
      <c r="G671" s="25">
        <v>500</v>
      </c>
      <c r="H671" s="25"/>
    </row>
    <row r="672" spans="1:8" ht="14">
      <c r="A672" s="25" t="s">
        <v>1807</v>
      </c>
      <c r="B672" s="26" t="s">
        <v>126</v>
      </c>
      <c r="C672" s="25" t="str">
        <f t="shared" si="10"/>
        <v>bra</v>
      </c>
      <c r="D672" s="27" t="s">
        <v>13</v>
      </c>
      <c r="E672" s="25" t="s">
        <v>1809</v>
      </c>
      <c r="F672" s="25" t="s">
        <v>1808</v>
      </c>
      <c r="G672" s="25">
        <v>500</v>
      </c>
      <c r="H672" s="25"/>
    </row>
    <row r="673" spans="1:8" ht="14">
      <c r="A673" s="25" t="s">
        <v>1810</v>
      </c>
      <c r="B673" s="26" t="s">
        <v>126</v>
      </c>
      <c r="C673" s="25" t="str">
        <f t="shared" si="10"/>
        <v>cf</v>
      </c>
      <c r="D673" s="27" t="s">
        <v>13</v>
      </c>
      <c r="E673" s="25" t="s">
        <v>1812</v>
      </c>
      <c r="F673" s="25" t="s">
        <v>1811</v>
      </c>
      <c r="G673" s="25">
        <v>500</v>
      </c>
      <c r="H673" s="25"/>
    </row>
    <row r="674" spans="1:8" ht="14">
      <c r="A674" s="25" t="s">
        <v>1813</v>
      </c>
      <c r="B674" s="26" t="s">
        <v>126</v>
      </c>
      <c r="C674" s="25" t="str">
        <f t="shared" si="10"/>
        <v>cor</v>
      </c>
      <c r="D674" s="27" t="s">
        <v>13</v>
      </c>
      <c r="E674" s="25" t="s">
        <v>1815</v>
      </c>
      <c r="F674" s="25" t="s">
        <v>1814</v>
      </c>
      <c r="G674" s="25">
        <v>500</v>
      </c>
      <c r="H674" s="25"/>
    </row>
    <row r="675" spans="1:8" ht="14">
      <c r="A675" s="25" t="s">
        <v>1816</v>
      </c>
      <c r="B675" s="26" t="s">
        <v>126</v>
      </c>
      <c r="C675" s="25" t="str">
        <f t="shared" si="10"/>
        <v>ecrb</v>
      </c>
      <c r="D675" s="27" t="s">
        <v>13</v>
      </c>
      <c r="E675" s="25" t="s">
        <v>1818</v>
      </c>
      <c r="F675" s="25" t="s">
        <v>1817</v>
      </c>
      <c r="G675" s="25">
        <v>500</v>
      </c>
      <c r="H675" s="25"/>
    </row>
    <row r="676" spans="1:8" ht="14">
      <c r="A676" s="25" t="s">
        <v>1819</v>
      </c>
      <c r="B676" s="26" t="s">
        <v>126</v>
      </c>
      <c r="C676" s="25" t="str">
        <f t="shared" si="10"/>
        <v>ecrl</v>
      </c>
      <c r="D676" s="27" t="s">
        <v>13</v>
      </c>
      <c r="E676" s="25" t="s">
        <v>1821</v>
      </c>
      <c r="F676" s="25" t="s">
        <v>1820</v>
      </c>
      <c r="G676" s="25">
        <v>500</v>
      </c>
      <c r="H676" s="25"/>
    </row>
    <row r="677" spans="1:8" ht="14">
      <c r="A677" s="25" t="s">
        <v>1822</v>
      </c>
      <c r="B677" s="26" t="s">
        <v>126</v>
      </c>
      <c r="C677" s="25" t="str">
        <f t="shared" si="10"/>
        <v>ecu</v>
      </c>
      <c r="D677" s="27" t="s">
        <v>13</v>
      </c>
      <c r="E677" s="25" t="s">
        <v>1824</v>
      </c>
      <c r="F677" s="25" t="s">
        <v>1823</v>
      </c>
      <c r="G677" s="25">
        <v>500</v>
      </c>
      <c r="H677" s="25"/>
    </row>
    <row r="678" spans="1:8" ht="14">
      <c r="A678" s="25" t="s">
        <v>1825</v>
      </c>
      <c r="B678" s="26" t="s">
        <v>126</v>
      </c>
      <c r="C678" s="25" t="str">
        <f t="shared" si="10"/>
        <v>edl</v>
      </c>
      <c r="D678" s="27" t="s">
        <v>13</v>
      </c>
      <c r="E678" s="25" t="s">
        <v>1827</v>
      </c>
      <c r="F678" s="25" t="s">
        <v>1826</v>
      </c>
      <c r="G678" s="25">
        <v>500</v>
      </c>
      <c r="H678" s="25"/>
    </row>
    <row r="679" spans="1:8" ht="14">
      <c r="A679" s="25" t="s">
        <v>1828</v>
      </c>
      <c r="B679" s="26" t="s">
        <v>126</v>
      </c>
      <c r="C679" s="25" t="str">
        <f t="shared" si="10"/>
        <v>ehl</v>
      </c>
      <c r="D679" s="27" t="s">
        <v>13</v>
      </c>
      <c r="E679" s="25" t="s">
        <v>1830</v>
      </c>
      <c r="F679" s="25" t="s">
        <v>1829</v>
      </c>
      <c r="G679" s="25">
        <v>500</v>
      </c>
      <c r="H679" s="25"/>
    </row>
    <row r="680" spans="1:8" ht="14">
      <c r="A680" s="25" t="s">
        <v>1831</v>
      </c>
      <c r="B680" s="26" t="s">
        <v>126</v>
      </c>
      <c r="C680" s="25" t="str">
        <f t="shared" si="10"/>
        <v>eip1</v>
      </c>
      <c r="D680" s="27" t="s">
        <v>13</v>
      </c>
      <c r="E680" s="25" t="s">
        <v>1833</v>
      </c>
      <c r="F680" s="25" t="s">
        <v>1832</v>
      </c>
      <c r="G680" s="25">
        <v>500</v>
      </c>
      <c r="H680" s="25"/>
    </row>
    <row r="681" spans="1:8" ht="14">
      <c r="A681" s="25" t="s">
        <v>1834</v>
      </c>
      <c r="B681" s="26" t="s">
        <v>126</v>
      </c>
      <c r="C681" s="25" t="str">
        <f t="shared" si="10"/>
        <v>eip2</v>
      </c>
      <c r="D681" s="27" t="s">
        <v>13</v>
      </c>
      <c r="E681" s="25" t="s">
        <v>1836</v>
      </c>
      <c r="F681" s="25" t="s">
        <v>1835</v>
      </c>
      <c r="G681" s="25">
        <v>500</v>
      </c>
      <c r="H681" s="25"/>
    </row>
    <row r="682" spans="1:8" ht="14">
      <c r="A682" s="25" t="s">
        <v>1837</v>
      </c>
      <c r="B682" s="26" t="s">
        <v>126</v>
      </c>
      <c r="C682" s="25" t="str">
        <f t="shared" si="10"/>
        <v>fcr</v>
      </c>
      <c r="D682" s="27" t="s">
        <v>13</v>
      </c>
      <c r="E682" s="25" t="s">
        <v>1839</v>
      </c>
      <c r="F682" s="25" t="s">
        <v>1838</v>
      </c>
      <c r="G682" s="25">
        <v>500</v>
      </c>
      <c r="H682" s="25"/>
    </row>
    <row r="683" spans="1:8" ht="14">
      <c r="A683" s="25" t="s">
        <v>1840</v>
      </c>
      <c r="B683" s="26" t="s">
        <v>126</v>
      </c>
      <c r="C683" s="25" t="str">
        <f t="shared" si="10"/>
        <v>fcu</v>
      </c>
      <c r="D683" s="27" t="s">
        <v>13</v>
      </c>
      <c r="E683" s="25" t="s">
        <v>1842</v>
      </c>
      <c r="F683" s="25" t="s">
        <v>1841</v>
      </c>
      <c r="G683" s="25">
        <v>500</v>
      </c>
      <c r="H683" s="25"/>
    </row>
    <row r="684" spans="1:8" ht="14">
      <c r="A684" s="25" t="s">
        <v>1843</v>
      </c>
      <c r="B684" s="26" t="s">
        <v>126</v>
      </c>
      <c r="C684" s="25" t="str">
        <f t="shared" si="10"/>
        <v>fdl</v>
      </c>
      <c r="D684" s="27" t="s">
        <v>13</v>
      </c>
      <c r="E684" s="25" t="s">
        <v>1845</v>
      </c>
      <c r="F684" s="25" t="s">
        <v>1844</v>
      </c>
      <c r="G684" s="25">
        <v>500</v>
      </c>
      <c r="H684" s="25"/>
    </row>
    <row r="685" spans="1:8" ht="14">
      <c r="A685" s="25" t="s">
        <v>1846</v>
      </c>
      <c r="B685" s="26" t="s">
        <v>126</v>
      </c>
      <c r="C685" s="25" t="str">
        <f t="shared" si="10"/>
        <v>ga</v>
      </c>
      <c r="D685" s="27" t="s">
        <v>13</v>
      </c>
      <c r="E685" s="25" t="s">
        <v>1848</v>
      </c>
      <c r="F685" s="25" t="s">
        <v>1847</v>
      </c>
      <c r="G685" s="25">
        <v>500</v>
      </c>
      <c r="H685" s="25"/>
    </row>
    <row r="686" spans="1:8" ht="14">
      <c r="A686" s="25" t="s">
        <v>1849</v>
      </c>
      <c r="B686" s="26" t="s">
        <v>126</v>
      </c>
      <c r="C686" s="25" t="str">
        <f t="shared" si="10"/>
        <v>gem</v>
      </c>
      <c r="D686" s="27" t="s">
        <v>13</v>
      </c>
      <c r="E686" s="25" t="s">
        <v>1851</v>
      </c>
      <c r="F686" s="25" t="s">
        <v>1850</v>
      </c>
      <c r="G686" s="25">
        <v>500</v>
      </c>
      <c r="H686" s="25"/>
    </row>
    <row r="687" spans="1:8" ht="14">
      <c r="A687" s="25" t="s">
        <v>1852</v>
      </c>
      <c r="B687" s="26" t="s">
        <v>126</v>
      </c>
      <c r="C687" s="25" t="str">
        <f t="shared" si="10"/>
        <v>gm</v>
      </c>
      <c r="D687" s="27" t="s">
        <v>13</v>
      </c>
      <c r="E687" s="25" t="s">
        <v>1854</v>
      </c>
      <c r="F687" s="25" t="s">
        <v>1853</v>
      </c>
      <c r="G687" s="25">
        <v>500</v>
      </c>
      <c r="H687" s="25"/>
    </row>
    <row r="688" spans="1:8" ht="14">
      <c r="A688" s="25" t="s">
        <v>1855</v>
      </c>
      <c r="B688" s="26" t="s">
        <v>126</v>
      </c>
      <c r="C688" s="25" t="str">
        <f t="shared" si="10"/>
        <v>gm_dr</v>
      </c>
      <c r="D688" s="27" t="s">
        <v>13</v>
      </c>
      <c r="E688" s="25" t="s">
        <v>1857</v>
      </c>
      <c r="F688" s="25" t="s">
        <v>1856</v>
      </c>
      <c r="G688" s="25">
        <v>500</v>
      </c>
      <c r="H688" s="25"/>
    </row>
    <row r="689" spans="1:8" ht="14">
      <c r="A689" s="25" t="s">
        <v>1858</v>
      </c>
      <c r="B689" s="26" t="s">
        <v>126</v>
      </c>
      <c r="C689" s="25" t="str">
        <f t="shared" si="10"/>
        <v>gm_mi</v>
      </c>
      <c r="D689" s="27" t="s">
        <v>13</v>
      </c>
      <c r="E689" s="25" t="s">
        <v>1860</v>
      </c>
      <c r="F689" s="25" t="s">
        <v>1859</v>
      </c>
      <c r="G689" s="25">
        <v>500</v>
      </c>
      <c r="H689" s="25"/>
    </row>
    <row r="690" spans="1:8" ht="14">
      <c r="A690" s="25" t="s">
        <v>1861</v>
      </c>
      <c r="B690" s="26" t="s">
        <v>126</v>
      </c>
      <c r="C690" s="25" t="str">
        <f t="shared" si="10"/>
        <v>gm_ve</v>
      </c>
      <c r="D690" s="27" t="s">
        <v>13</v>
      </c>
      <c r="E690" s="25" t="s">
        <v>1863</v>
      </c>
      <c r="F690" s="25" t="s">
        <v>1862</v>
      </c>
      <c r="G690" s="25">
        <v>500</v>
      </c>
      <c r="H690" s="25"/>
    </row>
    <row r="691" spans="1:8" ht="14">
      <c r="A691" s="25" t="s">
        <v>1864</v>
      </c>
      <c r="B691" s="26" t="s">
        <v>126</v>
      </c>
      <c r="C691" s="25" t="str">
        <f t="shared" ref="C691:C754" si="11">A691</f>
        <v>gp</v>
      </c>
      <c r="D691" s="27" t="s">
        <v>13</v>
      </c>
      <c r="E691" s="25" t="s">
        <v>1866</v>
      </c>
      <c r="F691" s="25" t="s">
        <v>1865</v>
      </c>
      <c r="G691" s="25">
        <v>500</v>
      </c>
      <c r="H691" s="25"/>
    </row>
    <row r="692" spans="1:8" ht="14">
      <c r="A692" s="25" t="s">
        <v>1867</v>
      </c>
      <c r="B692" s="26" t="s">
        <v>126</v>
      </c>
      <c r="C692" s="25" t="str">
        <f t="shared" si="11"/>
        <v>ili</v>
      </c>
      <c r="D692" s="27" t="s">
        <v>13</v>
      </c>
      <c r="E692" s="25" t="s">
        <v>1869</v>
      </c>
      <c r="F692" s="25" t="s">
        <v>1868</v>
      </c>
      <c r="G692" s="25">
        <v>500</v>
      </c>
      <c r="H692" s="25"/>
    </row>
    <row r="693" spans="1:8" ht="14">
      <c r="A693" s="25" t="s">
        <v>1870</v>
      </c>
      <c r="B693" s="26" t="s">
        <v>126</v>
      </c>
      <c r="C693" s="25" t="str">
        <f t="shared" si="11"/>
        <v>lg</v>
      </c>
      <c r="D693" s="27" t="s">
        <v>13</v>
      </c>
      <c r="E693" s="25" t="s">
        <v>1872</v>
      </c>
      <c r="F693" s="25" t="s">
        <v>1871</v>
      </c>
      <c r="G693" s="25">
        <v>500</v>
      </c>
      <c r="H693" s="25"/>
    </row>
    <row r="694" spans="1:8" ht="14">
      <c r="A694" s="25" t="s">
        <v>1873</v>
      </c>
      <c r="B694" s="26" t="s">
        <v>126</v>
      </c>
      <c r="C694" s="25" t="str">
        <f t="shared" si="11"/>
        <v>mg</v>
      </c>
      <c r="D694" s="27" t="s">
        <v>13</v>
      </c>
      <c r="E694" s="25" t="s">
        <v>1875</v>
      </c>
      <c r="F694" s="25" t="s">
        <v>1874</v>
      </c>
      <c r="G694" s="25">
        <v>500</v>
      </c>
      <c r="H694" s="25"/>
    </row>
    <row r="695" spans="1:8" ht="14">
      <c r="A695" s="25" t="s">
        <v>1876</v>
      </c>
      <c r="B695" s="26" t="s">
        <v>126</v>
      </c>
      <c r="C695" s="25" t="str">
        <f t="shared" si="11"/>
        <v>oe</v>
      </c>
      <c r="D695" s="27" t="s">
        <v>13</v>
      </c>
      <c r="E695" s="25" t="s">
        <v>1878</v>
      </c>
      <c r="F695" s="25" t="s">
        <v>1877</v>
      </c>
      <c r="G695" s="25">
        <v>500</v>
      </c>
      <c r="H695" s="25"/>
    </row>
    <row r="696" spans="1:8" ht="14">
      <c r="A696" s="25" t="s">
        <v>1879</v>
      </c>
      <c r="B696" s="26" t="s">
        <v>126</v>
      </c>
      <c r="C696" s="25" t="str">
        <f t="shared" si="11"/>
        <v>oi</v>
      </c>
      <c r="D696" s="27" t="s">
        <v>13</v>
      </c>
      <c r="E696" s="25" t="s">
        <v>1881</v>
      </c>
      <c r="F696" s="25" t="s">
        <v>1880</v>
      </c>
      <c r="G696" s="25">
        <v>500</v>
      </c>
      <c r="H696" s="25"/>
    </row>
    <row r="697" spans="1:8" ht="14">
      <c r="A697" s="25" t="s">
        <v>1882</v>
      </c>
      <c r="B697" s="26" t="s">
        <v>126</v>
      </c>
      <c r="C697" s="25" t="str">
        <f t="shared" si="11"/>
        <v>pb</v>
      </c>
      <c r="D697" s="27" t="s">
        <v>13</v>
      </c>
      <c r="E697" s="25" t="s">
        <v>1884</v>
      </c>
      <c r="F697" s="25" t="s">
        <v>1883</v>
      </c>
      <c r="G697" s="25">
        <v>500</v>
      </c>
      <c r="H697" s="25"/>
    </row>
    <row r="698" spans="1:8" ht="14">
      <c r="A698" s="25" t="s">
        <v>1885</v>
      </c>
      <c r="B698" s="26" t="s">
        <v>126</v>
      </c>
      <c r="C698" s="25" t="str">
        <f t="shared" si="11"/>
        <v>pdqa</v>
      </c>
      <c r="D698" s="27" t="s">
        <v>13</v>
      </c>
      <c r="E698" s="25" t="s">
        <v>1887</v>
      </c>
      <c r="F698" s="25" t="s">
        <v>1886</v>
      </c>
      <c r="G698" s="25">
        <v>500</v>
      </c>
      <c r="H698" s="25"/>
    </row>
    <row r="699" spans="1:8" ht="14">
      <c r="A699" s="25" t="s">
        <v>1888</v>
      </c>
      <c r="B699" s="26" t="s">
        <v>126</v>
      </c>
      <c r="C699" s="25" t="str">
        <f t="shared" si="11"/>
        <v>pdqi</v>
      </c>
      <c r="D699" s="27" t="s">
        <v>13</v>
      </c>
      <c r="E699" s="25" t="s">
        <v>1890</v>
      </c>
      <c r="F699" s="25" t="s">
        <v>1889</v>
      </c>
      <c r="G699" s="25">
        <v>500</v>
      </c>
      <c r="H699" s="25"/>
    </row>
    <row r="700" spans="1:8" ht="14">
      <c r="A700" s="25" t="s">
        <v>1891</v>
      </c>
      <c r="B700" s="26" t="s">
        <v>126</v>
      </c>
      <c r="C700" s="25" t="str">
        <f t="shared" si="11"/>
        <v>pect</v>
      </c>
      <c r="D700" s="27" t="s">
        <v>13</v>
      </c>
      <c r="E700" s="25" t="s">
        <v>1893</v>
      </c>
      <c r="F700" s="25" t="s">
        <v>1892</v>
      </c>
      <c r="G700" s="25">
        <v>500</v>
      </c>
      <c r="H700" s="25"/>
    </row>
    <row r="701" spans="1:8" ht="14">
      <c r="A701" s="25" t="s">
        <v>1894</v>
      </c>
      <c r="B701" s="26" t="s">
        <v>126</v>
      </c>
      <c r="C701" s="25" t="str">
        <f t="shared" si="11"/>
        <v>pl</v>
      </c>
      <c r="D701" s="27" t="s">
        <v>13</v>
      </c>
      <c r="E701" s="25" t="s">
        <v>1896</v>
      </c>
      <c r="F701" s="25" t="s">
        <v>1895</v>
      </c>
      <c r="G701" s="25">
        <v>500</v>
      </c>
      <c r="H701" s="25"/>
    </row>
    <row r="702" spans="1:8" ht="14">
      <c r="A702" s="25" t="s">
        <v>1897</v>
      </c>
      <c r="B702" s="26" t="s">
        <v>126</v>
      </c>
      <c r="C702" s="25" t="str">
        <f t="shared" si="11"/>
        <v>plant</v>
      </c>
      <c r="D702" s="27" t="s">
        <v>13</v>
      </c>
      <c r="E702" s="25" t="s">
        <v>1899</v>
      </c>
      <c r="F702" s="25" t="s">
        <v>1898</v>
      </c>
      <c r="G702" s="25">
        <v>500</v>
      </c>
      <c r="H702" s="25"/>
    </row>
    <row r="703" spans="1:8" ht="14">
      <c r="A703" s="25" t="s">
        <v>1900</v>
      </c>
      <c r="B703" s="26" t="s">
        <v>126</v>
      </c>
      <c r="C703" s="25" t="str">
        <f t="shared" si="11"/>
        <v>plo</v>
      </c>
      <c r="D703" s="27" t="s">
        <v>13</v>
      </c>
      <c r="E703" s="25" t="s">
        <v>1902</v>
      </c>
      <c r="F703" s="25" t="s">
        <v>1901</v>
      </c>
      <c r="G703" s="25">
        <v>500</v>
      </c>
      <c r="H703" s="25"/>
    </row>
    <row r="704" spans="1:8" ht="14">
      <c r="A704" s="25" t="s">
        <v>1903</v>
      </c>
      <c r="B704" s="26" t="s">
        <v>126</v>
      </c>
      <c r="C704" s="25" t="str">
        <f t="shared" si="11"/>
        <v>pma</v>
      </c>
      <c r="D704" s="27" t="s">
        <v>13</v>
      </c>
      <c r="E704" s="25" t="s">
        <v>1905</v>
      </c>
      <c r="F704" s="25" t="s">
        <v>1904</v>
      </c>
      <c r="G704" s="25">
        <v>500</v>
      </c>
      <c r="H704" s="25"/>
    </row>
    <row r="705" spans="1:8" ht="14">
      <c r="A705" s="25" t="s">
        <v>1906</v>
      </c>
      <c r="B705" s="26" t="s">
        <v>126</v>
      </c>
      <c r="C705" s="25" t="str">
        <f t="shared" si="11"/>
        <v>pmi</v>
      </c>
      <c r="D705" s="27" t="s">
        <v>13</v>
      </c>
      <c r="E705" s="25" t="s">
        <v>1908</v>
      </c>
      <c r="F705" s="25" t="s">
        <v>1907</v>
      </c>
      <c r="G705" s="25">
        <v>500</v>
      </c>
      <c r="H705" s="25"/>
    </row>
    <row r="706" spans="1:8" ht="14">
      <c r="A706" s="25" t="s">
        <v>1909</v>
      </c>
      <c r="B706" s="26" t="s">
        <v>126</v>
      </c>
      <c r="C706" s="25" t="str">
        <f t="shared" si="11"/>
        <v>pop</v>
      </c>
      <c r="D706" s="27" t="s">
        <v>13</v>
      </c>
      <c r="E706" s="25" t="s">
        <v>1911</v>
      </c>
      <c r="F706" s="25" t="s">
        <v>1910</v>
      </c>
      <c r="G706" s="25">
        <v>500</v>
      </c>
      <c r="H706" s="25"/>
    </row>
    <row r="707" spans="1:8" ht="14">
      <c r="A707" s="25" t="s">
        <v>1912</v>
      </c>
      <c r="B707" s="26" t="s">
        <v>126</v>
      </c>
      <c r="C707" s="25" t="str">
        <f t="shared" si="11"/>
        <v>pt</v>
      </c>
      <c r="D707" s="27" t="s">
        <v>13</v>
      </c>
      <c r="E707" s="25" t="s">
        <v>1914</v>
      </c>
      <c r="F707" s="25" t="s">
        <v>1913</v>
      </c>
      <c r="G707" s="25">
        <v>500</v>
      </c>
      <c r="H707" s="25"/>
    </row>
    <row r="708" spans="1:8" ht="14">
      <c r="A708" s="25" t="s">
        <v>1915</v>
      </c>
      <c r="B708" s="26" t="s">
        <v>126</v>
      </c>
      <c r="C708" s="25" t="str">
        <f t="shared" si="11"/>
        <v>pte</v>
      </c>
      <c r="D708" s="27" t="s">
        <v>13</v>
      </c>
      <c r="E708" s="25" t="s">
        <v>1917</v>
      </c>
      <c r="F708" s="25" t="s">
        <v>1916</v>
      </c>
      <c r="G708" s="25">
        <v>500</v>
      </c>
      <c r="H708" s="25"/>
    </row>
    <row r="709" spans="1:8" ht="14">
      <c r="A709" s="25" t="s">
        <v>1918</v>
      </c>
      <c r="B709" s="26" t="s">
        <v>126</v>
      </c>
      <c r="C709" s="25" t="str">
        <f t="shared" si="11"/>
        <v>qf</v>
      </c>
      <c r="D709" s="27" t="s">
        <v>13</v>
      </c>
      <c r="E709" s="25" t="s">
        <v>1920</v>
      </c>
      <c r="F709" s="25" t="s">
        <v>1919</v>
      </c>
      <c r="G709" s="25">
        <v>500</v>
      </c>
      <c r="H709" s="25"/>
    </row>
    <row r="710" spans="1:8" ht="14">
      <c r="A710" s="25" t="s">
        <v>1921</v>
      </c>
      <c r="B710" s="26" t="s">
        <v>126</v>
      </c>
      <c r="C710" s="25" t="str">
        <f t="shared" si="11"/>
        <v>rf</v>
      </c>
      <c r="D710" s="27" t="s">
        <v>13</v>
      </c>
      <c r="E710" s="25" t="s">
        <v>1923</v>
      </c>
      <c r="F710" s="25" t="s">
        <v>1922</v>
      </c>
      <c r="G710" s="25">
        <v>500</v>
      </c>
      <c r="H710" s="25"/>
    </row>
    <row r="711" spans="1:8" ht="14">
      <c r="A711" s="25" t="s">
        <v>1924</v>
      </c>
      <c r="B711" s="26" t="s">
        <v>126</v>
      </c>
      <c r="C711" s="25" t="str">
        <f t="shared" si="11"/>
        <v>sm</v>
      </c>
      <c r="D711" s="27" t="s">
        <v>13</v>
      </c>
      <c r="E711" s="25" t="s">
        <v>1926</v>
      </c>
      <c r="F711" s="25" t="s">
        <v>1925</v>
      </c>
      <c r="G711" s="25">
        <v>500</v>
      </c>
      <c r="H711" s="25"/>
    </row>
    <row r="712" spans="1:8" ht="14">
      <c r="A712" s="25" t="s">
        <v>1927</v>
      </c>
      <c r="B712" s="26" t="s">
        <v>126</v>
      </c>
      <c r="C712" s="25" t="str">
        <f t="shared" si="11"/>
        <v>sol</v>
      </c>
      <c r="D712" s="27" t="s">
        <v>13</v>
      </c>
      <c r="E712" s="25" t="s">
        <v>1929</v>
      </c>
      <c r="F712" s="25" t="s">
        <v>1928</v>
      </c>
      <c r="G712" s="25">
        <v>500</v>
      </c>
      <c r="H712" s="25"/>
    </row>
    <row r="713" spans="1:8" ht="14">
      <c r="A713" s="25" t="s">
        <v>1930</v>
      </c>
      <c r="B713" s="26" t="s">
        <v>126</v>
      </c>
      <c r="C713" s="25" t="str">
        <f t="shared" si="11"/>
        <v>st</v>
      </c>
      <c r="D713" s="27" t="s">
        <v>13</v>
      </c>
      <c r="E713" s="25" t="s">
        <v>1932</v>
      </c>
      <c r="F713" s="25" t="s">
        <v>1931</v>
      </c>
      <c r="G713" s="25">
        <v>500</v>
      </c>
      <c r="H713" s="25"/>
    </row>
    <row r="714" spans="1:8" ht="14">
      <c r="A714" s="25" t="s">
        <v>1933</v>
      </c>
      <c r="B714" s="26" t="s">
        <v>126</v>
      </c>
      <c r="C714" s="25" t="str">
        <f t="shared" si="11"/>
        <v>ta</v>
      </c>
      <c r="D714" s="27" t="s">
        <v>13</v>
      </c>
      <c r="E714" s="25" t="s">
        <v>1935</v>
      </c>
      <c r="F714" s="25" t="s">
        <v>1934</v>
      </c>
      <c r="G714" s="25">
        <v>500</v>
      </c>
      <c r="H714" s="25"/>
    </row>
    <row r="715" spans="1:8" ht="14">
      <c r="A715" s="25" t="s">
        <v>1936</v>
      </c>
      <c r="B715" s="26" t="s">
        <v>126</v>
      </c>
      <c r="C715" s="25" t="str">
        <f t="shared" si="11"/>
        <v>tbl</v>
      </c>
      <c r="D715" s="27" t="s">
        <v>13</v>
      </c>
      <c r="E715" s="25" t="s">
        <v>1938</v>
      </c>
      <c r="F715" s="25" t="s">
        <v>1937</v>
      </c>
      <c r="G715" s="25">
        <v>500</v>
      </c>
      <c r="H715" s="25"/>
    </row>
    <row r="716" spans="1:8" ht="14">
      <c r="A716" s="25" t="s">
        <v>1939</v>
      </c>
      <c r="B716" s="26" t="s">
        <v>126</v>
      </c>
      <c r="C716" s="25" t="str">
        <f t="shared" si="11"/>
        <v>tbm</v>
      </c>
      <c r="D716" s="27" t="s">
        <v>13</v>
      </c>
      <c r="E716" s="25" t="s">
        <v>1941</v>
      </c>
      <c r="F716" s="25" t="s">
        <v>1940</v>
      </c>
      <c r="G716" s="25">
        <v>500</v>
      </c>
      <c r="H716" s="25"/>
    </row>
    <row r="717" spans="1:8" ht="14">
      <c r="A717" s="25" t="s">
        <v>1942</v>
      </c>
      <c r="B717" s="26" t="s">
        <v>126</v>
      </c>
      <c r="C717" s="25" t="str">
        <f t="shared" si="11"/>
        <v>tbo</v>
      </c>
      <c r="D717" s="27" t="s">
        <v>13</v>
      </c>
      <c r="E717" s="25" t="s">
        <v>1944</v>
      </c>
      <c r="F717" s="25" t="s">
        <v>1943</v>
      </c>
      <c r="G717" s="25">
        <v>500</v>
      </c>
      <c r="H717" s="25"/>
    </row>
    <row r="718" spans="1:8" ht="14">
      <c r="A718" s="25" t="s">
        <v>1945</v>
      </c>
      <c r="B718" s="26" t="s">
        <v>126</v>
      </c>
      <c r="C718" s="25" t="str">
        <f t="shared" si="11"/>
        <v>tp</v>
      </c>
      <c r="D718" s="27" t="s">
        <v>13</v>
      </c>
      <c r="E718" s="25" t="s">
        <v>1947</v>
      </c>
      <c r="F718" s="25" t="s">
        <v>1946</v>
      </c>
      <c r="G718" s="25">
        <v>500</v>
      </c>
      <c r="H718" s="25"/>
    </row>
    <row r="719" spans="1:8" ht="14">
      <c r="A719" s="25" t="s">
        <v>1948</v>
      </c>
      <c r="B719" s="26" t="s">
        <v>126</v>
      </c>
      <c r="C719" s="25" t="str">
        <f t="shared" si="11"/>
        <v>vi</v>
      </c>
      <c r="D719" s="27" t="s">
        <v>13</v>
      </c>
      <c r="E719" s="25" t="s">
        <v>1950</v>
      </c>
      <c r="F719" s="25" t="s">
        <v>1949</v>
      </c>
      <c r="G719" s="25">
        <v>500</v>
      </c>
      <c r="H719" s="25"/>
    </row>
    <row r="720" spans="1:8" ht="14">
      <c r="A720" s="25" t="s">
        <v>1951</v>
      </c>
      <c r="B720" s="26" t="s">
        <v>126</v>
      </c>
      <c r="C720" s="25" t="str">
        <f t="shared" si="11"/>
        <v>vl</v>
      </c>
      <c r="D720" s="27" t="s">
        <v>13</v>
      </c>
      <c r="E720" s="25" t="s">
        <v>1953</v>
      </c>
      <c r="F720" s="25" t="s">
        <v>1952</v>
      </c>
      <c r="G720" s="25">
        <v>500</v>
      </c>
      <c r="H720" s="25"/>
    </row>
    <row r="721" spans="1:8" ht="14">
      <c r="A721" s="25" t="s">
        <v>1954</v>
      </c>
      <c r="B721" s="26" t="s">
        <v>126</v>
      </c>
      <c r="C721" s="25" t="str">
        <f t="shared" si="11"/>
        <v>vm</v>
      </c>
      <c r="D721" s="27" t="s">
        <v>13</v>
      </c>
      <c r="E721" s="25" t="s">
        <v>1956</v>
      </c>
      <c r="F721" s="25" t="s">
        <v>1955</v>
      </c>
      <c r="G721" s="25">
        <v>500</v>
      </c>
      <c r="H721" s="25"/>
    </row>
    <row r="722" spans="1:8" ht="14">
      <c r="A722" s="25" t="s">
        <v>2678</v>
      </c>
      <c r="B722" s="26" t="s">
        <v>126</v>
      </c>
      <c r="C722" s="25" t="str">
        <f t="shared" si="11"/>
        <v>quad</v>
      </c>
      <c r="D722" s="27" t="s">
        <v>13</v>
      </c>
      <c r="E722" s="25" t="s">
        <v>2680</v>
      </c>
      <c r="F722" s="25" t="s">
        <v>2679</v>
      </c>
      <c r="G722" s="25">
        <v>500</v>
      </c>
      <c r="H722" s="25"/>
    </row>
    <row r="723" spans="1:8" ht="14">
      <c r="A723" s="25" t="s">
        <v>1957</v>
      </c>
      <c r="B723" s="26" t="s">
        <v>129</v>
      </c>
      <c r="C723" s="25" t="str">
        <f t="shared" si="11"/>
        <v>zirconium</v>
      </c>
      <c r="D723" s="27" t="s">
        <v>13</v>
      </c>
      <c r="E723" s="25" t="s">
        <v>1958</v>
      </c>
      <c r="F723" s="25" t="s">
        <v>1959</v>
      </c>
      <c r="G723" s="25">
        <v>500</v>
      </c>
      <c r="H723" s="25"/>
    </row>
    <row r="724" spans="1:8" ht="14">
      <c r="A724" s="25" t="s">
        <v>1960</v>
      </c>
      <c r="B724" s="26" t="s">
        <v>130</v>
      </c>
      <c r="C724" s="25" t="str">
        <f t="shared" si="11"/>
        <v>bgpage</v>
      </c>
      <c r="D724" s="27" t="s">
        <v>13</v>
      </c>
      <c r="E724" s="25" t="s">
        <v>1961</v>
      </c>
      <c r="F724" s="25" t="s">
        <v>1962</v>
      </c>
      <c r="G724" s="25">
        <v>500</v>
      </c>
      <c r="H724" s="25"/>
    </row>
    <row r="725" spans="1:8" ht="14">
      <c r="A725" s="25" t="s">
        <v>1963</v>
      </c>
      <c r="B725" s="26" t="s">
        <v>130</v>
      </c>
      <c r="C725" s="25" t="str">
        <f t="shared" si="11"/>
        <v>highph_hplc</v>
      </c>
      <c r="D725" s="27" t="s">
        <v>13</v>
      </c>
      <c r="E725" s="25" t="s">
        <v>1964</v>
      </c>
      <c r="F725" s="25" t="s">
        <v>1965</v>
      </c>
      <c r="G725" s="25">
        <v>500</v>
      </c>
      <c r="H725" s="25"/>
    </row>
    <row r="726" spans="1:8" ht="14">
      <c r="A726" s="25" t="s">
        <v>1966</v>
      </c>
      <c r="B726" s="26" t="s">
        <v>130</v>
      </c>
      <c r="C726" s="25" t="str">
        <f t="shared" si="11"/>
        <v>highph_tip</v>
      </c>
      <c r="D726" s="27" t="s">
        <v>13</v>
      </c>
      <c r="E726" s="25" t="s">
        <v>1967</v>
      </c>
      <c r="F726" s="25" t="s">
        <v>1968</v>
      </c>
      <c r="G726" s="25">
        <v>500</v>
      </c>
      <c r="H726" s="25"/>
    </row>
    <row r="727" spans="1:8" ht="14">
      <c r="A727" s="25" t="s">
        <v>1969</v>
      </c>
      <c r="B727" s="26" t="s">
        <v>130</v>
      </c>
      <c r="C727" s="25" t="str">
        <f t="shared" si="11"/>
        <v>sax</v>
      </c>
      <c r="D727" s="27" t="s">
        <v>13</v>
      </c>
      <c r="E727" s="25" t="s">
        <v>1970</v>
      </c>
      <c r="F727" s="25" t="s">
        <v>1971</v>
      </c>
      <c r="G727" s="25">
        <v>500</v>
      </c>
      <c r="H727" s="25"/>
    </row>
    <row r="728" spans="1:8" ht="14">
      <c r="A728" s="25" t="s">
        <v>1972</v>
      </c>
      <c r="B728" s="26" t="s">
        <v>130</v>
      </c>
      <c r="C728" s="25" t="str">
        <f t="shared" si="11"/>
        <v>scx</v>
      </c>
      <c r="D728" s="27" t="s">
        <v>13</v>
      </c>
      <c r="E728" s="25" t="s">
        <v>1973</v>
      </c>
      <c r="F728" s="25" t="s">
        <v>1974</v>
      </c>
      <c r="G728" s="25">
        <v>500</v>
      </c>
      <c r="H728" s="25"/>
    </row>
    <row r="729" spans="1:8" ht="14">
      <c r="A729" s="25" t="s">
        <v>1975</v>
      </c>
      <c r="B729" s="26" t="s">
        <v>130</v>
      </c>
      <c r="C729" s="25" t="str">
        <f t="shared" si="11"/>
        <v>sdspage</v>
      </c>
      <c r="D729" s="27" t="s">
        <v>13</v>
      </c>
      <c r="E729" s="25" t="s">
        <v>1976</v>
      </c>
      <c r="F729" s="25" t="s">
        <v>1977</v>
      </c>
      <c r="G729" s="25">
        <v>500</v>
      </c>
      <c r="H729" s="25"/>
    </row>
    <row r="730" spans="1:8" ht="14">
      <c r="A730" s="25" t="s">
        <v>1978</v>
      </c>
      <c r="B730" s="26" t="s">
        <v>136</v>
      </c>
      <c r="C730" s="25" t="str">
        <f t="shared" si="11"/>
        <v>proteomics</v>
      </c>
      <c r="D730" s="27" t="s">
        <v>13</v>
      </c>
      <c r="E730" s="25" t="s">
        <v>1979</v>
      </c>
      <c r="F730" s="25" t="s">
        <v>1980</v>
      </c>
      <c r="G730" s="25">
        <v>500</v>
      </c>
      <c r="H730" s="25"/>
    </row>
    <row r="731" spans="1:8" ht="14">
      <c r="A731" s="25" t="s">
        <v>1981</v>
      </c>
      <c r="B731" s="26" t="s">
        <v>127</v>
      </c>
      <c r="C731" s="25" t="str">
        <f t="shared" si="11"/>
        <v>appendix</v>
      </c>
      <c r="D731" s="25" t="s">
        <v>1981</v>
      </c>
      <c r="E731" s="25" t="s">
        <v>1982</v>
      </c>
      <c r="F731" s="25" t="s">
        <v>1982</v>
      </c>
      <c r="G731" s="25">
        <v>500</v>
      </c>
      <c r="H731" s="25"/>
    </row>
    <row r="732" spans="1:8" ht="14">
      <c r="A732" s="25" t="s">
        <v>1983</v>
      </c>
      <c r="B732" s="26" t="s">
        <v>127</v>
      </c>
      <c r="C732" s="25" t="str">
        <f t="shared" si="11"/>
        <v>arteries</v>
      </c>
      <c r="D732" s="25" t="s">
        <v>1983</v>
      </c>
      <c r="E732" s="25" t="s">
        <v>1984</v>
      </c>
      <c r="F732" s="25" t="s">
        <v>1984</v>
      </c>
      <c r="G732" s="25">
        <v>500</v>
      </c>
      <c r="H732" s="25"/>
    </row>
    <row r="733" spans="1:8" ht="14">
      <c r="A733" s="25" t="s">
        <v>1985</v>
      </c>
      <c r="B733" s="26" t="s">
        <v>127</v>
      </c>
      <c r="C733" s="25" t="str">
        <f t="shared" si="11"/>
        <v>bladder</v>
      </c>
      <c r="D733" s="25" t="s">
        <v>1985</v>
      </c>
      <c r="E733" s="25" t="s">
        <v>1986</v>
      </c>
      <c r="F733" s="25" t="s">
        <v>1986</v>
      </c>
      <c r="G733" s="25">
        <v>500</v>
      </c>
      <c r="H733" s="25"/>
    </row>
    <row r="734" spans="1:8" ht="14">
      <c r="A734" s="25" t="s">
        <v>1987</v>
      </c>
      <c r="B734" s="26" t="s">
        <v>127</v>
      </c>
      <c r="C734" s="25" t="str">
        <f t="shared" si="11"/>
        <v>bone_marrow</v>
      </c>
      <c r="D734" s="25" t="s">
        <v>1987</v>
      </c>
      <c r="E734" s="25" t="s">
        <v>1988</v>
      </c>
      <c r="F734" s="25" t="s">
        <v>1988</v>
      </c>
      <c r="G734" s="25">
        <v>500</v>
      </c>
      <c r="H734" s="25"/>
    </row>
    <row r="735" spans="1:8" ht="14">
      <c r="A735" s="25" t="s">
        <v>1989</v>
      </c>
      <c r="B735" s="26" t="s">
        <v>127</v>
      </c>
      <c r="C735" s="25" t="str">
        <f t="shared" si="11"/>
        <v>brain</v>
      </c>
      <c r="D735" s="25" t="s">
        <v>1989</v>
      </c>
      <c r="E735" s="25" t="s">
        <v>1990</v>
      </c>
      <c r="F735" s="25" t="s">
        <v>1990</v>
      </c>
      <c r="G735" s="25">
        <v>500</v>
      </c>
      <c r="H735" s="25"/>
    </row>
    <row r="736" spans="1:8" ht="14">
      <c r="A736" s="25" t="s">
        <v>1991</v>
      </c>
      <c r="B736" s="26" t="s">
        <v>127</v>
      </c>
      <c r="C736" s="25" t="str">
        <f t="shared" si="11"/>
        <v>bronchi</v>
      </c>
      <c r="D736" s="25" t="s">
        <v>1991</v>
      </c>
      <c r="E736" s="25" t="s">
        <v>1992</v>
      </c>
      <c r="F736" s="25" t="s">
        <v>1992</v>
      </c>
      <c r="G736" s="25">
        <v>500</v>
      </c>
      <c r="H736" s="25"/>
    </row>
    <row r="737" spans="1:8" ht="14">
      <c r="A737" s="25" t="s">
        <v>1993</v>
      </c>
      <c r="B737" s="26" t="s">
        <v>127</v>
      </c>
      <c r="C737" s="25" t="str">
        <f t="shared" si="11"/>
        <v>cecum</v>
      </c>
      <c r="D737" s="25" t="s">
        <v>1993</v>
      </c>
      <c r="E737" s="25" t="s">
        <v>1994</v>
      </c>
      <c r="F737" s="25" t="s">
        <v>1994</v>
      </c>
      <c r="G737" s="25">
        <v>500</v>
      </c>
      <c r="H737" s="25"/>
    </row>
    <row r="738" spans="1:8" ht="14">
      <c r="A738" s="25" t="s">
        <v>1995</v>
      </c>
      <c r="B738" s="26" t="s">
        <v>127</v>
      </c>
      <c r="C738" s="25" t="str">
        <f t="shared" si="11"/>
        <v>cerebellum</v>
      </c>
      <c r="D738" s="25" t="s">
        <v>1995</v>
      </c>
      <c r="E738" s="25" t="s">
        <v>1996</v>
      </c>
      <c r="F738" s="25" t="s">
        <v>1996</v>
      </c>
      <c r="G738" s="25">
        <v>500</v>
      </c>
      <c r="H738" s="25"/>
    </row>
    <row r="739" spans="1:8" ht="14">
      <c r="A739" s="25" t="s">
        <v>1997</v>
      </c>
      <c r="B739" s="26" t="s">
        <v>127</v>
      </c>
      <c r="C739" s="25" t="str">
        <f t="shared" si="11"/>
        <v>cerebrum</v>
      </c>
      <c r="D739" s="25" t="s">
        <v>1997</v>
      </c>
      <c r="E739" s="25" t="s">
        <v>1998</v>
      </c>
      <c r="F739" s="25" t="s">
        <v>1998</v>
      </c>
      <c r="G739" s="25">
        <v>500</v>
      </c>
      <c r="H739" s="25"/>
    </row>
    <row r="740" spans="1:8" ht="14">
      <c r="A740" s="25" t="s">
        <v>1999</v>
      </c>
      <c r="B740" s="26" t="s">
        <v>127</v>
      </c>
      <c r="C740" s="25" t="str">
        <f t="shared" si="11"/>
        <v>ear</v>
      </c>
      <c r="D740" s="25" t="s">
        <v>1999</v>
      </c>
      <c r="E740" s="25" t="s">
        <v>2000</v>
      </c>
      <c r="F740" s="25" t="s">
        <v>2000</v>
      </c>
      <c r="G740" s="25">
        <v>500</v>
      </c>
      <c r="H740" s="25"/>
    </row>
    <row r="741" spans="1:8" ht="14">
      <c r="A741" s="25" t="s">
        <v>2001</v>
      </c>
      <c r="B741" s="26" t="s">
        <v>127</v>
      </c>
      <c r="C741" s="25" t="str">
        <f t="shared" si="11"/>
        <v>esophagus</v>
      </c>
      <c r="D741" s="25" t="s">
        <v>2001</v>
      </c>
      <c r="E741" s="25" t="s">
        <v>2002</v>
      </c>
      <c r="F741" s="25" t="s">
        <v>2002</v>
      </c>
      <c r="G741" s="25">
        <v>500</v>
      </c>
      <c r="H741" s="25"/>
    </row>
    <row r="742" spans="1:8" ht="14">
      <c r="A742" s="25" t="s">
        <v>2003</v>
      </c>
      <c r="B742" s="26" t="s">
        <v>127</v>
      </c>
      <c r="C742" s="25" t="str">
        <f t="shared" si="11"/>
        <v>eye</v>
      </c>
      <c r="D742" s="25" t="s">
        <v>2003</v>
      </c>
      <c r="E742" s="25" t="s">
        <v>2004</v>
      </c>
      <c r="F742" s="25" t="s">
        <v>2004</v>
      </c>
      <c r="G742" s="25">
        <v>500</v>
      </c>
      <c r="H742" s="25"/>
    </row>
    <row r="743" spans="1:8" ht="14">
      <c r="A743" s="25" t="s">
        <v>2005</v>
      </c>
      <c r="B743" s="26" t="s">
        <v>127</v>
      </c>
      <c r="C743" s="25" t="str">
        <f t="shared" si="11"/>
        <v>gallbladder</v>
      </c>
      <c r="D743" s="25" t="s">
        <v>2005</v>
      </c>
      <c r="E743" s="25" t="s">
        <v>2006</v>
      </c>
      <c r="F743" s="25" t="s">
        <v>2006</v>
      </c>
      <c r="G743" s="25">
        <v>500</v>
      </c>
      <c r="H743" s="25"/>
    </row>
    <row r="744" spans="1:8" ht="14">
      <c r="A744" s="25" t="s">
        <v>2007</v>
      </c>
      <c r="B744" s="26" t="s">
        <v>127</v>
      </c>
      <c r="C744" s="25" t="str">
        <f t="shared" si="11"/>
        <v>ganglia</v>
      </c>
      <c r="D744" s="25" t="s">
        <v>2007</v>
      </c>
      <c r="E744" s="25" t="s">
        <v>2008</v>
      </c>
      <c r="F744" s="25" t="s">
        <v>2008</v>
      </c>
      <c r="G744" s="25">
        <v>500</v>
      </c>
      <c r="H744" s="25"/>
    </row>
    <row r="745" spans="1:8" ht="14">
      <c r="A745" s="25" t="s">
        <v>2009</v>
      </c>
      <c r="B745" s="26" t="s">
        <v>127</v>
      </c>
      <c r="C745" s="25" t="str">
        <f t="shared" si="11"/>
        <v>heart</v>
      </c>
      <c r="D745" s="25" t="s">
        <v>2009</v>
      </c>
      <c r="E745" s="25" t="s">
        <v>2010</v>
      </c>
      <c r="F745" s="25" t="s">
        <v>2010</v>
      </c>
      <c r="G745" s="25">
        <v>500</v>
      </c>
      <c r="H745" s="25"/>
    </row>
    <row r="746" spans="1:8" ht="14">
      <c r="A746" s="25" t="s">
        <v>2011</v>
      </c>
      <c r="B746" s="26" t="s">
        <v>127</v>
      </c>
      <c r="C746" s="25" t="str">
        <f t="shared" si="11"/>
        <v>hypothalamus</v>
      </c>
      <c r="D746" s="25" t="s">
        <v>2011</v>
      </c>
      <c r="E746" s="25" t="s">
        <v>2012</v>
      </c>
      <c r="F746" s="25" t="s">
        <v>2012</v>
      </c>
      <c r="G746" s="25">
        <v>500</v>
      </c>
      <c r="H746" s="25"/>
    </row>
    <row r="747" spans="1:8" ht="14">
      <c r="A747" s="25" t="s">
        <v>2013</v>
      </c>
      <c r="B747" s="26" t="s">
        <v>127</v>
      </c>
      <c r="C747" s="25" t="str">
        <f t="shared" si="11"/>
        <v>kidney</v>
      </c>
      <c r="D747" s="25" t="s">
        <v>2013</v>
      </c>
      <c r="E747" s="25" t="s">
        <v>2014</v>
      </c>
      <c r="F747" s="25" t="s">
        <v>2014</v>
      </c>
      <c r="G747" s="25">
        <v>500</v>
      </c>
      <c r="H747" s="25"/>
    </row>
    <row r="748" spans="1:8" ht="14">
      <c r="A748" s="25" t="s">
        <v>2015</v>
      </c>
      <c r="B748" s="26" t="s">
        <v>127</v>
      </c>
      <c r="C748" s="25" t="str">
        <f t="shared" si="11"/>
        <v>large_intestine</v>
      </c>
      <c r="D748" s="25" t="s">
        <v>2016</v>
      </c>
      <c r="E748" s="25" t="s">
        <v>2017</v>
      </c>
      <c r="F748" s="25" t="s">
        <v>2018</v>
      </c>
      <c r="G748" s="25">
        <v>500</v>
      </c>
      <c r="H748" s="25"/>
    </row>
    <row r="749" spans="1:8" ht="14">
      <c r="A749" s="25" t="s">
        <v>2019</v>
      </c>
      <c r="B749" s="26" t="s">
        <v>127</v>
      </c>
      <c r="C749" s="25" t="str">
        <f t="shared" si="11"/>
        <v>liver</v>
      </c>
      <c r="D749" s="25" t="s">
        <v>2019</v>
      </c>
      <c r="E749" s="25" t="s">
        <v>2020</v>
      </c>
      <c r="F749" s="25" t="s">
        <v>2020</v>
      </c>
      <c r="G749" s="25">
        <v>500</v>
      </c>
      <c r="H749" s="25"/>
    </row>
    <row r="750" spans="1:8" ht="14">
      <c r="A750" s="25" t="s">
        <v>2021</v>
      </c>
      <c r="B750" s="26" t="s">
        <v>127</v>
      </c>
      <c r="C750" s="25" t="str">
        <f t="shared" si="11"/>
        <v>lung</v>
      </c>
      <c r="D750" s="25" t="s">
        <v>2021</v>
      </c>
      <c r="E750" s="25" t="s">
        <v>2022</v>
      </c>
      <c r="F750" s="25" t="s">
        <v>2022</v>
      </c>
      <c r="G750" s="25">
        <v>500</v>
      </c>
      <c r="H750" s="25"/>
    </row>
    <row r="751" spans="1:8" ht="14">
      <c r="A751" s="25" t="s">
        <v>2023</v>
      </c>
      <c r="B751" s="26" t="s">
        <v>127</v>
      </c>
      <c r="C751" s="25" t="str">
        <f t="shared" si="11"/>
        <v>lymph_node</v>
      </c>
      <c r="D751" s="25" t="s">
        <v>1091</v>
      </c>
      <c r="E751" s="25" t="s">
        <v>2024</v>
      </c>
      <c r="F751" s="25" t="s">
        <v>2024</v>
      </c>
      <c r="G751" s="25">
        <v>500</v>
      </c>
      <c r="H751" s="25"/>
    </row>
    <row r="752" spans="1:8" ht="14">
      <c r="A752" s="25" t="s">
        <v>2025</v>
      </c>
      <c r="B752" s="26" t="s">
        <v>127</v>
      </c>
      <c r="C752" s="25" t="str">
        <f t="shared" si="11"/>
        <v>medulla</v>
      </c>
      <c r="D752" s="25" t="s">
        <v>2025</v>
      </c>
      <c r="E752" s="25" t="s">
        <v>2026</v>
      </c>
      <c r="F752" s="25" t="s">
        <v>2026</v>
      </c>
      <c r="G752" s="25">
        <v>500</v>
      </c>
      <c r="H752" s="25"/>
    </row>
    <row r="753" spans="1:8" ht="14">
      <c r="A753" s="25" t="s">
        <v>2027</v>
      </c>
      <c r="B753" s="26" t="s">
        <v>127</v>
      </c>
      <c r="C753" s="25" t="str">
        <f t="shared" si="11"/>
        <v>mesentery</v>
      </c>
      <c r="D753" s="25" t="s">
        <v>2027</v>
      </c>
      <c r="E753" s="25" t="s">
        <v>2028</v>
      </c>
      <c r="F753" s="25" t="s">
        <v>2028</v>
      </c>
      <c r="G753" s="25">
        <v>500</v>
      </c>
      <c r="H753" s="25"/>
    </row>
    <row r="754" spans="1:8" ht="14">
      <c r="A754" s="25" t="s">
        <v>2029</v>
      </c>
      <c r="B754" s="26" t="s">
        <v>127</v>
      </c>
      <c r="C754" s="25" t="str">
        <f t="shared" si="11"/>
        <v>midbrain</v>
      </c>
      <c r="D754" s="25" t="s">
        <v>2029</v>
      </c>
      <c r="E754" s="25" t="s">
        <v>2030</v>
      </c>
      <c r="F754" s="25" t="s">
        <v>2030</v>
      </c>
      <c r="G754" s="25">
        <v>500</v>
      </c>
      <c r="H754" s="25"/>
    </row>
    <row r="755" spans="1:8" ht="14">
      <c r="A755" s="25" t="s">
        <v>2031</v>
      </c>
      <c r="B755" s="26" t="s">
        <v>127</v>
      </c>
      <c r="C755" s="25" t="str">
        <f t="shared" ref="C755:C821" si="12">A755</f>
        <v>ovaries</v>
      </c>
      <c r="D755" s="25" t="s">
        <v>2031</v>
      </c>
      <c r="E755" s="25" t="s">
        <v>2032</v>
      </c>
      <c r="F755" s="25" t="s">
        <v>2032</v>
      </c>
      <c r="G755" s="25">
        <v>500</v>
      </c>
      <c r="H755" s="25"/>
    </row>
    <row r="756" spans="1:8" ht="14">
      <c r="A756" s="25" t="s">
        <v>2033</v>
      </c>
      <c r="B756" s="26" t="s">
        <v>127</v>
      </c>
      <c r="C756" s="25" t="str">
        <f t="shared" si="12"/>
        <v>pancreas</v>
      </c>
      <c r="D756" s="25" t="s">
        <v>2033</v>
      </c>
      <c r="E756" s="25" t="s">
        <v>2034</v>
      </c>
      <c r="F756" s="25" t="s">
        <v>2034</v>
      </c>
      <c r="G756" s="25">
        <v>500</v>
      </c>
      <c r="H756" s="25"/>
    </row>
    <row r="757" spans="1:8" ht="14">
      <c r="A757" s="25" t="s">
        <v>2035</v>
      </c>
      <c r="B757" s="26" t="s">
        <v>127</v>
      </c>
      <c r="C757" s="25" t="str">
        <f t="shared" si="12"/>
        <v>pons</v>
      </c>
      <c r="D757" s="25" t="s">
        <v>2035</v>
      </c>
      <c r="E757" s="25" t="s">
        <v>2036</v>
      </c>
      <c r="F757" s="25" t="s">
        <v>2036</v>
      </c>
      <c r="G757" s="25">
        <v>500</v>
      </c>
      <c r="H757" s="25"/>
    </row>
    <row r="758" spans="1:8" ht="14">
      <c r="A758" s="25" t="s">
        <v>2037</v>
      </c>
      <c r="B758" s="26" t="s">
        <v>127</v>
      </c>
      <c r="C758" s="25" t="str">
        <f t="shared" si="12"/>
        <v>prostate</v>
      </c>
      <c r="D758" s="25" t="s">
        <v>2037</v>
      </c>
      <c r="E758" s="25" t="s">
        <v>2038</v>
      </c>
      <c r="F758" s="25" t="s">
        <v>2038</v>
      </c>
      <c r="G758" s="25">
        <v>500</v>
      </c>
      <c r="H758" s="25"/>
    </row>
    <row r="759" spans="1:8" ht="14">
      <c r="A759" s="25" t="s">
        <v>2039</v>
      </c>
      <c r="B759" s="26" t="s">
        <v>127</v>
      </c>
      <c r="C759" s="25" t="str">
        <f t="shared" si="12"/>
        <v>rectum</v>
      </c>
      <c r="D759" s="25" t="s">
        <v>2039</v>
      </c>
      <c r="E759" s="25" t="s">
        <v>2040</v>
      </c>
      <c r="F759" s="25" t="s">
        <v>2040</v>
      </c>
      <c r="G759" s="25">
        <v>500</v>
      </c>
      <c r="H759" s="25"/>
    </row>
    <row r="760" spans="1:8" ht="14">
      <c r="A760" s="25" t="s">
        <v>2041</v>
      </c>
      <c r="B760" s="26" t="s">
        <v>127</v>
      </c>
      <c r="C760" s="25" t="str">
        <f t="shared" si="12"/>
        <v>small_intestine</v>
      </c>
      <c r="D760" s="25" t="s">
        <v>2042</v>
      </c>
      <c r="E760" s="25" t="s">
        <v>2043</v>
      </c>
      <c r="F760" s="25" t="s">
        <v>2044</v>
      </c>
      <c r="G760" s="25">
        <v>500</v>
      </c>
      <c r="H760" s="25"/>
    </row>
    <row r="761" spans="1:8" ht="14">
      <c r="A761" s="25" t="s">
        <v>2045</v>
      </c>
      <c r="B761" s="26" t="s">
        <v>127</v>
      </c>
      <c r="C761" s="25" t="str">
        <f t="shared" si="12"/>
        <v>spinal_cord</v>
      </c>
      <c r="D761" s="25" t="s">
        <v>2045</v>
      </c>
      <c r="E761" s="25" t="s">
        <v>2046</v>
      </c>
      <c r="F761" s="25" t="s">
        <v>2047</v>
      </c>
      <c r="G761" s="25">
        <v>500</v>
      </c>
      <c r="H761" s="25"/>
    </row>
    <row r="762" spans="1:8" ht="14">
      <c r="A762" s="25" t="s">
        <v>2048</v>
      </c>
      <c r="B762" s="26" t="s">
        <v>127</v>
      </c>
      <c r="C762" s="25" t="str">
        <f t="shared" si="12"/>
        <v>spleen</v>
      </c>
      <c r="D762" s="25" t="s">
        <v>2048</v>
      </c>
      <c r="E762" s="25" t="s">
        <v>2049</v>
      </c>
      <c r="F762" s="25" t="s">
        <v>2049</v>
      </c>
      <c r="G762" s="25">
        <v>500</v>
      </c>
      <c r="H762" s="25"/>
    </row>
    <row r="763" spans="1:8" ht="14">
      <c r="A763" s="25" t="s">
        <v>2050</v>
      </c>
      <c r="B763" s="26" t="s">
        <v>127</v>
      </c>
      <c r="C763" s="25" t="str">
        <f t="shared" si="12"/>
        <v>stomach</v>
      </c>
      <c r="D763" s="25" t="s">
        <v>2050</v>
      </c>
      <c r="E763" s="25" t="s">
        <v>2051</v>
      </c>
      <c r="F763" s="25" t="s">
        <v>2051</v>
      </c>
      <c r="G763" s="25">
        <v>500</v>
      </c>
      <c r="H763" s="25"/>
    </row>
    <row r="764" spans="1:8" ht="14">
      <c r="A764" s="25" t="s">
        <v>2052</v>
      </c>
      <c r="B764" s="26" t="s">
        <v>127</v>
      </c>
      <c r="C764" s="25" t="str">
        <f t="shared" si="12"/>
        <v>testicles</v>
      </c>
      <c r="D764" s="25" t="s">
        <v>2052</v>
      </c>
      <c r="E764" s="25" t="s">
        <v>2053</v>
      </c>
      <c r="F764" s="25" t="s">
        <v>2053</v>
      </c>
      <c r="G764" s="25">
        <v>500</v>
      </c>
      <c r="H764" s="25"/>
    </row>
    <row r="765" spans="1:8" ht="14">
      <c r="A765" s="25" t="s">
        <v>2054</v>
      </c>
      <c r="B765" s="26" t="s">
        <v>127</v>
      </c>
      <c r="C765" s="25" t="str">
        <f t="shared" si="12"/>
        <v>thalamus</v>
      </c>
      <c r="D765" s="25" t="s">
        <v>2054</v>
      </c>
      <c r="E765" s="25" t="s">
        <v>2055</v>
      </c>
      <c r="F765" s="25" t="s">
        <v>2055</v>
      </c>
      <c r="G765" s="25">
        <v>500</v>
      </c>
      <c r="H765" s="25"/>
    </row>
    <row r="766" spans="1:8" ht="14">
      <c r="A766" s="25" t="s">
        <v>2056</v>
      </c>
      <c r="B766" s="26" t="s">
        <v>127</v>
      </c>
      <c r="C766" s="25" t="str">
        <f t="shared" si="12"/>
        <v>thymus</v>
      </c>
      <c r="D766" s="25" t="s">
        <v>2056</v>
      </c>
      <c r="E766" s="25" t="s">
        <v>2057</v>
      </c>
      <c r="F766" s="25" t="s">
        <v>2057</v>
      </c>
      <c r="G766" s="25">
        <v>500</v>
      </c>
      <c r="H766" s="25"/>
    </row>
    <row r="767" spans="1:8" ht="14">
      <c r="A767" s="25" t="s">
        <v>2058</v>
      </c>
      <c r="B767" s="26" t="s">
        <v>127</v>
      </c>
      <c r="C767" s="25" t="str">
        <f t="shared" si="12"/>
        <v>tongue</v>
      </c>
      <c r="D767" s="25" t="s">
        <v>2058</v>
      </c>
      <c r="E767" s="25" t="s">
        <v>2059</v>
      </c>
      <c r="F767" s="25" t="s">
        <v>2059</v>
      </c>
      <c r="G767" s="25">
        <v>500</v>
      </c>
      <c r="H767" s="25"/>
    </row>
    <row r="768" spans="1:8" ht="14">
      <c r="A768" s="25" t="s">
        <v>2060</v>
      </c>
      <c r="B768" s="26" t="s">
        <v>127</v>
      </c>
      <c r="C768" s="25" t="str">
        <f t="shared" si="12"/>
        <v>tonsils</v>
      </c>
      <c r="D768" s="25" t="s">
        <v>2060</v>
      </c>
      <c r="E768" s="25" t="s">
        <v>2061</v>
      </c>
      <c r="F768" s="25" t="s">
        <v>2061</v>
      </c>
      <c r="G768" s="25">
        <v>500</v>
      </c>
      <c r="H768" s="25"/>
    </row>
    <row r="769" spans="1:8" ht="14">
      <c r="A769" s="25" t="s">
        <v>2062</v>
      </c>
      <c r="B769" s="26" t="s">
        <v>127</v>
      </c>
      <c r="C769" s="25" t="str">
        <f t="shared" si="12"/>
        <v>uterus</v>
      </c>
      <c r="D769" s="25" t="s">
        <v>2062</v>
      </c>
      <c r="E769" s="25" t="s">
        <v>2063</v>
      </c>
      <c r="F769" s="25" t="s">
        <v>2063</v>
      </c>
      <c r="G769" s="25">
        <v>500</v>
      </c>
      <c r="H769" s="25"/>
    </row>
    <row r="770" spans="1:8" ht="14">
      <c r="A770" s="25" t="s">
        <v>2064</v>
      </c>
      <c r="B770" s="26" t="s">
        <v>127</v>
      </c>
      <c r="C770" s="25" t="str">
        <f t="shared" si="12"/>
        <v>veins</v>
      </c>
      <c r="D770" s="25" t="s">
        <v>2064</v>
      </c>
      <c r="E770" s="25" t="s">
        <v>2065</v>
      </c>
      <c r="F770" s="25" t="s">
        <v>2065</v>
      </c>
      <c r="G770" s="25">
        <v>500</v>
      </c>
      <c r="H770" s="25"/>
    </row>
    <row r="771" spans="1:8" ht="14">
      <c r="A771" s="25" t="s">
        <v>4018</v>
      </c>
      <c r="B771" s="26" t="s">
        <v>127</v>
      </c>
      <c r="C771" s="25" t="str">
        <f t="shared" si="12"/>
        <v>skmuscle</v>
      </c>
      <c r="D771" s="25" t="s">
        <v>4019</v>
      </c>
      <c r="E771" s="25" t="s">
        <v>2681</v>
      </c>
      <c r="F771" s="25" t="s">
        <v>2681</v>
      </c>
      <c r="G771" s="25"/>
      <c r="H771" s="25"/>
    </row>
    <row r="772" spans="1:8" ht="14">
      <c r="A772" s="25" t="s">
        <v>2779</v>
      </c>
      <c r="B772" s="26" t="s">
        <v>139</v>
      </c>
      <c r="C772" s="25" t="str">
        <f t="shared" si="12"/>
        <v>controls</v>
      </c>
      <c r="D772" s="25" t="s">
        <v>2776</v>
      </c>
      <c r="E772" s="25" t="s">
        <v>2777</v>
      </c>
      <c r="F772" s="25" t="s">
        <v>2778</v>
      </c>
      <c r="G772" s="25">
        <v>500</v>
      </c>
      <c r="H772" s="25"/>
    </row>
    <row r="773" spans="1:8" ht="14">
      <c r="A773" s="25" t="s">
        <v>2086</v>
      </c>
      <c r="B773" s="26" t="s">
        <v>2087</v>
      </c>
      <c r="C773" s="25" t="str">
        <f t="shared" si="12"/>
        <v>cardiovascular</v>
      </c>
      <c r="D773" s="27" t="s">
        <v>13</v>
      </c>
      <c r="E773" s="25" t="s">
        <v>2088</v>
      </c>
      <c r="F773" s="25" t="s">
        <v>2089</v>
      </c>
      <c r="G773" s="25">
        <v>500</v>
      </c>
      <c r="H773" s="25"/>
    </row>
    <row r="774" spans="1:8" ht="14">
      <c r="A774" s="25" t="s">
        <v>2090</v>
      </c>
      <c r="B774" s="26" t="s">
        <v>2087</v>
      </c>
      <c r="C774" s="25" t="str">
        <f t="shared" si="12"/>
        <v>digestive</v>
      </c>
      <c r="D774" s="27" t="s">
        <v>13</v>
      </c>
      <c r="E774" s="25" t="s">
        <v>2091</v>
      </c>
      <c r="F774" s="25" t="s">
        <v>2092</v>
      </c>
      <c r="G774" s="25">
        <v>500</v>
      </c>
      <c r="H774" s="25"/>
    </row>
    <row r="775" spans="1:8" ht="14">
      <c r="A775" s="25" t="s">
        <v>2093</v>
      </c>
      <c r="B775" s="26" t="s">
        <v>2087</v>
      </c>
      <c r="C775" s="25" t="str">
        <f t="shared" si="12"/>
        <v>endocrine</v>
      </c>
      <c r="D775" s="27" t="s">
        <v>13</v>
      </c>
      <c r="E775" s="25" t="s">
        <v>2094</v>
      </c>
      <c r="F775" s="25" t="s">
        <v>2095</v>
      </c>
      <c r="G775" s="25">
        <v>500</v>
      </c>
      <c r="H775" s="25"/>
    </row>
    <row r="776" spans="1:8" ht="14">
      <c r="A776" s="25" t="s">
        <v>2096</v>
      </c>
      <c r="B776" s="26" t="s">
        <v>2087</v>
      </c>
      <c r="C776" s="25" t="str">
        <f t="shared" si="12"/>
        <v>excretory</v>
      </c>
      <c r="D776" s="27" t="s">
        <v>13</v>
      </c>
      <c r="E776" s="25" t="s">
        <v>2097</v>
      </c>
      <c r="F776" s="25" t="s">
        <v>2098</v>
      </c>
      <c r="G776" s="25">
        <v>500</v>
      </c>
      <c r="H776" s="25"/>
    </row>
    <row r="777" spans="1:8" ht="14">
      <c r="A777" s="25" t="s">
        <v>2099</v>
      </c>
      <c r="B777" s="26" t="s">
        <v>2087</v>
      </c>
      <c r="C777" s="25" t="str">
        <f t="shared" si="12"/>
        <v>integumentary</v>
      </c>
      <c r="D777" s="27" t="s">
        <v>13</v>
      </c>
      <c r="E777" s="25" t="s">
        <v>2100</v>
      </c>
      <c r="F777" s="25" t="s">
        <v>2101</v>
      </c>
      <c r="G777" s="25">
        <v>500</v>
      </c>
      <c r="H777" s="25"/>
    </row>
    <row r="778" spans="1:8" ht="14">
      <c r="A778" s="25" t="s">
        <v>2102</v>
      </c>
      <c r="B778" s="26" t="s">
        <v>2087</v>
      </c>
      <c r="C778" s="25" t="str">
        <f t="shared" si="12"/>
        <v>lymphatic</v>
      </c>
      <c r="D778" s="27" t="s">
        <v>13</v>
      </c>
      <c r="E778" s="25" t="s">
        <v>2103</v>
      </c>
      <c r="F778" s="25" t="s">
        <v>2104</v>
      </c>
      <c r="G778" s="25">
        <v>500</v>
      </c>
      <c r="H778" s="25"/>
    </row>
    <row r="779" spans="1:8" ht="14">
      <c r="A779" s="25" t="s">
        <v>2105</v>
      </c>
      <c r="B779" s="26" t="s">
        <v>2087</v>
      </c>
      <c r="C779" s="25" t="str">
        <f t="shared" si="12"/>
        <v>muscular</v>
      </c>
      <c r="D779" s="27" t="s">
        <v>13</v>
      </c>
      <c r="E779" s="25" t="s">
        <v>2106</v>
      </c>
      <c r="F779" s="25" t="s">
        <v>2107</v>
      </c>
      <c r="G779" s="25">
        <v>500</v>
      </c>
      <c r="H779" s="25"/>
    </row>
    <row r="780" spans="1:8" ht="14">
      <c r="A780" s="25" t="s">
        <v>2108</v>
      </c>
      <c r="B780" s="26" t="s">
        <v>2087</v>
      </c>
      <c r="C780" s="25" t="str">
        <f t="shared" si="12"/>
        <v>nervous_system</v>
      </c>
      <c r="D780" s="27" t="s">
        <v>13</v>
      </c>
      <c r="E780" s="25" t="s">
        <v>2109</v>
      </c>
      <c r="F780" s="25" t="s">
        <v>2110</v>
      </c>
      <c r="G780" s="25">
        <v>500</v>
      </c>
      <c r="H780" s="25"/>
    </row>
    <row r="781" spans="1:8" ht="14">
      <c r="A781" s="25" t="s">
        <v>2111</v>
      </c>
      <c r="B781" s="26" t="s">
        <v>2087</v>
      </c>
      <c r="C781" s="25" t="str">
        <f t="shared" si="12"/>
        <v>reproductive</v>
      </c>
      <c r="D781" s="27" t="s">
        <v>13</v>
      </c>
      <c r="E781" s="25" t="s">
        <v>2112</v>
      </c>
      <c r="F781" s="25" t="s">
        <v>2113</v>
      </c>
      <c r="G781" s="25">
        <v>500</v>
      </c>
      <c r="H781" s="25"/>
    </row>
    <row r="782" spans="1:8" ht="14">
      <c r="A782" s="25" t="s">
        <v>2114</v>
      </c>
      <c r="B782" s="26" t="s">
        <v>2087</v>
      </c>
      <c r="C782" s="25" t="str">
        <f t="shared" si="12"/>
        <v>respiratory</v>
      </c>
      <c r="D782" s="27" t="s">
        <v>13</v>
      </c>
      <c r="E782" s="25" t="s">
        <v>2115</v>
      </c>
      <c r="F782" s="25" t="s">
        <v>2116</v>
      </c>
      <c r="G782" s="25">
        <v>500</v>
      </c>
      <c r="H782" s="25"/>
    </row>
    <row r="783" spans="1:8" ht="14">
      <c r="A783" s="25" t="s">
        <v>2117</v>
      </c>
      <c r="B783" s="26" t="s">
        <v>2087</v>
      </c>
      <c r="C783" s="25" t="str">
        <f t="shared" si="12"/>
        <v>skeletal</v>
      </c>
      <c r="D783" s="27" t="s">
        <v>13</v>
      </c>
      <c r="E783" s="25" t="s">
        <v>2118</v>
      </c>
      <c r="F783" s="25" t="s">
        <v>2119</v>
      </c>
      <c r="G783" s="25">
        <v>500</v>
      </c>
      <c r="H783" s="25"/>
    </row>
    <row r="784" spans="1:8" ht="14">
      <c r="A784" s="25" t="s">
        <v>2120</v>
      </c>
      <c r="B784" s="26" t="s">
        <v>2087</v>
      </c>
      <c r="C784" s="25" t="str">
        <f t="shared" si="12"/>
        <v>urinary</v>
      </c>
      <c r="D784" s="27" t="s">
        <v>13</v>
      </c>
      <c r="E784" s="25" t="s">
        <v>2121</v>
      </c>
      <c r="F784" s="25" t="s">
        <v>2122</v>
      </c>
      <c r="G784" s="25">
        <v>500</v>
      </c>
      <c r="H784" s="25"/>
    </row>
    <row r="785" spans="1:8" ht="14">
      <c r="A785" s="25" t="s">
        <v>2123</v>
      </c>
      <c r="B785" s="26" t="s">
        <v>141</v>
      </c>
      <c r="C785" s="25" t="str">
        <f t="shared" si="12"/>
        <v>intervalcardio</v>
      </c>
      <c r="D785" s="27" t="s">
        <v>13</v>
      </c>
      <c r="E785" s="25" t="s">
        <v>2124</v>
      </c>
      <c r="F785" s="25" t="s">
        <v>2125</v>
      </c>
      <c r="G785" s="25">
        <v>500</v>
      </c>
      <c r="H785" s="25"/>
    </row>
    <row r="786" spans="1:8" ht="14">
      <c r="A786" s="25" t="s">
        <v>2126</v>
      </c>
      <c r="B786" s="26" t="s">
        <v>141</v>
      </c>
      <c r="C786" s="25" t="str">
        <f t="shared" si="12"/>
        <v>steadycardio</v>
      </c>
      <c r="D786" s="27" t="s">
        <v>13</v>
      </c>
      <c r="E786" s="25" t="s">
        <v>2698</v>
      </c>
      <c r="F786" s="25" t="s">
        <v>2127</v>
      </c>
      <c r="G786" s="25">
        <v>500</v>
      </c>
      <c r="H786" s="25"/>
    </row>
    <row r="787" spans="1:8" ht="14">
      <c r="A787" s="25" t="s">
        <v>2128</v>
      </c>
      <c r="B787" s="26" t="s">
        <v>141</v>
      </c>
      <c r="C787" s="25" t="str">
        <f t="shared" si="12"/>
        <v>strength</v>
      </c>
      <c r="D787" s="27" t="s">
        <v>13</v>
      </c>
      <c r="E787" s="25" t="s">
        <v>2129</v>
      </c>
      <c r="F787" s="25" t="s">
        <v>2130</v>
      </c>
      <c r="G787" s="25">
        <v>500</v>
      </c>
      <c r="H787" s="25"/>
    </row>
    <row r="788" spans="1:8" ht="14">
      <c r="A788" s="25" t="s">
        <v>2699</v>
      </c>
      <c r="B788" s="26" t="s">
        <v>141</v>
      </c>
      <c r="C788" s="25" t="str">
        <f t="shared" si="12"/>
        <v>hiit</v>
      </c>
      <c r="D788" s="27" t="s">
        <v>13</v>
      </c>
      <c r="E788" s="25" t="s">
        <v>2700</v>
      </c>
      <c r="F788" s="25" t="s">
        <v>2701</v>
      </c>
      <c r="G788" s="25">
        <v>500</v>
      </c>
      <c r="H788" s="25"/>
    </row>
    <row r="789" spans="1:8" ht="14">
      <c r="A789" s="25" t="s">
        <v>2131</v>
      </c>
      <c r="B789" s="26" t="s">
        <v>143</v>
      </c>
      <c r="C789" s="25" t="str">
        <f t="shared" si="12"/>
        <v>argc</v>
      </c>
      <c r="D789" s="27" t="s">
        <v>13</v>
      </c>
      <c r="E789" s="25" t="s">
        <v>2132</v>
      </c>
      <c r="F789" s="25" t="s">
        <v>2133</v>
      </c>
      <c r="G789" s="25">
        <v>500</v>
      </c>
      <c r="H789" s="25"/>
    </row>
    <row r="790" spans="1:8" ht="14">
      <c r="A790" s="25" t="s">
        <v>2134</v>
      </c>
      <c r="B790" s="26" t="s">
        <v>143</v>
      </c>
      <c r="C790" s="25" t="str">
        <f t="shared" si="12"/>
        <v>aspn</v>
      </c>
      <c r="D790" s="27" t="s">
        <v>13</v>
      </c>
      <c r="E790" s="25" t="s">
        <v>2135</v>
      </c>
      <c r="F790" s="25" t="s">
        <v>2136</v>
      </c>
      <c r="G790" s="25">
        <v>500</v>
      </c>
      <c r="H790" s="25"/>
    </row>
    <row r="791" spans="1:8" ht="14">
      <c r="A791" s="25" t="s">
        <v>2137</v>
      </c>
      <c r="B791" s="26" t="s">
        <v>143</v>
      </c>
      <c r="C791" s="25" t="str">
        <f t="shared" si="12"/>
        <v>chymotrypsin</v>
      </c>
      <c r="D791" s="27" t="s">
        <v>13</v>
      </c>
      <c r="E791" s="25" t="s">
        <v>2138</v>
      </c>
      <c r="F791" s="25" t="s">
        <v>2139</v>
      </c>
      <c r="G791" s="25">
        <v>500</v>
      </c>
      <c r="H791" s="25"/>
    </row>
    <row r="792" spans="1:8" ht="14">
      <c r="A792" s="25" t="s">
        <v>2140</v>
      </c>
      <c r="B792" s="26" t="s">
        <v>143</v>
      </c>
      <c r="C792" s="25" t="str">
        <f t="shared" si="12"/>
        <v>elastase</v>
      </c>
      <c r="D792" s="27" t="s">
        <v>13</v>
      </c>
      <c r="E792" s="25" t="s">
        <v>2141</v>
      </c>
      <c r="F792" s="25" t="s">
        <v>2142</v>
      </c>
      <c r="G792" s="25">
        <v>500</v>
      </c>
      <c r="H792" s="25"/>
    </row>
    <row r="793" spans="1:8" ht="14">
      <c r="A793" s="25" t="s">
        <v>2143</v>
      </c>
      <c r="B793" s="26" t="s">
        <v>143</v>
      </c>
      <c r="C793" s="25" t="str">
        <f t="shared" si="12"/>
        <v>gluc</v>
      </c>
      <c r="D793" s="27" t="s">
        <v>13</v>
      </c>
      <c r="E793" s="25" t="s">
        <v>2144</v>
      </c>
      <c r="F793" s="25" t="s">
        <v>2145</v>
      </c>
      <c r="G793" s="25">
        <v>500</v>
      </c>
      <c r="H793" s="25"/>
    </row>
    <row r="794" spans="1:8" ht="14">
      <c r="A794" s="25" t="s">
        <v>2146</v>
      </c>
      <c r="B794" s="26" t="s">
        <v>143</v>
      </c>
      <c r="C794" s="25" t="str">
        <f t="shared" si="12"/>
        <v>lysc</v>
      </c>
      <c r="D794" s="27" t="s">
        <v>13</v>
      </c>
      <c r="E794" s="25" t="s">
        <v>2147</v>
      </c>
      <c r="F794" s="25" t="s">
        <v>2148</v>
      </c>
      <c r="G794" s="25">
        <v>500</v>
      </c>
      <c r="H794" s="25"/>
    </row>
    <row r="795" spans="1:8" ht="14">
      <c r="A795" s="25" t="s">
        <v>2149</v>
      </c>
      <c r="B795" s="26" t="s">
        <v>143</v>
      </c>
      <c r="C795" s="25" t="str">
        <f t="shared" si="12"/>
        <v>raspn</v>
      </c>
      <c r="D795" s="27" t="s">
        <v>13</v>
      </c>
      <c r="E795" s="25" t="s">
        <v>2150</v>
      </c>
      <c r="F795" s="25" t="s">
        <v>2151</v>
      </c>
      <c r="G795" s="25">
        <v>500</v>
      </c>
      <c r="H795" s="25"/>
    </row>
    <row r="796" spans="1:8" ht="14">
      <c r="A796" s="25" t="s">
        <v>2152</v>
      </c>
      <c r="B796" s="26" t="s">
        <v>143</v>
      </c>
      <c r="C796" s="25" t="str">
        <f t="shared" si="12"/>
        <v>trypsin</v>
      </c>
      <c r="D796" s="27" t="s">
        <v>13</v>
      </c>
      <c r="E796" s="25" t="s">
        <v>2153</v>
      </c>
      <c r="F796" s="25" t="s">
        <v>2154</v>
      </c>
      <c r="G796" s="25">
        <v>500</v>
      </c>
      <c r="H796" s="25"/>
    </row>
    <row r="797" spans="1:8" ht="14">
      <c r="A797" s="25" t="s">
        <v>2702</v>
      </c>
      <c r="B797" s="26" t="s">
        <v>145</v>
      </c>
      <c r="C797" s="25" t="str">
        <f t="shared" si="12"/>
        <v>apex</v>
      </c>
      <c r="D797" s="27" t="s">
        <v>13</v>
      </c>
      <c r="E797" s="25" t="s">
        <v>2703</v>
      </c>
      <c r="F797" s="25" t="s">
        <v>2704</v>
      </c>
      <c r="G797" s="25">
        <v>500</v>
      </c>
      <c r="H797" s="25"/>
    </row>
    <row r="798" spans="1:8" ht="14">
      <c r="A798" s="25" t="s">
        <v>2705</v>
      </c>
      <c r="B798" s="26" t="s">
        <v>145</v>
      </c>
      <c r="C798" s="25" t="str">
        <f t="shared" si="12"/>
        <v>bioid</v>
      </c>
      <c r="D798" s="27" t="s">
        <v>13</v>
      </c>
      <c r="E798" s="25" t="s">
        <v>2706</v>
      </c>
      <c r="F798" s="25" t="s">
        <v>2707</v>
      </c>
      <c r="G798" s="25">
        <v>500</v>
      </c>
      <c r="H798" s="25"/>
    </row>
    <row r="799" spans="1:8" ht="14">
      <c r="A799" s="25" t="s">
        <v>2708</v>
      </c>
      <c r="B799" s="26" t="s">
        <v>145</v>
      </c>
      <c r="C799" s="25" t="str">
        <f t="shared" si="12"/>
        <v>turboid</v>
      </c>
      <c r="D799" s="27" t="s">
        <v>13</v>
      </c>
      <c r="E799" s="25" t="s">
        <v>2709</v>
      </c>
      <c r="F799" s="25" t="s">
        <v>2710</v>
      </c>
      <c r="G799" s="25">
        <v>500</v>
      </c>
      <c r="H799" s="25"/>
    </row>
    <row r="800" spans="1:8" ht="14">
      <c r="A800" s="25" t="s">
        <v>1154</v>
      </c>
      <c r="B800" s="26" t="s">
        <v>145</v>
      </c>
      <c r="C800" s="25" t="str">
        <f t="shared" si="12"/>
        <v>deletion</v>
      </c>
      <c r="D800" s="27" t="s">
        <v>13</v>
      </c>
      <c r="E800" s="25" t="s">
        <v>2155</v>
      </c>
      <c r="F800" s="25" t="s">
        <v>2156</v>
      </c>
      <c r="G800" s="25">
        <v>500</v>
      </c>
      <c r="H800" s="25"/>
    </row>
    <row r="801" spans="1:1008" ht="14">
      <c r="A801" s="25" t="s">
        <v>2157</v>
      </c>
      <c r="B801" s="26" t="s">
        <v>145</v>
      </c>
      <c r="C801" s="25" t="str">
        <f t="shared" si="12"/>
        <v>flag</v>
      </c>
      <c r="D801" s="27" t="s">
        <v>13</v>
      </c>
      <c r="E801" s="25" t="s">
        <v>2158</v>
      </c>
      <c r="F801" s="25" t="s">
        <v>2159</v>
      </c>
      <c r="G801" s="25">
        <v>500</v>
      </c>
      <c r="H801" s="25"/>
    </row>
    <row r="802" spans="1:1008" ht="14">
      <c r="A802" s="25" t="s">
        <v>2160</v>
      </c>
      <c r="B802" s="26" t="s">
        <v>4198</v>
      </c>
      <c r="C802" s="25" t="str">
        <f t="shared" si="12"/>
        <v>frameshift</v>
      </c>
      <c r="D802" s="27" t="s">
        <v>13</v>
      </c>
      <c r="E802" s="25" t="s">
        <v>2161</v>
      </c>
      <c r="F802" s="25" t="s">
        <v>2162</v>
      </c>
      <c r="G802" s="25">
        <v>500</v>
      </c>
      <c r="H802" s="25"/>
    </row>
    <row r="803" spans="1:1008" ht="14">
      <c r="A803" s="25" t="s">
        <v>4194</v>
      </c>
      <c r="B803" s="26" t="s">
        <v>4198</v>
      </c>
      <c r="C803" s="25" t="str">
        <f t="shared" ref="C803" si="13">A803</f>
        <v>premstop</v>
      </c>
      <c r="D803" s="27" t="s">
        <v>13</v>
      </c>
      <c r="E803" s="25" t="s">
        <v>4195</v>
      </c>
      <c r="F803" s="25" t="s">
        <v>4196</v>
      </c>
      <c r="G803" s="25">
        <v>500</v>
      </c>
      <c r="H803" s="25"/>
    </row>
    <row r="804" spans="1:1008" ht="14">
      <c r="A804" s="25" t="s">
        <v>2163</v>
      </c>
      <c r="B804" s="26" t="s">
        <v>145</v>
      </c>
      <c r="C804" s="25" t="str">
        <f t="shared" si="12"/>
        <v>gfp</v>
      </c>
      <c r="D804" s="27" t="s">
        <v>13</v>
      </c>
      <c r="E804" s="25" t="s">
        <v>2164</v>
      </c>
      <c r="F804" s="25" t="s">
        <v>2165</v>
      </c>
      <c r="G804" s="25">
        <v>500</v>
      </c>
      <c r="H804" s="25"/>
    </row>
    <row r="805" spans="1:1008" ht="14">
      <c r="A805" s="25" t="s">
        <v>2166</v>
      </c>
      <c r="B805" s="26" t="s">
        <v>145</v>
      </c>
      <c r="C805" s="25" t="str">
        <f t="shared" si="12"/>
        <v>ha</v>
      </c>
      <c r="D805" s="27" t="s">
        <v>13</v>
      </c>
      <c r="E805" s="25" t="s">
        <v>2167</v>
      </c>
      <c r="F805" s="25" t="s">
        <v>2168</v>
      </c>
      <c r="G805" s="25">
        <v>500</v>
      </c>
      <c r="H805" s="25"/>
    </row>
    <row r="806" spans="1:1008" ht="14">
      <c r="A806" s="25" t="s">
        <v>2169</v>
      </c>
      <c r="B806" s="26" t="s">
        <v>145</v>
      </c>
      <c r="C806" s="25" t="str">
        <f t="shared" si="12"/>
        <v>his</v>
      </c>
      <c r="D806" s="27" t="s">
        <v>13</v>
      </c>
      <c r="E806" s="25" t="s">
        <v>2170</v>
      </c>
      <c r="F806" s="25" t="s">
        <v>2171</v>
      </c>
      <c r="G806" s="25">
        <v>500</v>
      </c>
      <c r="H806" s="25"/>
    </row>
    <row r="807" spans="1:1008" ht="14">
      <c r="A807" s="25" t="s">
        <v>2172</v>
      </c>
      <c r="B807" s="26" t="s">
        <v>145</v>
      </c>
      <c r="C807" s="25" t="str">
        <f t="shared" si="12"/>
        <v>insertion</v>
      </c>
      <c r="D807" s="27" t="s">
        <v>13</v>
      </c>
      <c r="E807" s="25" t="s">
        <v>2173</v>
      </c>
      <c r="F807" s="25" t="s">
        <v>2174</v>
      </c>
      <c r="G807" s="25">
        <v>500</v>
      </c>
      <c r="H807" s="25"/>
    </row>
    <row r="808" spans="1:1008" ht="14">
      <c r="A808" s="25" t="s">
        <v>2175</v>
      </c>
      <c r="B808" s="26" t="s">
        <v>145</v>
      </c>
      <c r="C808" s="25" t="str">
        <f t="shared" si="12"/>
        <v>myc</v>
      </c>
      <c r="D808" s="27" t="s">
        <v>13</v>
      </c>
      <c r="E808" s="25" t="s">
        <v>2176</v>
      </c>
      <c r="F808" s="25" t="s">
        <v>2177</v>
      </c>
      <c r="G808" s="25">
        <v>500</v>
      </c>
      <c r="H808" s="25"/>
    </row>
    <row r="809" spans="1:1008" ht="14">
      <c r="A809" s="25" t="s">
        <v>2178</v>
      </c>
      <c r="B809" s="26" t="s">
        <v>145</v>
      </c>
      <c r="C809" s="25" t="str">
        <f t="shared" si="12"/>
        <v>pep86</v>
      </c>
      <c r="D809" s="27" t="s">
        <v>13</v>
      </c>
      <c r="E809" s="25" t="s">
        <v>2674</v>
      </c>
      <c r="F809" s="25" t="s">
        <v>2179</v>
      </c>
      <c r="G809" s="25">
        <v>500</v>
      </c>
      <c r="H809" s="25"/>
    </row>
    <row r="810" spans="1:1008" ht="14">
      <c r="A810" s="25" t="s">
        <v>2180</v>
      </c>
      <c r="B810" s="26" t="s">
        <v>145</v>
      </c>
      <c r="C810" s="25" t="str">
        <f t="shared" si="12"/>
        <v>substitution</v>
      </c>
      <c r="D810" s="27" t="s">
        <v>13</v>
      </c>
      <c r="E810" s="25" t="s">
        <v>2181</v>
      </c>
      <c r="F810" s="25" t="s">
        <v>2182</v>
      </c>
      <c r="G810" s="25">
        <v>500</v>
      </c>
      <c r="H810" s="25"/>
    </row>
    <row r="811" spans="1:1008" ht="14">
      <c r="A811" s="25" t="s">
        <v>2183</v>
      </c>
      <c r="B811" s="26" t="s">
        <v>145</v>
      </c>
      <c r="C811" s="25" t="str">
        <f t="shared" si="12"/>
        <v>truncation</v>
      </c>
      <c r="D811" s="27" t="s">
        <v>13</v>
      </c>
      <c r="E811" s="25" t="s">
        <v>2184</v>
      </c>
      <c r="F811" s="25" t="s">
        <v>2185</v>
      </c>
      <c r="G811" s="25">
        <v>500</v>
      </c>
      <c r="H811" s="25"/>
    </row>
    <row r="812" spans="1:1008" ht="14">
      <c r="A812" s="25" t="s">
        <v>262</v>
      </c>
      <c r="B812" s="26" t="s">
        <v>145</v>
      </c>
      <c r="C812" s="25" t="str">
        <f t="shared" si="12"/>
        <v>none</v>
      </c>
      <c r="D812" s="27" t="s">
        <v>13</v>
      </c>
      <c r="E812" s="25" t="s">
        <v>1742</v>
      </c>
      <c r="F812" s="25" t="s">
        <v>2675</v>
      </c>
      <c r="G812" s="25">
        <v>500</v>
      </c>
      <c r="H812" s="25"/>
    </row>
    <row r="813" spans="1:1008" ht="14">
      <c r="A813" s="25" t="s">
        <v>2186</v>
      </c>
      <c r="B813" s="26" t="s">
        <v>147</v>
      </c>
      <c r="C813" s="25" t="str">
        <f t="shared" si="12"/>
        <v>aa</v>
      </c>
      <c r="D813" s="27" t="s">
        <v>13</v>
      </c>
      <c r="E813" s="25" t="s">
        <v>2187</v>
      </c>
      <c r="F813" s="25" t="s">
        <v>2188</v>
      </c>
      <c r="G813" s="25">
        <v>500</v>
      </c>
      <c r="H813" s="25"/>
    </row>
    <row r="814" spans="1:1008" ht="14">
      <c r="A814" s="25" t="s">
        <v>2189</v>
      </c>
      <c r="B814" s="26" t="s">
        <v>147</v>
      </c>
      <c r="C814" s="25" t="str">
        <f t="shared" si="12"/>
        <v>cterm</v>
      </c>
      <c r="D814" s="27" t="s">
        <v>13</v>
      </c>
      <c r="E814" s="25" t="s">
        <v>2190</v>
      </c>
      <c r="F814" s="25" t="s">
        <v>2191</v>
      </c>
      <c r="G814" s="25">
        <v>500</v>
      </c>
      <c r="H814" s="25"/>
    </row>
    <row r="815" spans="1:1008" ht="14">
      <c r="A815" s="25" t="s">
        <v>2192</v>
      </c>
      <c r="B815" s="26" t="s">
        <v>147</v>
      </c>
      <c r="C815" s="25" t="str">
        <f t="shared" si="12"/>
        <v>nterm</v>
      </c>
      <c r="D815" s="27" t="s">
        <v>13</v>
      </c>
      <c r="E815" s="25" t="s">
        <v>2193</v>
      </c>
      <c r="F815" s="25" t="s">
        <v>2194</v>
      </c>
      <c r="G815" s="25">
        <v>500</v>
      </c>
      <c r="H815" s="25"/>
    </row>
    <row r="816" spans="1:1008" ht="14">
      <c r="A816" s="25" t="s">
        <v>2195</v>
      </c>
      <c r="B816" s="26" t="s">
        <v>147</v>
      </c>
      <c r="C816" s="25" t="str">
        <f t="shared" si="12"/>
        <v>region</v>
      </c>
      <c r="D816" s="27" t="s">
        <v>13</v>
      </c>
      <c r="E816" s="25" t="s">
        <v>2196</v>
      </c>
      <c r="F816" s="25" t="s">
        <v>2197</v>
      </c>
      <c r="G816" s="25">
        <v>500</v>
      </c>
      <c r="H816" s="28"/>
      <c r="I816"/>
      <c r="J816"/>
      <c r="K816"/>
      <c r="L816"/>
      <c r="M816"/>
      <c r="N816"/>
      <c r="O816"/>
      <c r="P816"/>
      <c r="Q816"/>
      <c r="R816"/>
      <c r="S816"/>
      <c r="T816"/>
      <c r="U816"/>
      <c r="V816"/>
      <c r="W816"/>
      <c r="X816"/>
      <c r="Y816"/>
      <c r="Z816"/>
      <c r="AA816"/>
      <c r="AB816"/>
      <c r="AC816"/>
      <c r="AD816"/>
      <c r="AE816"/>
      <c r="AF816"/>
      <c r="AG816"/>
      <c r="AH816"/>
      <c r="AI816"/>
      <c r="AJ816"/>
      <c r="AK816"/>
      <c r="AL816"/>
      <c r="AM816"/>
      <c r="AN816"/>
      <c r="AO816"/>
      <c r="AP816"/>
      <c r="AQ816"/>
      <c r="AR816"/>
      <c r="AS816"/>
      <c r="AT816"/>
      <c r="AU816"/>
      <c r="AV816"/>
      <c r="AW816"/>
      <c r="AX816"/>
      <c r="AY816"/>
      <c r="AZ816"/>
      <c r="BA816"/>
      <c r="BB816"/>
      <c r="BC816"/>
      <c r="BD816"/>
      <c r="BE816"/>
      <c r="BF816"/>
      <c r="BG816"/>
      <c r="BH816"/>
      <c r="BI816"/>
      <c r="BJ816"/>
      <c r="BK816"/>
      <c r="BL816"/>
      <c r="BM816"/>
      <c r="BN816"/>
      <c r="BO816"/>
      <c r="BP816"/>
      <c r="BQ816"/>
      <c r="BR816"/>
      <c r="BS816"/>
      <c r="BT816"/>
      <c r="BU816"/>
      <c r="BV816"/>
      <c r="BW816"/>
      <c r="BX816"/>
      <c r="BY816"/>
      <c r="BZ816"/>
      <c r="CA816"/>
      <c r="CB816"/>
      <c r="CC816"/>
      <c r="CD816"/>
      <c r="CE816"/>
      <c r="CF816"/>
      <c r="CG816"/>
      <c r="CH816"/>
      <c r="CI816"/>
      <c r="CJ816"/>
      <c r="CK816"/>
      <c r="CL816"/>
      <c r="CM816"/>
      <c r="CN816"/>
      <c r="CO816"/>
      <c r="CP816"/>
      <c r="CQ816"/>
      <c r="CR816"/>
      <c r="CS816"/>
      <c r="CT816"/>
      <c r="CU816"/>
      <c r="CV816"/>
      <c r="CW816"/>
      <c r="CX816"/>
      <c r="CY816"/>
      <c r="CZ816"/>
      <c r="DA816"/>
      <c r="DB816"/>
      <c r="DC816"/>
      <c r="DD816"/>
      <c r="DE816"/>
      <c r="DF816"/>
      <c r="DG816"/>
      <c r="DH816"/>
      <c r="DI816"/>
      <c r="DJ816"/>
      <c r="DK816"/>
      <c r="DL816"/>
      <c r="DM816"/>
      <c r="DN816"/>
      <c r="DO816"/>
      <c r="DP816"/>
      <c r="DQ816"/>
      <c r="DR816"/>
      <c r="DS816"/>
      <c r="DT816"/>
      <c r="DU816"/>
      <c r="DV816"/>
      <c r="DW816"/>
      <c r="DX816"/>
      <c r="DY816"/>
      <c r="DZ816"/>
      <c r="EA816"/>
      <c r="EB816"/>
      <c r="EC816"/>
      <c r="ED816"/>
      <c r="EE816"/>
      <c r="EF816"/>
      <c r="EG816"/>
      <c r="EH816"/>
      <c r="EI816"/>
      <c r="EJ816"/>
      <c r="EK816"/>
      <c r="EL816"/>
      <c r="EM816"/>
      <c r="EN816"/>
      <c r="EO816"/>
      <c r="EP816"/>
      <c r="EQ816"/>
      <c r="ER816"/>
      <c r="ES816"/>
      <c r="ET816"/>
      <c r="EU816"/>
      <c r="EV816"/>
      <c r="EW816"/>
      <c r="EX816"/>
      <c r="EY816"/>
      <c r="EZ816"/>
      <c r="FA816"/>
      <c r="FB816"/>
      <c r="FC816"/>
      <c r="FD816"/>
      <c r="FE816"/>
      <c r="FF816"/>
      <c r="FG816"/>
      <c r="FH816"/>
      <c r="FI816"/>
      <c r="FJ816"/>
      <c r="FK816"/>
      <c r="FL816"/>
      <c r="FM816"/>
      <c r="FN816"/>
      <c r="FO816"/>
      <c r="FP816"/>
      <c r="FQ816"/>
      <c r="FR816"/>
      <c r="FS816"/>
      <c r="FT816"/>
      <c r="FU816"/>
      <c r="FV816"/>
      <c r="FW816"/>
      <c r="FX816"/>
      <c r="FY816"/>
      <c r="FZ816"/>
      <c r="GA816"/>
      <c r="GB816"/>
      <c r="GC816"/>
      <c r="GD816"/>
      <c r="GE816"/>
      <c r="GF816"/>
      <c r="GG816"/>
      <c r="GH816"/>
      <c r="GI816"/>
      <c r="GJ816"/>
      <c r="GK816"/>
      <c r="GL816"/>
      <c r="GM816"/>
      <c r="GN816"/>
      <c r="GO816"/>
      <c r="GP816"/>
      <c r="GQ816"/>
      <c r="GR816"/>
      <c r="GS816"/>
      <c r="GT816"/>
      <c r="GU816"/>
      <c r="GV816"/>
      <c r="GW816"/>
      <c r="GX816"/>
      <c r="GY816"/>
      <c r="GZ816"/>
      <c r="HA816"/>
      <c r="HB816"/>
      <c r="HC816"/>
      <c r="HD816"/>
      <c r="HE816"/>
      <c r="HF816"/>
      <c r="HG816"/>
      <c r="HH816"/>
      <c r="HI816"/>
      <c r="HJ816"/>
      <c r="HK816"/>
      <c r="HL816"/>
      <c r="HM816"/>
      <c r="HN816"/>
      <c r="HO816"/>
      <c r="HP816"/>
      <c r="HQ816"/>
      <c r="HR816"/>
      <c r="HS816"/>
      <c r="HT816"/>
      <c r="HU816"/>
      <c r="HV816"/>
      <c r="HW816"/>
      <c r="HX816"/>
      <c r="HY816"/>
      <c r="HZ816"/>
      <c r="IA816"/>
      <c r="IB816"/>
      <c r="IC816"/>
      <c r="ID816"/>
      <c r="IE816"/>
      <c r="IF816"/>
      <c r="IG816"/>
      <c r="IH816"/>
      <c r="II816"/>
      <c r="IJ816"/>
      <c r="IK816"/>
      <c r="IL816"/>
      <c r="IM816"/>
      <c r="IN816"/>
      <c r="IO816"/>
      <c r="IP816"/>
      <c r="IQ816"/>
      <c r="IR816"/>
      <c r="IS816"/>
      <c r="IT816"/>
      <c r="IU816"/>
      <c r="IV816"/>
      <c r="IW816"/>
      <c r="IX816"/>
      <c r="IY816"/>
      <c r="IZ816"/>
      <c r="JA816"/>
      <c r="JB816"/>
      <c r="JC816"/>
      <c r="JD816"/>
      <c r="JE816"/>
      <c r="JF816"/>
      <c r="JG816"/>
      <c r="JH816"/>
      <c r="JI816"/>
      <c r="JJ816"/>
      <c r="JK816"/>
      <c r="JL816"/>
      <c r="JM816"/>
      <c r="JN816"/>
      <c r="JO816"/>
      <c r="JP816"/>
      <c r="JQ816"/>
      <c r="JR816"/>
      <c r="JS816"/>
      <c r="JT816"/>
      <c r="JU816"/>
      <c r="JV816"/>
      <c r="JW816"/>
      <c r="JX816"/>
      <c r="JY816"/>
      <c r="JZ816"/>
      <c r="KA816"/>
      <c r="KB816"/>
      <c r="KC816"/>
      <c r="KD816"/>
      <c r="KE816"/>
      <c r="KF816"/>
      <c r="KG816"/>
      <c r="KH816"/>
      <c r="KI816"/>
      <c r="KJ816"/>
      <c r="KK816"/>
      <c r="KL816"/>
      <c r="KM816"/>
      <c r="KN816"/>
      <c r="KO816"/>
      <c r="KP816"/>
      <c r="KQ816"/>
      <c r="KR816"/>
      <c r="KS816"/>
      <c r="KT816"/>
      <c r="KU816"/>
      <c r="KV816"/>
      <c r="KW816"/>
      <c r="KX816"/>
      <c r="KY816"/>
      <c r="KZ816"/>
      <c r="LA816"/>
      <c r="LB816"/>
      <c r="LC816"/>
      <c r="LD816"/>
      <c r="LE816"/>
      <c r="LF816"/>
      <c r="LG816"/>
      <c r="LH816"/>
      <c r="LI816"/>
      <c r="LJ816"/>
      <c r="LK816"/>
      <c r="LL816"/>
      <c r="LM816"/>
      <c r="LN816"/>
      <c r="LO816"/>
      <c r="LP816"/>
      <c r="LQ816"/>
      <c r="LR816"/>
      <c r="LS816"/>
      <c r="LT816"/>
      <c r="LU816"/>
      <c r="LV816"/>
      <c r="LW816"/>
      <c r="LX816"/>
      <c r="LY816"/>
      <c r="LZ816"/>
      <c r="MA816"/>
      <c r="MB816"/>
      <c r="MC816"/>
      <c r="MD816"/>
      <c r="ME816"/>
      <c r="MF816"/>
      <c r="MG816"/>
      <c r="MH816"/>
      <c r="MI816"/>
      <c r="MJ816"/>
      <c r="MK816"/>
      <c r="ML816"/>
      <c r="MM816"/>
      <c r="MN816"/>
      <c r="MO816"/>
      <c r="MP816"/>
      <c r="MQ816"/>
      <c r="MR816"/>
      <c r="MS816"/>
      <c r="MT816"/>
      <c r="MU816"/>
      <c r="MV816"/>
      <c r="MW816"/>
      <c r="MX816"/>
      <c r="MY816"/>
      <c r="MZ816"/>
      <c r="NA816"/>
      <c r="NB816"/>
      <c r="NC816"/>
      <c r="ND816"/>
      <c r="NE816"/>
      <c r="NF816"/>
      <c r="NG816"/>
      <c r="NH816"/>
      <c r="NI816"/>
      <c r="NJ816"/>
      <c r="NK816"/>
      <c r="NL816"/>
      <c r="NM816"/>
      <c r="NN816"/>
      <c r="NO816"/>
      <c r="NP816"/>
      <c r="NQ816"/>
      <c r="NR816"/>
      <c r="NS816"/>
      <c r="NT816"/>
      <c r="NU816"/>
      <c r="NV816"/>
      <c r="NW816"/>
      <c r="NX816"/>
      <c r="NY816"/>
      <c r="NZ816"/>
      <c r="OA816"/>
      <c r="OB816"/>
      <c r="OC816"/>
      <c r="OD816"/>
      <c r="OE816"/>
      <c r="OF816"/>
      <c r="OG816"/>
      <c r="OH816"/>
      <c r="OI816"/>
      <c r="OJ816"/>
      <c r="OK816"/>
      <c r="OL816"/>
      <c r="OM816"/>
      <c r="ON816"/>
      <c r="OO816"/>
      <c r="OP816"/>
      <c r="OQ816"/>
      <c r="OR816"/>
      <c r="OS816"/>
      <c r="OT816"/>
      <c r="OU816"/>
      <c r="OV816"/>
      <c r="OW816"/>
      <c r="OX816"/>
      <c r="OY816"/>
      <c r="OZ816"/>
      <c r="PA816"/>
      <c r="PB816"/>
      <c r="PC816"/>
      <c r="PD816"/>
      <c r="PE816"/>
      <c r="PF816"/>
      <c r="PG816"/>
      <c r="PH816"/>
      <c r="PI816"/>
      <c r="PJ816"/>
      <c r="PK816"/>
      <c r="PL816"/>
      <c r="PM816"/>
      <c r="PN816"/>
      <c r="PO816"/>
      <c r="PP816"/>
      <c r="PQ816"/>
      <c r="PR816"/>
      <c r="PS816"/>
      <c r="PT816"/>
      <c r="PU816"/>
      <c r="PV816"/>
      <c r="PW816"/>
      <c r="PX816"/>
      <c r="PY816"/>
      <c r="PZ816"/>
      <c r="QA816"/>
      <c r="QB816"/>
      <c r="QC816"/>
      <c r="QD816"/>
      <c r="QE816"/>
      <c r="QF816"/>
      <c r="QG816"/>
      <c r="QH816"/>
      <c r="QI816"/>
      <c r="QJ816"/>
      <c r="QK816"/>
      <c r="QL816"/>
      <c r="QM816"/>
      <c r="QN816"/>
      <c r="QO816"/>
      <c r="QP816"/>
      <c r="QQ816"/>
      <c r="QR816"/>
      <c r="QS816"/>
      <c r="QT816"/>
      <c r="QU816"/>
      <c r="QV816"/>
      <c r="QW816"/>
      <c r="QX816"/>
      <c r="QY816"/>
      <c r="QZ816"/>
      <c r="RA816"/>
      <c r="RB816"/>
      <c r="RC816"/>
      <c r="RD816"/>
      <c r="RE816"/>
      <c r="RF816"/>
      <c r="RG816"/>
      <c r="RH816"/>
      <c r="RI816"/>
      <c r="RJ816"/>
      <c r="RK816"/>
      <c r="RL816"/>
      <c r="RM816"/>
      <c r="RN816"/>
      <c r="RO816"/>
      <c r="RP816"/>
      <c r="RQ816"/>
      <c r="RR816"/>
      <c r="RS816"/>
      <c r="RT816"/>
      <c r="RU816"/>
      <c r="RV816"/>
      <c r="RW816"/>
      <c r="RX816"/>
      <c r="RY816"/>
      <c r="RZ816"/>
      <c r="SA816"/>
      <c r="SB816"/>
      <c r="SC816"/>
      <c r="SD816"/>
      <c r="SE816"/>
      <c r="SF816"/>
      <c r="SG816"/>
      <c r="SH816"/>
      <c r="SI816"/>
      <c r="SJ816"/>
      <c r="SK816"/>
      <c r="SL816"/>
      <c r="SM816"/>
      <c r="SN816"/>
      <c r="SO816"/>
      <c r="SP816"/>
      <c r="SQ816"/>
      <c r="SR816"/>
      <c r="SS816"/>
      <c r="ST816"/>
      <c r="SU816"/>
      <c r="SV816"/>
      <c r="SW816"/>
      <c r="SX816"/>
      <c r="SY816"/>
      <c r="SZ816"/>
      <c r="TA816"/>
      <c r="TB816"/>
      <c r="TC816"/>
      <c r="TD816"/>
      <c r="TE816"/>
      <c r="TF816"/>
      <c r="TG816"/>
      <c r="TH816"/>
      <c r="TI816"/>
      <c r="TJ816"/>
      <c r="TK816"/>
      <c r="TL816"/>
      <c r="TM816"/>
      <c r="TN816"/>
      <c r="TO816"/>
      <c r="TP816"/>
      <c r="TQ816"/>
      <c r="TR816"/>
      <c r="TS816"/>
      <c r="TT816"/>
      <c r="TU816"/>
      <c r="TV816"/>
      <c r="TW816"/>
      <c r="TX816"/>
      <c r="TY816"/>
      <c r="TZ816"/>
      <c r="UA816"/>
      <c r="UB816"/>
      <c r="UC816"/>
      <c r="UD816"/>
      <c r="UE816"/>
      <c r="UF816"/>
      <c r="UG816"/>
      <c r="UH816"/>
      <c r="UI816"/>
      <c r="UJ816"/>
      <c r="UK816"/>
      <c r="UL816"/>
      <c r="UM816"/>
      <c r="UN816"/>
      <c r="UO816"/>
      <c r="UP816"/>
      <c r="UQ816"/>
      <c r="UR816"/>
      <c r="US816"/>
      <c r="UT816"/>
      <c r="UU816"/>
      <c r="UV816"/>
      <c r="UW816"/>
      <c r="UX816"/>
      <c r="UY816"/>
      <c r="UZ816"/>
      <c r="VA816"/>
      <c r="VB816"/>
      <c r="VC816"/>
      <c r="VD816"/>
      <c r="VE816"/>
      <c r="VF816"/>
      <c r="VG816"/>
      <c r="VH816"/>
      <c r="VI816"/>
      <c r="VJ816"/>
      <c r="VK816"/>
      <c r="VL816"/>
      <c r="VM816"/>
      <c r="VN816"/>
      <c r="VO816"/>
      <c r="VP816"/>
      <c r="VQ816"/>
      <c r="VR816"/>
      <c r="VS816"/>
      <c r="VT816"/>
      <c r="VU816"/>
      <c r="VV816"/>
      <c r="VW816"/>
      <c r="VX816"/>
      <c r="VY816"/>
      <c r="VZ816"/>
      <c r="WA816"/>
      <c r="WB816"/>
      <c r="WC816"/>
      <c r="WD816"/>
      <c r="WE816"/>
      <c r="WF816"/>
      <c r="WG816"/>
      <c r="WH816"/>
      <c r="WI816"/>
      <c r="WJ816"/>
      <c r="WK816"/>
      <c r="WL816"/>
      <c r="WM816"/>
      <c r="WN816"/>
      <c r="WO816"/>
      <c r="WP816"/>
      <c r="WQ816"/>
      <c r="WR816"/>
      <c r="WS816"/>
      <c r="WT816"/>
      <c r="WU816"/>
      <c r="WV816"/>
      <c r="WW816"/>
      <c r="WX816"/>
      <c r="WY816"/>
      <c r="WZ816"/>
      <c r="XA816"/>
      <c r="XB816"/>
      <c r="XC816"/>
      <c r="XD816"/>
      <c r="XE816"/>
      <c r="XF816"/>
      <c r="XG816"/>
      <c r="XH816"/>
      <c r="XI816"/>
      <c r="XJ816"/>
      <c r="XK816"/>
      <c r="XL816"/>
      <c r="XM816"/>
      <c r="XN816"/>
      <c r="XO816"/>
      <c r="XP816"/>
      <c r="XQ816"/>
      <c r="XR816"/>
      <c r="XS816"/>
      <c r="XT816"/>
      <c r="XU816"/>
      <c r="XV816"/>
      <c r="XW816"/>
      <c r="XX816"/>
      <c r="XY816"/>
      <c r="XZ816"/>
      <c r="YA816"/>
      <c r="YB816"/>
      <c r="YC816"/>
      <c r="YD816"/>
      <c r="YE816"/>
      <c r="YF816"/>
      <c r="YG816"/>
      <c r="YH816"/>
      <c r="YI816"/>
      <c r="YJ816"/>
      <c r="YK816"/>
      <c r="YL816"/>
      <c r="YM816"/>
      <c r="YN816"/>
      <c r="YO816"/>
      <c r="YP816"/>
      <c r="YQ816"/>
      <c r="YR816"/>
      <c r="YS816"/>
      <c r="YT816"/>
      <c r="YU816"/>
      <c r="YV816"/>
      <c r="YW816"/>
      <c r="YX816"/>
      <c r="YY816"/>
      <c r="YZ816"/>
      <c r="ZA816"/>
      <c r="ZB816"/>
      <c r="ZC816"/>
      <c r="ZD816"/>
      <c r="ZE816"/>
      <c r="ZF816"/>
      <c r="ZG816"/>
      <c r="ZH816"/>
      <c r="ZI816"/>
      <c r="ZJ816"/>
      <c r="ZK816"/>
      <c r="ZL816"/>
      <c r="ZM816"/>
      <c r="ZN816"/>
      <c r="ZO816"/>
      <c r="ZP816"/>
      <c r="ZQ816"/>
      <c r="ZR816"/>
      <c r="ZS816"/>
      <c r="ZT816"/>
      <c r="ZU816"/>
      <c r="ZV816"/>
      <c r="ZW816"/>
      <c r="ZX816"/>
      <c r="ZY816"/>
      <c r="ZZ816"/>
      <c r="AAA816"/>
      <c r="AAB816"/>
      <c r="AAC816"/>
      <c r="AAD816"/>
      <c r="AAE816"/>
      <c r="AAF816"/>
      <c r="AAG816"/>
      <c r="AAH816"/>
      <c r="AAI816"/>
      <c r="AAJ816"/>
      <c r="AAK816"/>
      <c r="AAL816"/>
      <c r="AAM816"/>
      <c r="AAN816"/>
      <c r="AAO816"/>
      <c r="AAP816"/>
      <c r="AAQ816"/>
      <c r="AAR816"/>
      <c r="AAS816"/>
      <c r="AAT816"/>
      <c r="AAU816"/>
      <c r="AAV816"/>
      <c r="AAW816"/>
      <c r="AAX816"/>
      <c r="AAY816"/>
      <c r="AAZ816"/>
      <c r="ABA816"/>
      <c r="ABB816"/>
      <c r="ABC816"/>
      <c r="ABD816"/>
      <c r="ABE816"/>
      <c r="ABF816"/>
      <c r="ABG816"/>
      <c r="ABH816"/>
      <c r="ABI816"/>
      <c r="ABJ816"/>
      <c r="ABK816"/>
      <c r="ABL816"/>
      <c r="ABM816"/>
      <c r="ABN816"/>
      <c r="ABO816"/>
      <c r="ABP816"/>
      <c r="ABQ816"/>
      <c r="ABR816"/>
      <c r="ABS816"/>
      <c r="ABT816"/>
      <c r="ABU816"/>
      <c r="ABV816"/>
      <c r="ABW816"/>
      <c r="ABX816"/>
      <c r="ABY816"/>
      <c r="ABZ816"/>
      <c r="ACA816"/>
      <c r="ACB816"/>
      <c r="ACC816"/>
      <c r="ACD816"/>
      <c r="ACE816"/>
      <c r="ACF816"/>
      <c r="ACG816"/>
      <c r="ACH816"/>
      <c r="ACI816"/>
      <c r="ACJ816"/>
      <c r="ACK816"/>
      <c r="ACL816"/>
      <c r="ACM816"/>
      <c r="ACN816"/>
      <c r="ACO816"/>
      <c r="ACP816"/>
      <c r="ACQ816"/>
      <c r="ACR816"/>
      <c r="ACS816"/>
      <c r="ACT816"/>
      <c r="ACU816"/>
      <c r="ACV816"/>
      <c r="ACW816"/>
      <c r="ACX816"/>
      <c r="ACY816"/>
      <c r="ACZ816"/>
      <c r="ADA816"/>
      <c r="ADB816"/>
      <c r="ADC816"/>
      <c r="ADD816"/>
      <c r="ADE816"/>
      <c r="ADF816"/>
      <c r="ADG816"/>
      <c r="ADH816"/>
      <c r="ADI816"/>
      <c r="ADJ816"/>
      <c r="ADK816"/>
      <c r="ADL816"/>
      <c r="ADM816"/>
      <c r="ADN816"/>
      <c r="ADO816"/>
      <c r="ADP816"/>
      <c r="ADQ816"/>
      <c r="ADR816"/>
      <c r="ADS816"/>
      <c r="ADT816"/>
      <c r="ADU816"/>
      <c r="ADV816"/>
      <c r="ADW816"/>
      <c r="ADX816"/>
      <c r="ADY816"/>
      <c r="ADZ816"/>
      <c r="AEA816"/>
      <c r="AEB816"/>
      <c r="AEC816"/>
      <c r="AED816"/>
      <c r="AEE816"/>
      <c r="AEF816"/>
      <c r="AEG816"/>
      <c r="AEH816"/>
      <c r="AEI816"/>
      <c r="AEJ816"/>
      <c r="AEK816"/>
      <c r="AEL816"/>
      <c r="AEM816"/>
      <c r="AEN816"/>
      <c r="AEO816"/>
      <c r="AEP816"/>
      <c r="AEQ816"/>
      <c r="AER816"/>
      <c r="AES816"/>
      <c r="AET816"/>
      <c r="AEU816"/>
      <c r="AEV816"/>
      <c r="AEW816"/>
      <c r="AEX816"/>
      <c r="AEY816"/>
      <c r="AEZ816"/>
      <c r="AFA816"/>
      <c r="AFB816"/>
      <c r="AFC816"/>
      <c r="AFD816"/>
      <c r="AFE816"/>
      <c r="AFF816"/>
      <c r="AFG816"/>
      <c r="AFH816"/>
      <c r="AFI816"/>
      <c r="AFJ816"/>
      <c r="AFK816"/>
      <c r="AFL816"/>
      <c r="AFM816"/>
      <c r="AFN816"/>
      <c r="AFO816"/>
      <c r="AFP816"/>
      <c r="AFQ816"/>
      <c r="AFR816"/>
      <c r="AFS816"/>
      <c r="AFT816"/>
      <c r="AFU816"/>
      <c r="AFV816"/>
      <c r="AFW816"/>
      <c r="AFX816"/>
      <c r="AFY816"/>
      <c r="AFZ816"/>
      <c r="AGA816"/>
      <c r="AGB816"/>
      <c r="AGC816"/>
      <c r="AGD816"/>
      <c r="AGE816"/>
      <c r="AGF816"/>
      <c r="AGG816"/>
      <c r="AGH816"/>
      <c r="AGI816"/>
      <c r="AGJ816"/>
      <c r="AGK816"/>
      <c r="AGL816"/>
      <c r="AGM816"/>
      <c r="AGN816"/>
      <c r="AGO816"/>
      <c r="AGP816"/>
      <c r="AGQ816"/>
      <c r="AGR816"/>
      <c r="AGS816"/>
      <c r="AGT816"/>
      <c r="AGU816"/>
      <c r="AGV816"/>
      <c r="AGW816"/>
      <c r="AGX816"/>
      <c r="AGY816"/>
      <c r="AGZ816"/>
      <c r="AHA816"/>
      <c r="AHB816"/>
      <c r="AHC816"/>
      <c r="AHD816"/>
      <c r="AHE816"/>
      <c r="AHF816"/>
      <c r="AHG816"/>
      <c r="AHH816"/>
      <c r="AHI816"/>
      <c r="AHJ816"/>
      <c r="AHK816"/>
      <c r="AHL816"/>
      <c r="AHM816"/>
      <c r="AHN816"/>
      <c r="AHO816"/>
      <c r="AHP816"/>
      <c r="AHQ816"/>
      <c r="AHR816"/>
      <c r="AHS816"/>
      <c r="AHT816"/>
      <c r="AHU816"/>
      <c r="AHV816"/>
      <c r="AHW816"/>
      <c r="AHX816"/>
      <c r="AHY816"/>
      <c r="AHZ816"/>
      <c r="AIA816"/>
      <c r="AIB816"/>
      <c r="AIC816"/>
      <c r="AID816"/>
      <c r="AIE816"/>
      <c r="AIF816"/>
      <c r="AIG816"/>
      <c r="AIH816"/>
      <c r="AII816"/>
      <c r="AIJ816"/>
      <c r="AIK816"/>
      <c r="AIL816"/>
      <c r="AIM816"/>
      <c r="AIN816"/>
      <c r="AIO816"/>
      <c r="AIP816"/>
      <c r="AIQ816"/>
      <c r="AIR816"/>
      <c r="AIS816"/>
      <c r="AIT816"/>
      <c r="AIU816"/>
      <c r="AIV816"/>
      <c r="AIW816"/>
      <c r="AIX816"/>
      <c r="AIY816"/>
      <c r="AIZ816"/>
      <c r="AJA816"/>
      <c r="AJB816"/>
      <c r="AJC816"/>
      <c r="AJD816"/>
      <c r="AJE816"/>
      <c r="AJF816"/>
      <c r="AJG816"/>
      <c r="AJH816"/>
      <c r="AJI816"/>
      <c r="AJJ816"/>
      <c r="AJK816"/>
      <c r="AJL816"/>
      <c r="AJM816"/>
      <c r="AJN816"/>
      <c r="AJO816"/>
      <c r="AJP816"/>
      <c r="AJQ816"/>
      <c r="AJR816"/>
      <c r="AJS816"/>
      <c r="AJT816"/>
      <c r="AJU816"/>
      <c r="AJV816"/>
      <c r="AJW816"/>
      <c r="AJX816"/>
      <c r="AJY816"/>
      <c r="AJZ816"/>
      <c r="AKA816"/>
      <c r="AKB816"/>
      <c r="AKC816"/>
      <c r="AKD816"/>
      <c r="AKE816"/>
      <c r="AKF816"/>
      <c r="AKG816"/>
      <c r="AKH816"/>
      <c r="AKI816"/>
      <c r="AKJ816"/>
      <c r="AKK816"/>
      <c r="AKL816"/>
      <c r="AKM816"/>
      <c r="AKN816"/>
      <c r="AKO816"/>
      <c r="AKP816"/>
      <c r="AKQ816"/>
      <c r="AKR816"/>
      <c r="AKS816"/>
      <c r="AKT816"/>
      <c r="AKU816"/>
      <c r="AKV816"/>
      <c r="AKW816"/>
      <c r="AKX816"/>
      <c r="AKY816"/>
      <c r="AKZ816"/>
      <c r="ALA816"/>
      <c r="ALB816"/>
      <c r="ALC816"/>
      <c r="ALD816"/>
      <c r="ALE816"/>
      <c r="ALF816"/>
      <c r="ALG816"/>
      <c r="ALH816"/>
      <c r="ALI816"/>
      <c r="ALJ816"/>
      <c r="ALK816"/>
      <c r="ALL816"/>
      <c r="ALM816"/>
      <c r="ALN816"/>
      <c r="ALO816"/>
      <c r="ALP816"/>
      <c r="ALQ816"/>
      <c r="ALR816"/>
      <c r="ALS816"/>
      <c r="ALT816"/>
    </row>
    <row r="817" spans="1:1008" ht="14">
      <c r="A817" s="25" t="s">
        <v>2826</v>
      </c>
      <c r="B817" s="26" t="s">
        <v>2824</v>
      </c>
      <c r="C817" s="25" t="str">
        <f t="shared" si="12"/>
        <v>antibody</v>
      </c>
      <c r="D817" s="27" t="s">
        <v>13</v>
      </c>
      <c r="E817" s="25" t="s">
        <v>2827</v>
      </c>
      <c r="F817" s="25" t="s">
        <v>2828</v>
      </c>
      <c r="G817" s="25">
        <v>500</v>
      </c>
      <c r="H817" s="28"/>
      <c r="I817"/>
      <c r="J817"/>
      <c r="K817"/>
      <c r="L817"/>
      <c r="M817"/>
      <c r="N817"/>
      <c r="O817"/>
      <c r="P817"/>
      <c r="Q817"/>
      <c r="R817"/>
      <c r="S817"/>
      <c r="T817"/>
      <c r="U817"/>
      <c r="V817"/>
      <c r="W817"/>
      <c r="X817"/>
      <c r="Y817"/>
      <c r="Z817"/>
      <c r="AA817"/>
      <c r="AB817"/>
      <c r="AC817"/>
      <c r="AD817"/>
      <c r="AE817"/>
      <c r="AF817"/>
      <c r="AG817"/>
      <c r="AH817"/>
      <c r="AI817"/>
      <c r="AJ817"/>
      <c r="AK817"/>
      <c r="AL817"/>
      <c r="AM817"/>
      <c r="AN817"/>
      <c r="AO817"/>
      <c r="AP817"/>
      <c r="AQ817"/>
      <c r="AR817"/>
      <c r="AS817"/>
      <c r="AT817"/>
      <c r="AU817"/>
      <c r="AV817"/>
      <c r="AW817"/>
      <c r="AX817"/>
      <c r="AY817"/>
      <c r="AZ817"/>
      <c r="BA817"/>
      <c r="BB817"/>
      <c r="BC817"/>
      <c r="BD817"/>
      <c r="BE817"/>
      <c r="BF817"/>
      <c r="BG817"/>
      <c r="BH817"/>
      <c r="BI817"/>
      <c r="BJ817"/>
      <c r="BK817"/>
      <c r="BL817"/>
      <c r="BM817"/>
      <c r="BN817"/>
      <c r="BO817"/>
      <c r="BP817"/>
      <c r="BQ817"/>
      <c r="BR817"/>
      <c r="BS817"/>
      <c r="BT817"/>
      <c r="BU817"/>
      <c r="BV817"/>
      <c r="BW817"/>
      <c r="BX817"/>
      <c r="BY817"/>
      <c r="BZ817"/>
      <c r="CA817"/>
      <c r="CB817"/>
      <c r="CC817"/>
      <c r="CD817"/>
      <c r="CE817"/>
      <c r="CF817"/>
      <c r="CG817"/>
      <c r="CH817"/>
      <c r="CI817"/>
      <c r="CJ817"/>
      <c r="CK817"/>
      <c r="CL817"/>
      <c r="CM817"/>
      <c r="CN817"/>
      <c r="CO817"/>
      <c r="CP817"/>
      <c r="CQ817"/>
      <c r="CR817"/>
      <c r="CS817"/>
      <c r="CT817"/>
      <c r="CU817"/>
      <c r="CV817"/>
      <c r="CW817"/>
      <c r="CX817"/>
      <c r="CY817"/>
      <c r="CZ817"/>
      <c r="DA817"/>
      <c r="DB817"/>
      <c r="DC817"/>
      <c r="DD817"/>
      <c r="DE817"/>
      <c r="DF817"/>
      <c r="DG817"/>
      <c r="DH817"/>
      <c r="DI817"/>
      <c r="DJ817"/>
      <c r="DK817"/>
      <c r="DL817"/>
      <c r="DM817"/>
      <c r="DN817"/>
      <c r="DO817"/>
      <c r="DP817"/>
      <c r="DQ817"/>
      <c r="DR817"/>
      <c r="DS817"/>
      <c r="DT817"/>
      <c r="DU817"/>
      <c r="DV817"/>
      <c r="DW817"/>
      <c r="DX817"/>
      <c r="DY817"/>
      <c r="DZ817"/>
      <c r="EA817"/>
      <c r="EB817"/>
      <c r="EC817"/>
      <c r="ED817"/>
      <c r="EE817"/>
      <c r="EF817"/>
      <c r="EG817"/>
      <c r="EH817"/>
      <c r="EI817"/>
      <c r="EJ817"/>
      <c r="EK817"/>
      <c r="EL817"/>
      <c r="EM817"/>
      <c r="EN817"/>
      <c r="EO817"/>
      <c r="EP817"/>
      <c r="EQ817"/>
      <c r="ER817"/>
      <c r="ES817"/>
      <c r="ET817"/>
      <c r="EU817"/>
      <c r="EV817"/>
      <c r="EW817"/>
      <c r="EX817"/>
      <c r="EY817"/>
      <c r="EZ817"/>
      <c r="FA817"/>
      <c r="FB817"/>
      <c r="FC817"/>
      <c r="FD817"/>
      <c r="FE817"/>
      <c r="FF817"/>
      <c r="FG817"/>
      <c r="FH817"/>
      <c r="FI817"/>
      <c r="FJ817"/>
      <c r="FK817"/>
      <c r="FL817"/>
      <c r="FM817"/>
      <c r="FN817"/>
      <c r="FO817"/>
      <c r="FP817"/>
      <c r="FQ817"/>
      <c r="FR817"/>
      <c r="FS817"/>
      <c r="FT817"/>
      <c r="FU817"/>
      <c r="FV817"/>
      <c r="FW817"/>
      <c r="FX817"/>
      <c r="FY817"/>
      <c r="FZ817"/>
      <c r="GA817"/>
      <c r="GB817"/>
      <c r="GC817"/>
      <c r="GD817"/>
      <c r="GE817"/>
      <c r="GF817"/>
      <c r="GG817"/>
      <c r="GH817"/>
      <c r="GI817"/>
      <c r="GJ817"/>
      <c r="GK817"/>
      <c r="GL817"/>
      <c r="GM817"/>
      <c r="GN817"/>
      <c r="GO817"/>
      <c r="GP817"/>
      <c r="GQ817"/>
      <c r="GR817"/>
      <c r="GS817"/>
      <c r="GT817"/>
      <c r="GU817"/>
      <c r="GV817"/>
      <c r="GW817"/>
      <c r="GX817"/>
      <c r="GY817"/>
      <c r="GZ817"/>
      <c r="HA817"/>
      <c r="HB817"/>
      <c r="HC817"/>
      <c r="HD817"/>
      <c r="HE817"/>
      <c r="HF817"/>
      <c r="HG817"/>
      <c r="HH817"/>
      <c r="HI817"/>
      <c r="HJ817"/>
      <c r="HK817"/>
      <c r="HL817"/>
      <c r="HM817"/>
      <c r="HN817"/>
      <c r="HO817"/>
      <c r="HP817"/>
      <c r="HQ817"/>
      <c r="HR817"/>
      <c r="HS817"/>
      <c r="HT817"/>
      <c r="HU817"/>
      <c r="HV817"/>
      <c r="HW817"/>
      <c r="HX817"/>
      <c r="HY817"/>
      <c r="HZ817"/>
      <c r="IA817"/>
      <c r="IB817"/>
      <c r="IC817"/>
      <c r="ID817"/>
      <c r="IE817"/>
      <c r="IF817"/>
      <c r="IG817"/>
      <c r="IH817"/>
      <c r="II817"/>
      <c r="IJ817"/>
      <c r="IK817"/>
      <c r="IL817"/>
      <c r="IM817"/>
      <c r="IN817"/>
      <c r="IO817"/>
      <c r="IP817"/>
      <c r="IQ817"/>
      <c r="IR817"/>
      <c r="IS817"/>
      <c r="IT817"/>
      <c r="IU817"/>
      <c r="IV817"/>
      <c r="IW817"/>
      <c r="IX817"/>
      <c r="IY817"/>
      <c r="IZ817"/>
      <c r="JA817"/>
      <c r="JB817"/>
      <c r="JC817"/>
      <c r="JD817"/>
      <c r="JE817"/>
      <c r="JF817"/>
      <c r="JG817"/>
      <c r="JH817"/>
      <c r="JI817"/>
      <c r="JJ817"/>
      <c r="JK817"/>
      <c r="JL817"/>
      <c r="JM817"/>
      <c r="JN817"/>
      <c r="JO817"/>
      <c r="JP817"/>
      <c r="JQ817"/>
      <c r="JR817"/>
      <c r="JS817"/>
      <c r="JT817"/>
      <c r="JU817"/>
      <c r="JV817"/>
      <c r="JW817"/>
      <c r="JX817"/>
      <c r="JY817"/>
      <c r="JZ817"/>
      <c r="KA817"/>
      <c r="KB817"/>
      <c r="KC817"/>
      <c r="KD817"/>
      <c r="KE817"/>
      <c r="KF817"/>
      <c r="KG817"/>
      <c r="KH817"/>
      <c r="KI817"/>
      <c r="KJ817"/>
      <c r="KK817"/>
      <c r="KL817"/>
      <c r="KM817"/>
      <c r="KN817"/>
      <c r="KO817"/>
      <c r="KP817"/>
      <c r="KQ817"/>
      <c r="KR817"/>
      <c r="KS817"/>
      <c r="KT817"/>
      <c r="KU817"/>
      <c r="KV817"/>
      <c r="KW817"/>
      <c r="KX817"/>
      <c r="KY817"/>
      <c r="KZ817"/>
      <c r="LA817"/>
      <c r="LB817"/>
      <c r="LC817"/>
      <c r="LD817"/>
      <c r="LE817"/>
      <c r="LF817"/>
      <c r="LG817"/>
      <c r="LH817"/>
      <c r="LI817"/>
      <c r="LJ817"/>
      <c r="LK817"/>
      <c r="LL817"/>
      <c r="LM817"/>
      <c r="LN817"/>
      <c r="LO817"/>
      <c r="LP817"/>
      <c r="LQ817"/>
      <c r="LR817"/>
      <c r="LS817"/>
      <c r="LT817"/>
      <c r="LU817"/>
      <c r="LV817"/>
      <c r="LW817"/>
      <c r="LX817"/>
      <c r="LY817"/>
      <c r="LZ817"/>
      <c r="MA817"/>
      <c r="MB817"/>
      <c r="MC817"/>
      <c r="MD817"/>
      <c r="ME817"/>
      <c r="MF817"/>
      <c r="MG817"/>
      <c r="MH817"/>
      <c r="MI817"/>
      <c r="MJ817"/>
      <c r="MK817"/>
      <c r="ML817"/>
      <c r="MM817"/>
      <c r="MN817"/>
      <c r="MO817"/>
      <c r="MP817"/>
      <c r="MQ817"/>
      <c r="MR817"/>
      <c r="MS817"/>
      <c r="MT817"/>
      <c r="MU817"/>
      <c r="MV817"/>
      <c r="MW817"/>
      <c r="MX817"/>
      <c r="MY817"/>
      <c r="MZ817"/>
      <c r="NA817"/>
      <c r="NB817"/>
      <c r="NC817"/>
      <c r="ND817"/>
      <c r="NE817"/>
      <c r="NF817"/>
      <c r="NG817"/>
      <c r="NH817"/>
      <c r="NI817"/>
      <c r="NJ817"/>
      <c r="NK817"/>
      <c r="NL817"/>
      <c r="NM817"/>
      <c r="NN817"/>
      <c r="NO817"/>
      <c r="NP817"/>
      <c r="NQ817"/>
      <c r="NR817"/>
      <c r="NS817"/>
      <c r="NT817"/>
      <c r="NU817"/>
      <c r="NV817"/>
      <c r="NW817"/>
      <c r="NX817"/>
      <c r="NY817"/>
      <c r="NZ817"/>
      <c r="OA817"/>
      <c r="OB817"/>
      <c r="OC817"/>
      <c r="OD817"/>
      <c r="OE817"/>
      <c r="OF817"/>
      <c r="OG817"/>
      <c r="OH817"/>
      <c r="OI817"/>
      <c r="OJ817"/>
      <c r="OK817"/>
      <c r="OL817"/>
      <c r="OM817"/>
      <c r="ON817"/>
      <c r="OO817"/>
      <c r="OP817"/>
      <c r="OQ817"/>
      <c r="OR817"/>
      <c r="OS817"/>
      <c r="OT817"/>
      <c r="OU817"/>
      <c r="OV817"/>
      <c r="OW817"/>
      <c r="OX817"/>
      <c r="OY817"/>
      <c r="OZ817"/>
      <c r="PA817"/>
      <c r="PB817"/>
      <c r="PC817"/>
      <c r="PD817"/>
      <c r="PE817"/>
      <c r="PF817"/>
      <c r="PG817"/>
      <c r="PH817"/>
      <c r="PI817"/>
      <c r="PJ817"/>
      <c r="PK817"/>
      <c r="PL817"/>
      <c r="PM817"/>
      <c r="PN817"/>
      <c r="PO817"/>
      <c r="PP817"/>
      <c r="PQ817"/>
      <c r="PR817"/>
      <c r="PS817"/>
      <c r="PT817"/>
      <c r="PU817"/>
      <c r="PV817"/>
      <c r="PW817"/>
      <c r="PX817"/>
      <c r="PY817"/>
      <c r="PZ817"/>
      <c r="QA817"/>
      <c r="QB817"/>
      <c r="QC817"/>
      <c r="QD817"/>
      <c r="QE817"/>
      <c r="QF817"/>
      <c r="QG817"/>
      <c r="QH817"/>
      <c r="QI817"/>
      <c r="QJ817"/>
      <c r="QK817"/>
      <c r="QL817"/>
      <c r="QM817"/>
      <c r="QN817"/>
      <c r="QO817"/>
      <c r="QP817"/>
      <c r="QQ817"/>
      <c r="QR817"/>
      <c r="QS817"/>
      <c r="QT817"/>
      <c r="QU817"/>
      <c r="QV817"/>
      <c r="QW817"/>
      <c r="QX817"/>
      <c r="QY817"/>
      <c r="QZ817"/>
      <c r="RA817"/>
      <c r="RB817"/>
      <c r="RC817"/>
      <c r="RD817"/>
      <c r="RE817"/>
      <c r="RF817"/>
      <c r="RG817"/>
      <c r="RH817"/>
      <c r="RI817"/>
      <c r="RJ817"/>
      <c r="RK817"/>
      <c r="RL817"/>
      <c r="RM817"/>
      <c r="RN817"/>
      <c r="RO817"/>
      <c r="RP817"/>
      <c r="RQ817"/>
      <c r="RR817"/>
      <c r="RS817"/>
      <c r="RT817"/>
      <c r="RU817"/>
      <c r="RV817"/>
      <c r="RW817"/>
      <c r="RX817"/>
      <c r="RY817"/>
      <c r="RZ817"/>
      <c r="SA817"/>
      <c r="SB817"/>
      <c r="SC817"/>
      <c r="SD817"/>
      <c r="SE817"/>
      <c r="SF817"/>
      <c r="SG817"/>
      <c r="SH817"/>
      <c r="SI817"/>
      <c r="SJ817"/>
      <c r="SK817"/>
      <c r="SL817"/>
      <c r="SM817"/>
      <c r="SN817"/>
      <c r="SO817"/>
      <c r="SP817"/>
      <c r="SQ817"/>
      <c r="SR817"/>
      <c r="SS817"/>
      <c r="ST817"/>
      <c r="SU817"/>
      <c r="SV817"/>
      <c r="SW817"/>
      <c r="SX817"/>
      <c r="SY817"/>
      <c r="SZ817"/>
      <c r="TA817"/>
      <c r="TB817"/>
      <c r="TC817"/>
      <c r="TD817"/>
      <c r="TE817"/>
      <c r="TF817"/>
      <c r="TG817"/>
      <c r="TH817"/>
      <c r="TI817"/>
      <c r="TJ817"/>
      <c r="TK817"/>
      <c r="TL817"/>
      <c r="TM817"/>
      <c r="TN817"/>
      <c r="TO817"/>
      <c r="TP817"/>
      <c r="TQ817"/>
      <c r="TR817"/>
      <c r="TS817"/>
      <c r="TT817"/>
      <c r="TU817"/>
      <c r="TV817"/>
      <c r="TW817"/>
      <c r="TX817"/>
      <c r="TY817"/>
      <c r="TZ817"/>
      <c r="UA817"/>
      <c r="UB817"/>
      <c r="UC817"/>
      <c r="UD817"/>
      <c r="UE817"/>
      <c r="UF817"/>
      <c r="UG817"/>
      <c r="UH817"/>
      <c r="UI817"/>
      <c r="UJ817"/>
      <c r="UK817"/>
      <c r="UL817"/>
      <c r="UM817"/>
      <c r="UN817"/>
      <c r="UO817"/>
      <c r="UP817"/>
      <c r="UQ817"/>
      <c r="UR817"/>
      <c r="US817"/>
      <c r="UT817"/>
      <c r="UU817"/>
      <c r="UV817"/>
      <c r="UW817"/>
      <c r="UX817"/>
      <c r="UY817"/>
      <c r="UZ817"/>
      <c r="VA817"/>
      <c r="VB817"/>
      <c r="VC817"/>
      <c r="VD817"/>
      <c r="VE817"/>
      <c r="VF817"/>
      <c r="VG817"/>
      <c r="VH817"/>
      <c r="VI817"/>
      <c r="VJ817"/>
      <c r="VK817"/>
      <c r="VL817"/>
      <c r="VM817"/>
      <c r="VN817"/>
      <c r="VO817"/>
      <c r="VP817"/>
      <c r="VQ817"/>
      <c r="VR817"/>
      <c r="VS817"/>
      <c r="VT817"/>
      <c r="VU817"/>
      <c r="VV817"/>
      <c r="VW817"/>
      <c r="VX817"/>
      <c r="VY817"/>
      <c r="VZ817"/>
      <c r="WA817"/>
      <c r="WB817"/>
      <c r="WC817"/>
      <c r="WD817"/>
      <c r="WE817"/>
      <c r="WF817"/>
      <c r="WG817"/>
      <c r="WH817"/>
      <c r="WI817"/>
      <c r="WJ817"/>
      <c r="WK817"/>
      <c r="WL817"/>
      <c r="WM817"/>
      <c r="WN817"/>
      <c r="WO817"/>
      <c r="WP817"/>
      <c r="WQ817"/>
      <c r="WR817"/>
      <c r="WS817"/>
      <c r="WT817"/>
      <c r="WU817"/>
      <c r="WV817"/>
      <c r="WW817"/>
      <c r="WX817"/>
      <c r="WY817"/>
      <c r="WZ817"/>
      <c r="XA817"/>
      <c r="XB817"/>
      <c r="XC817"/>
      <c r="XD817"/>
      <c r="XE817"/>
      <c r="XF817"/>
      <c r="XG817"/>
      <c r="XH817"/>
      <c r="XI817"/>
      <c r="XJ817"/>
      <c r="XK817"/>
      <c r="XL817"/>
      <c r="XM817"/>
      <c r="XN817"/>
      <c r="XO817"/>
      <c r="XP817"/>
      <c r="XQ817"/>
      <c r="XR817"/>
      <c r="XS817"/>
      <c r="XT817"/>
      <c r="XU817"/>
      <c r="XV817"/>
      <c r="XW817"/>
      <c r="XX817"/>
      <c r="XY817"/>
      <c r="XZ817"/>
      <c r="YA817"/>
      <c r="YB817"/>
      <c r="YC817"/>
      <c r="YD817"/>
      <c r="YE817"/>
      <c r="YF817"/>
      <c r="YG817"/>
      <c r="YH817"/>
      <c r="YI817"/>
      <c r="YJ817"/>
      <c r="YK817"/>
      <c r="YL817"/>
      <c r="YM817"/>
      <c r="YN817"/>
      <c r="YO817"/>
      <c r="YP817"/>
      <c r="YQ817"/>
      <c r="YR817"/>
      <c r="YS817"/>
      <c r="YT817"/>
      <c r="YU817"/>
      <c r="YV817"/>
      <c r="YW817"/>
      <c r="YX817"/>
      <c r="YY817"/>
      <c r="YZ817"/>
      <c r="ZA817"/>
      <c r="ZB817"/>
      <c r="ZC817"/>
      <c r="ZD817"/>
      <c r="ZE817"/>
      <c r="ZF817"/>
      <c r="ZG817"/>
      <c r="ZH817"/>
      <c r="ZI817"/>
      <c r="ZJ817"/>
      <c r="ZK817"/>
      <c r="ZL817"/>
      <c r="ZM817"/>
      <c r="ZN817"/>
      <c r="ZO817"/>
      <c r="ZP817"/>
      <c r="ZQ817"/>
      <c r="ZR817"/>
      <c r="ZS817"/>
      <c r="ZT817"/>
      <c r="ZU817"/>
      <c r="ZV817"/>
      <c r="ZW817"/>
      <c r="ZX817"/>
      <c r="ZY817"/>
      <c r="ZZ817"/>
      <c r="AAA817"/>
      <c r="AAB817"/>
      <c r="AAC817"/>
      <c r="AAD817"/>
      <c r="AAE817"/>
      <c r="AAF817"/>
      <c r="AAG817"/>
      <c r="AAH817"/>
      <c r="AAI817"/>
      <c r="AAJ817"/>
      <c r="AAK817"/>
      <c r="AAL817"/>
      <c r="AAM817"/>
      <c r="AAN817"/>
      <c r="AAO817"/>
      <c r="AAP817"/>
      <c r="AAQ817"/>
      <c r="AAR817"/>
      <c r="AAS817"/>
      <c r="AAT817"/>
      <c r="AAU817"/>
      <c r="AAV817"/>
      <c r="AAW817"/>
      <c r="AAX817"/>
      <c r="AAY817"/>
      <c r="AAZ817"/>
      <c r="ABA817"/>
      <c r="ABB817"/>
      <c r="ABC817"/>
      <c r="ABD817"/>
      <c r="ABE817"/>
      <c r="ABF817"/>
      <c r="ABG817"/>
      <c r="ABH817"/>
      <c r="ABI817"/>
      <c r="ABJ817"/>
      <c r="ABK817"/>
      <c r="ABL817"/>
      <c r="ABM817"/>
      <c r="ABN817"/>
      <c r="ABO817"/>
      <c r="ABP817"/>
      <c r="ABQ817"/>
      <c r="ABR817"/>
      <c r="ABS817"/>
      <c r="ABT817"/>
      <c r="ABU817"/>
      <c r="ABV817"/>
      <c r="ABW817"/>
      <c r="ABX817"/>
      <c r="ABY817"/>
      <c r="ABZ817"/>
      <c r="ACA817"/>
      <c r="ACB817"/>
      <c r="ACC817"/>
      <c r="ACD817"/>
      <c r="ACE817"/>
      <c r="ACF817"/>
      <c r="ACG817"/>
      <c r="ACH817"/>
      <c r="ACI817"/>
      <c r="ACJ817"/>
      <c r="ACK817"/>
      <c r="ACL817"/>
      <c r="ACM817"/>
      <c r="ACN817"/>
      <c r="ACO817"/>
      <c r="ACP817"/>
      <c r="ACQ817"/>
      <c r="ACR817"/>
      <c r="ACS817"/>
      <c r="ACT817"/>
      <c r="ACU817"/>
      <c r="ACV817"/>
      <c r="ACW817"/>
      <c r="ACX817"/>
      <c r="ACY817"/>
      <c r="ACZ817"/>
      <c r="ADA817"/>
      <c r="ADB817"/>
      <c r="ADC817"/>
      <c r="ADD817"/>
      <c r="ADE817"/>
      <c r="ADF817"/>
      <c r="ADG817"/>
      <c r="ADH817"/>
      <c r="ADI817"/>
      <c r="ADJ817"/>
      <c r="ADK817"/>
      <c r="ADL817"/>
      <c r="ADM817"/>
      <c r="ADN817"/>
      <c r="ADO817"/>
      <c r="ADP817"/>
      <c r="ADQ817"/>
      <c r="ADR817"/>
      <c r="ADS817"/>
      <c r="ADT817"/>
      <c r="ADU817"/>
      <c r="ADV817"/>
      <c r="ADW817"/>
      <c r="ADX817"/>
      <c r="ADY817"/>
      <c r="ADZ817"/>
      <c r="AEA817"/>
      <c r="AEB817"/>
      <c r="AEC817"/>
      <c r="AED817"/>
      <c r="AEE817"/>
      <c r="AEF817"/>
      <c r="AEG817"/>
      <c r="AEH817"/>
      <c r="AEI817"/>
      <c r="AEJ817"/>
      <c r="AEK817"/>
      <c r="AEL817"/>
      <c r="AEM817"/>
      <c r="AEN817"/>
      <c r="AEO817"/>
      <c r="AEP817"/>
      <c r="AEQ817"/>
      <c r="AER817"/>
      <c r="AES817"/>
      <c r="AET817"/>
      <c r="AEU817"/>
      <c r="AEV817"/>
      <c r="AEW817"/>
      <c r="AEX817"/>
      <c r="AEY817"/>
      <c r="AEZ817"/>
      <c r="AFA817"/>
      <c r="AFB817"/>
      <c r="AFC817"/>
      <c r="AFD817"/>
      <c r="AFE817"/>
      <c r="AFF817"/>
      <c r="AFG817"/>
      <c r="AFH817"/>
      <c r="AFI817"/>
      <c r="AFJ817"/>
      <c r="AFK817"/>
      <c r="AFL817"/>
      <c r="AFM817"/>
      <c r="AFN817"/>
      <c r="AFO817"/>
      <c r="AFP817"/>
      <c r="AFQ817"/>
      <c r="AFR817"/>
      <c r="AFS817"/>
      <c r="AFT817"/>
      <c r="AFU817"/>
      <c r="AFV817"/>
      <c r="AFW817"/>
      <c r="AFX817"/>
      <c r="AFY817"/>
      <c r="AFZ817"/>
      <c r="AGA817"/>
      <c r="AGB817"/>
      <c r="AGC817"/>
      <c r="AGD817"/>
      <c r="AGE817"/>
      <c r="AGF817"/>
      <c r="AGG817"/>
      <c r="AGH817"/>
      <c r="AGI817"/>
      <c r="AGJ817"/>
      <c r="AGK817"/>
      <c r="AGL817"/>
      <c r="AGM817"/>
      <c r="AGN817"/>
      <c r="AGO817"/>
      <c r="AGP817"/>
      <c r="AGQ817"/>
      <c r="AGR817"/>
      <c r="AGS817"/>
      <c r="AGT817"/>
      <c r="AGU817"/>
      <c r="AGV817"/>
      <c r="AGW817"/>
      <c r="AGX817"/>
      <c r="AGY817"/>
      <c r="AGZ817"/>
      <c r="AHA817"/>
      <c r="AHB817"/>
      <c r="AHC817"/>
      <c r="AHD817"/>
      <c r="AHE817"/>
      <c r="AHF817"/>
      <c r="AHG817"/>
      <c r="AHH817"/>
      <c r="AHI817"/>
      <c r="AHJ817"/>
      <c r="AHK817"/>
      <c r="AHL817"/>
      <c r="AHM817"/>
      <c r="AHN817"/>
      <c r="AHO817"/>
      <c r="AHP817"/>
      <c r="AHQ817"/>
      <c r="AHR817"/>
      <c r="AHS817"/>
      <c r="AHT817"/>
      <c r="AHU817"/>
      <c r="AHV817"/>
      <c r="AHW817"/>
      <c r="AHX817"/>
      <c r="AHY817"/>
      <c r="AHZ817"/>
      <c r="AIA817"/>
      <c r="AIB817"/>
      <c r="AIC817"/>
      <c r="AID817"/>
      <c r="AIE817"/>
      <c r="AIF817"/>
      <c r="AIG817"/>
      <c r="AIH817"/>
      <c r="AII817"/>
      <c r="AIJ817"/>
      <c r="AIK817"/>
      <c r="AIL817"/>
      <c r="AIM817"/>
      <c r="AIN817"/>
      <c r="AIO817"/>
      <c r="AIP817"/>
      <c r="AIQ817"/>
      <c r="AIR817"/>
      <c r="AIS817"/>
      <c r="AIT817"/>
      <c r="AIU817"/>
      <c r="AIV817"/>
      <c r="AIW817"/>
      <c r="AIX817"/>
      <c r="AIY817"/>
      <c r="AIZ817"/>
      <c r="AJA817"/>
      <c r="AJB817"/>
      <c r="AJC817"/>
      <c r="AJD817"/>
      <c r="AJE817"/>
      <c r="AJF817"/>
      <c r="AJG817"/>
      <c r="AJH817"/>
      <c r="AJI817"/>
      <c r="AJJ817"/>
      <c r="AJK817"/>
      <c r="AJL817"/>
      <c r="AJM817"/>
      <c r="AJN817"/>
      <c r="AJO817"/>
      <c r="AJP817"/>
      <c r="AJQ817"/>
      <c r="AJR817"/>
      <c r="AJS817"/>
      <c r="AJT817"/>
      <c r="AJU817"/>
      <c r="AJV817"/>
      <c r="AJW817"/>
      <c r="AJX817"/>
      <c r="AJY817"/>
      <c r="AJZ817"/>
      <c r="AKA817"/>
      <c r="AKB817"/>
      <c r="AKC817"/>
      <c r="AKD817"/>
      <c r="AKE817"/>
      <c r="AKF817"/>
      <c r="AKG817"/>
      <c r="AKH817"/>
      <c r="AKI817"/>
      <c r="AKJ817"/>
      <c r="AKK817"/>
      <c r="AKL817"/>
      <c r="AKM817"/>
      <c r="AKN817"/>
      <c r="AKO817"/>
      <c r="AKP817"/>
      <c r="AKQ817"/>
      <c r="AKR817"/>
      <c r="AKS817"/>
      <c r="AKT817"/>
      <c r="AKU817"/>
      <c r="AKV817"/>
      <c r="AKW817"/>
      <c r="AKX817"/>
      <c r="AKY817"/>
      <c r="AKZ817"/>
      <c r="ALA817"/>
      <c r="ALB817"/>
      <c r="ALC817"/>
      <c r="ALD817"/>
      <c r="ALE817"/>
      <c r="ALF817"/>
      <c r="ALG817"/>
      <c r="ALH817"/>
      <c r="ALI817"/>
      <c r="ALJ817"/>
      <c r="ALK817"/>
      <c r="ALL817"/>
      <c r="ALM817"/>
      <c r="ALN817"/>
      <c r="ALO817"/>
      <c r="ALP817"/>
      <c r="ALQ817"/>
      <c r="ALR817"/>
      <c r="ALS817"/>
      <c r="ALT817"/>
    </row>
    <row r="818" spans="1:1008" ht="14">
      <c r="A818" s="25" t="s">
        <v>2829</v>
      </c>
      <c r="B818" s="26" t="s">
        <v>2824</v>
      </c>
      <c r="C818" s="25" t="str">
        <f t="shared" si="12"/>
        <v>metal</v>
      </c>
      <c r="D818" s="27" t="s">
        <v>13</v>
      </c>
      <c r="E818" s="25" t="s">
        <v>2830</v>
      </c>
      <c r="F818" s="25" t="s">
        <v>2831</v>
      </c>
      <c r="G818" s="25">
        <v>500</v>
      </c>
      <c r="H818" s="28"/>
      <c r="I818"/>
      <c r="J818"/>
      <c r="K818"/>
      <c r="L818"/>
      <c r="M818"/>
      <c r="N818"/>
      <c r="O818"/>
      <c r="P818"/>
      <c r="Q818"/>
      <c r="R818"/>
      <c r="S818"/>
      <c r="T818"/>
      <c r="U818"/>
      <c r="V818"/>
      <c r="W818"/>
      <c r="X818"/>
      <c r="Y818"/>
      <c r="Z818"/>
      <c r="AA818"/>
      <c r="AB818"/>
      <c r="AC818"/>
      <c r="AD818"/>
      <c r="AE818"/>
      <c r="AF818"/>
      <c r="AG818"/>
      <c r="AH818"/>
      <c r="AI818"/>
      <c r="AJ818"/>
      <c r="AK818"/>
      <c r="AL818"/>
      <c r="AM818"/>
      <c r="AN818"/>
      <c r="AO818"/>
      <c r="AP818"/>
      <c r="AQ818"/>
      <c r="AR818"/>
      <c r="AS818"/>
      <c r="AT818"/>
      <c r="AU818"/>
      <c r="AV818"/>
      <c r="AW818"/>
      <c r="AX818"/>
      <c r="AY818"/>
      <c r="AZ818"/>
      <c r="BA818"/>
      <c r="BB818"/>
      <c r="BC818"/>
      <c r="BD818"/>
      <c r="BE818"/>
      <c r="BF818"/>
      <c r="BG818"/>
      <c r="BH818"/>
      <c r="BI818"/>
      <c r="BJ818"/>
      <c r="BK818"/>
      <c r="BL818"/>
      <c r="BM818"/>
      <c r="BN818"/>
      <c r="BO818"/>
      <c r="BP818"/>
      <c r="BQ818"/>
      <c r="BR818"/>
      <c r="BS818"/>
      <c r="BT818"/>
      <c r="BU818"/>
      <c r="BV818"/>
      <c r="BW818"/>
      <c r="BX818"/>
      <c r="BY818"/>
      <c r="BZ818"/>
      <c r="CA818"/>
      <c r="CB818"/>
      <c r="CC818"/>
      <c r="CD818"/>
      <c r="CE818"/>
      <c r="CF818"/>
      <c r="CG818"/>
      <c r="CH818"/>
      <c r="CI818"/>
      <c r="CJ818"/>
      <c r="CK818"/>
      <c r="CL818"/>
      <c r="CM818"/>
      <c r="CN818"/>
      <c r="CO818"/>
      <c r="CP818"/>
      <c r="CQ818"/>
      <c r="CR818"/>
      <c r="CS818"/>
      <c r="CT818"/>
      <c r="CU818"/>
      <c r="CV818"/>
      <c r="CW818"/>
      <c r="CX818"/>
      <c r="CY818"/>
      <c r="CZ818"/>
      <c r="DA818"/>
      <c r="DB818"/>
      <c r="DC818"/>
      <c r="DD818"/>
      <c r="DE818"/>
      <c r="DF818"/>
      <c r="DG818"/>
      <c r="DH818"/>
      <c r="DI818"/>
      <c r="DJ818"/>
      <c r="DK818"/>
      <c r="DL818"/>
      <c r="DM818"/>
      <c r="DN818"/>
      <c r="DO818"/>
      <c r="DP818"/>
      <c r="DQ818"/>
      <c r="DR818"/>
      <c r="DS818"/>
      <c r="DT818"/>
      <c r="DU818"/>
      <c r="DV818"/>
      <c r="DW818"/>
      <c r="DX818"/>
      <c r="DY818"/>
      <c r="DZ818"/>
      <c r="EA818"/>
      <c r="EB818"/>
      <c r="EC818"/>
      <c r="ED818"/>
      <c r="EE818"/>
      <c r="EF818"/>
      <c r="EG818"/>
      <c r="EH818"/>
      <c r="EI818"/>
      <c r="EJ818"/>
      <c r="EK818"/>
      <c r="EL818"/>
      <c r="EM818"/>
      <c r="EN818"/>
      <c r="EO818"/>
      <c r="EP818"/>
      <c r="EQ818"/>
      <c r="ER818"/>
      <c r="ES818"/>
      <c r="ET818"/>
      <c r="EU818"/>
      <c r="EV818"/>
      <c r="EW818"/>
      <c r="EX818"/>
      <c r="EY818"/>
      <c r="EZ818"/>
      <c r="FA818"/>
      <c r="FB818"/>
      <c r="FC818"/>
      <c r="FD818"/>
      <c r="FE818"/>
      <c r="FF818"/>
      <c r="FG818"/>
      <c r="FH818"/>
      <c r="FI818"/>
      <c r="FJ818"/>
      <c r="FK818"/>
      <c r="FL818"/>
      <c r="FM818"/>
      <c r="FN818"/>
      <c r="FO818"/>
      <c r="FP818"/>
      <c r="FQ818"/>
      <c r="FR818"/>
      <c r="FS818"/>
      <c r="FT818"/>
      <c r="FU818"/>
      <c r="FV818"/>
      <c r="FW818"/>
      <c r="FX818"/>
      <c r="FY818"/>
      <c r="FZ818"/>
      <c r="GA818"/>
      <c r="GB818"/>
      <c r="GC818"/>
      <c r="GD818"/>
      <c r="GE818"/>
      <c r="GF818"/>
      <c r="GG818"/>
      <c r="GH818"/>
      <c r="GI818"/>
      <c r="GJ818"/>
      <c r="GK818"/>
      <c r="GL818"/>
      <c r="GM818"/>
      <c r="GN818"/>
      <c r="GO818"/>
      <c r="GP818"/>
      <c r="GQ818"/>
      <c r="GR818"/>
      <c r="GS818"/>
      <c r="GT818"/>
      <c r="GU818"/>
      <c r="GV818"/>
      <c r="GW818"/>
      <c r="GX818"/>
      <c r="GY818"/>
      <c r="GZ818"/>
      <c r="HA818"/>
      <c r="HB818"/>
      <c r="HC818"/>
      <c r="HD818"/>
      <c r="HE818"/>
      <c r="HF818"/>
      <c r="HG818"/>
      <c r="HH818"/>
      <c r="HI818"/>
      <c r="HJ818"/>
      <c r="HK818"/>
      <c r="HL818"/>
      <c r="HM818"/>
      <c r="HN818"/>
      <c r="HO818"/>
      <c r="HP818"/>
      <c r="HQ818"/>
      <c r="HR818"/>
      <c r="HS818"/>
      <c r="HT818"/>
      <c r="HU818"/>
      <c r="HV818"/>
      <c r="HW818"/>
      <c r="HX818"/>
      <c r="HY818"/>
      <c r="HZ818"/>
      <c r="IA818"/>
      <c r="IB818"/>
      <c r="IC818"/>
      <c r="ID818"/>
      <c r="IE818"/>
      <c r="IF818"/>
      <c r="IG818"/>
      <c r="IH818"/>
      <c r="II818"/>
      <c r="IJ818"/>
      <c r="IK818"/>
      <c r="IL818"/>
      <c r="IM818"/>
      <c r="IN818"/>
      <c r="IO818"/>
      <c r="IP818"/>
      <c r="IQ818"/>
      <c r="IR818"/>
      <c r="IS818"/>
      <c r="IT818"/>
      <c r="IU818"/>
      <c r="IV818"/>
      <c r="IW818"/>
      <c r="IX818"/>
      <c r="IY818"/>
      <c r="IZ818"/>
      <c r="JA818"/>
      <c r="JB818"/>
      <c r="JC818"/>
      <c r="JD818"/>
      <c r="JE818"/>
      <c r="JF818"/>
      <c r="JG818"/>
      <c r="JH818"/>
      <c r="JI818"/>
      <c r="JJ818"/>
      <c r="JK818"/>
      <c r="JL818"/>
      <c r="JM818"/>
      <c r="JN818"/>
      <c r="JO818"/>
      <c r="JP818"/>
      <c r="JQ818"/>
      <c r="JR818"/>
      <c r="JS818"/>
      <c r="JT818"/>
      <c r="JU818"/>
      <c r="JV818"/>
      <c r="JW818"/>
      <c r="JX818"/>
      <c r="JY818"/>
      <c r="JZ818"/>
      <c r="KA818"/>
      <c r="KB818"/>
      <c r="KC818"/>
      <c r="KD818"/>
      <c r="KE818"/>
      <c r="KF818"/>
      <c r="KG818"/>
      <c r="KH818"/>
      <c r="KI818"/>
      <c r="KJ818"/>
      <c r="KK818"/>
      <c r="KL818"/>
      <c r="KM818"/>
      <c r="KN818"/>
      <c r="KO818"/>
      <c r="KP818"/>
      <c r="KQ818"/>
      <c r="KR818"/>
      <c r="KS818"/>
      <c r="KT818"/>
      <c r="KU818"/>
      <c r="KV818"/>
      <c r="KW818"/>
      <c r="KX818"/>
      <c r="KY818"/>
      <c r="KZ818"/>
      <c r="LA818"/>
      <c r="LB818"/>
      <c r="LC818"/>
      <c r="LD818"/>
      <c r="LE818"/>
      <c r="LF818"/>
      <c r="LG818"/>
      <c r="LH818"/>
      <c r="LI818"/>
      <c r="LJ818"/>
      <c r="LK818"/>
      <c r="LL818"/>
      <c r="LM818"/>
      <c r="LN818"/>
      <c r="LO818"/>
      <c r="LP818"/>
      <c r="LQ818"/>
      <c r="LR818"/>
      <c r="LS818"/>
      <c r="LT818"/>
      <c r="LU818"/>
      <c r="LV818"/>
      <c r="LW818"/>
      <c r="LX818"/>
      <c r="LY818"/>
      <c r="LZ818"/>
      <c r="MA818"/>
      <c r="MB818"/>
      <c r="MC818"/>
      <c r="MD818"/>
      <c r="ME818"/>
      <c r="MF818"/>
      <c r="MG818"/>
      <c r="MH818"/>
      <c r="MI818"/>
      <c r="MJ818"/>
      <c r="MK818"/>
      <c r="ML818"/>
      <c r="MM818"/>
      <c r="MN818"/>
      <c r="MO818"/>
      <c r="MP818"/>
      <c r="MQ818"/>
      <c r="MR818"/>
      <c r="MS818"/>
      <c r="MT818"/>
      <c r="MU818"/>
      <c r="MV818"/>
      <c r="MW818"/>
      <c r="MX818"/>
      <c r="MY818"/>
      <c r="MZ818"/>
      <c r="NA818"/>
      <c r="NB818"/>
      <c r="NC818"/>
      <c r="ND818"/>
      <c r="NE818"/>
      <c r="NF818"/>
      <c r="NG818"/>
      <c r="NH818"/>
      <c r="NI818"/>
      <c r="NJ818"/>
      <c r="NK818"/>
      <c r="NL818"/>
      <c r="NM818"/>
      <c r="NN818"/>
      <c r="NO818"/>
      <c r="NP818"/>
      <c r="NQ818"/>
      <c r="NR818"/>
      <c r="NS818"/>
      <c r="NT818"/>
      <c r="NU818"/>
      <c r="NV818"/>
      <c r="NW818"/>
      <c r="NX818"/>
      <c r="NY818"/>
      <c r="NZ818"/>
      <c r="OA818"/>
      <c r="OB818"/>
      <c r="OC818"/>
      <c r="OD818"/>
      <c r="OE818"/>
      <c r="OF818"/>
      <c r="OG818"/>
      <c r="OH818"/>
      <c r="OI818"/>
      <c r="OJ818"/>
      <c r="OK818"/>
      <c r="OL818"/>
      <c r="OM818"/>
      <c r="ON818"/>
      <c r="OO818"/>
      <c r="OP818"/>
      <c r="OQ818"/>
      <c r="OR818"/>
      <c r="OS818"/>
      <c r="OT818"/>
      <c r="OU818"/>
      <c r="OV818"/>
      <c r="OW818"/>
      <c r="OX818"/>
      <c r="OY818"/>
      <c r="OZ818"/>
      <c r="PA818"/>
      <c r="PB818"/>
      <c r="PC818"/>
      <c r="PD818"/>
      <c r="PE818"/>
      <c r="PF818"/>
      <c r="PG818"/>
      <c r="PH818"/>
      <c r="PI818"/>
      <c r="PJ818"/>
      <c r="PK818"/>
      <c r="PL818"/>
      <c r="PM818"/>
      <c r="PN818"/>
      <c r="PO818"/>
      <c r="PP818"/>
      <c r="PQ818"/>
      <c r="PR818"/>
      <c r="PS818"/>
      <c r="PT818"/>
      <c r="PU818"/>
      <c r="PV818"/>
      <c r="PW818"/>
      <c r="PX818"/>
      <c r="PY818"/>
      <c r="PZ818"/>
      <c r="QA818"/>
      <c r="QB818"/>
      <c r="QC818"/>
      <c r="QD818"/>
      <c r="QE818"/>
      <c r="QF818"/>
      <c r="QG818"/>
      <c r="QH818"/>
      <c r="QI818"/>
      <c r="QJ818"/>
      <c r="QK818"/>
      <c r="QL818"/>
      <c r="QM818"/>
      <c r="QN818"/>
      <c r="QO818"/>
      <c r="QP818"/>
      <c r="QQ818"/>
      <c r="QR818"/>
      <c r="QS818"/>
      <c r="QT818"/>
      <c r="QU818"/>
      <c r="QV818"/>
      <c r="QW818"/>
      <c r="QX818"/>
      <c r="QY818"/>
      <c r="QZ818"/>
      <c r="RA818"/>
      <c r="RB818"/>
      <c r="RC818"/>
      <c r="RD818"/>
      <c r="RE818"/>
      <c r="RF818"/>
      <c r="RG818"/>
      <c r="RH818"/>
      <c r="RI818"/>
      <c r="RJ818"/>
      <c r="RK818"/>
      <c r="RL818"/>
      <c r="RM818"/>
      <c r="RN818"/>
      <c r="RO818"/>
      <c r="RP818"/>
      <c r="RQ818"/>
      <c r="RR818"/>
      <c r="RS818"/>
      <c r="RT818"/>
      <c r="RU818"/>
      <c r="RV818"/>
      <c r="RW818"/>
      <c r="RX818"/>
      <c r="RY818"/>
      <c r="RZ818"/>
      <c r="SA818"/>
      <c r="SB818"/>
      <c r="SC818"/>
      <c r="SD818"/>
      <c r="SE818"/>
      <c r="SF818"/>
      <c r="SG818"/>
      <c r="SH818"/>
      <c r="SI818"/>
      <c r="SJ818"/>
      <c r="SK818"/>
      <c r="SL818"/>
      <c r="SM818"/>
      <c r="SN818"/>
      <c r="SO818"/>
      <c r="SP818"/>
      <c r="SQ818"/>
      <c r="SR818"/>
      <c r="SS818"/>
      <c r="ST818"/>
      <c r="SU818"/>
      <c r="SV818"/>
      <c r="SW818"/>
      <c r="SX818"/>
      <c r="SY818"/>
      <c r="SZ818"/>
      <c r="TA818"/>
      <c r="TB818"/>
      <c r="TC818"/>
      <c r="TD818"/>
      <c r="TE818"/>
      <c r="TF818"/>
      <c r="TG818"/>
      <c r="TH818"/>
      <c r="TI818"/>
      <c r="TJ818"/>
      <c r="TK818"/>
      <c r="TL818"/>
      <c r="TM818"/>
      <c r="TN818"/>
      <c r="TO818"/>
      <c r="TP818"/>
      <c r="TQ818"/>
      <c r="TR818"/>
      <c r="TS818"/>
      <c r="TT818"/>
      <c r="TU818"/>
      <c r="TV818"/>
      <c r="TW818"/>
      <c r="TX818"/>
      <c r="TY818"/>
      <c r="TZ818"/>
      <c r="UA818"/>
      <c r="UB818"/>
      <c r="UC818"/>
      <c r="UD818"/>
      <c r="UE818"/>
      <c r="UF818"/>
      <c r="UG818"/>
      <c r="UH818"/>
      <c r="UI818"/>
      <c r="UJ818"/>
      <c r="UK818"/>
      <c r="UL818"/>
      <c r="UM818"/>
      <c r="UN818"/>
      <c r="UO818"/>
      <c r="UP818"/>
      <c r="UQ818"/>
      <c r="UR818"/>
      <c r="US818"/>
      <c r="UT818"/>
      <c r="UU818"/>
      <c r="UV818"/>
      <c r="UW818"/>
      <c r="UX818"/>
      <c r="UY818"/>
      <c r="UZ818"/>
      <c r="VA818"/>
      <c r="VB818"/>
      <c r="VC818"/>
      <c r="VD818"/>
      <c r="VE818"/>
      <c r="VF818"/>
      <c r="VG818"/>
      <c r="VH818"/>
      <c r="VI818"/>
      <c r="VJ818"/>
      <c r="VK818"/>
      <c r="VL818"/>
      <c r="VM818"/>
      <c r="VN818"/>
      <c r="VO818"/>
      <c r="VP818"/>
      <c r="VQ818"/>
      <c r="VR818"/>
      <c r="VS818"/>
      <c r="VT818"/>
      <c r="VU818"/>
      <c r="VV818"/>
      <c r="VW818"/>
      <c r="VX818"/>
      <c r="VY818"/>
      <c r="VZ818"/>
      <c r="WA818"/>
      <c r="WB818"/>
      <c r="WC818"/>
      <c r="WD818"/>
      <c r="WE818"/>
      <c r="WF818"/>
      <c r="WG818"/>
      <c r="WH818"/>
      <c r="WI818"/>
      <c r="WJ818"/>
      <c r="WK818"/>
      <c r="WL818"/>
      <c r="WM818"/>
      <c r="WN818"/>
      <c r="WO818"/>
      <c r="WP818"/>
      <c r="WQ818"/>
      <c r="WR818"/>
      <c r="WS818"/>
      <c r="WT818"/>
      <c r="WU818"/>
      <c r="WV818"/>
      <c r="WW818"/>
      <c r="WX818"/>
      <c r="WY818"/>
      <c r="WZ818"/>
      <c r="XA818"/>
      <c r="XB818"/>
      <c r="XC818"/>
      <c r="XD818"/>
      <c r="XE818"/>
      <c r="XF818"/>
      <c r="XG818"/>
      <c r="XH818"/>
      <c r="XI818"/>
      <c r="XJ818"/>
      <c r="XK818"/>
      <c r="XL818"/>
      <c r="XM818"/>
      <c r="XN818"/>
      <c r="XO818"/>
      <c r="XP818"/>
      <c r="XQ818"/>
      <c r="XR818"/>
      <c r="XS818"/>
      <c r="XT818"/>
      <c r="XU818"/>
      <c r="XV818"/>
      <c r="XW818"/>
      <c r="XX818"/>
      <c r="XY818"/>
      <c r="XZ818"/>
      <c r="YA818"/>
      <c r="YB818"/>
      <c r="YC818"/>
      <c r="YD818"/>
      <c r="YE818"/>
      <c r="YF818"/>
      <c r="YG818"/>
      <c r="YH818"/>
      <c r="YI818"/>
      <c r="YJ818"/>
      <c r="YK818"/>
      <c r="YL818"/>
      <c r="YM818"/>
      <c r="YN818"/>
      <c r="YO818"/>
      <c r="YP818"/>
      <c r="YQ818"/>
      <c r="YR818"/>
      <c r="YS818"/>
      <c r="YT818"/>
      <c r="YU818"/>
      <c r="YV818"/>
      <c r="YW818"/>
      <c r="YX818"/>
      <c r="YY818"/>
      <c r="YZ818"/>
      <c r="ZA818"/>
      <c r="ZB818"/>
      <c r="ZC818"/>
      <c r="ZD818"/>
      <c r="ZE818"/>
      <c r="ZF818"/>
      <c r="ZG818"/>
      <c r="ZH818"/>
      <c r="ZI818"/>
      <c r="ZJ818"/>
      <c r="ZK818"/>
      <c r="ZL818"/>
      <c r="ZM818"/>
      <c r="ZN818"/>
      <c r="ZO818"/>
      <c r="ZP818"/>
      <c r="ZQ818"/>
      <c r="ZR818"/>
      <c r="ZS818"/>
      <c r="ZT818"/>
      <c r="ZU818"/>
      <c r="ZV818"/>
      <c r="ZW818"/>
      <c r="ZX818"/>
      <c r="ZY818"/>
      <c r="ZZ818"/>
      <c r="AAA818"/>
      <c r="AAB818"/>
      <c r="AAC818"/>
      <c r="AAD818"/>
      <c r="AAE818"/>
      <c r="AAF818"/>
      <c r="AAG818"/>
      <c r="AAH818"/>
      <c r="AAI818"/>
      <c r="AAJ818"/>
      <c r="AAK818"/>
      <c r="AAL818"/>
      <c r="AAM818"/>
      <c r="AAN818"/>
      <c r="AAO818"/>
      <c r="AAP818"/>
      <c r="AAQ818"/>
      <c r="AAR818"/>
      <c r="AAS818"/>
      <c r="AAT818"/>
      <c r="AAU818"/>
      <c r="AAV818"/>
      <c r="AAW818"/>
      <c r="AAX818"/>
      <c r="AAY818"/>
      <c r="AAZ818"/>
      <c r="ABA818"/>
      <c r="ABB818"/>
      <c r="ABC818"/>
      <c r="ABD818"/>
      <c r="ABE818"/>
      <c r="ABF818"/>
      <c r="ABG818"/>
      <c r="ABH818"/>
      <c r="ABI818"/>
      <c r="ABJ818"/>
      <c r="ABK818"/>
      <c r="ABL818"/>
      <c r="ABM818"/>
      <c r="ABN818"/>
      <c r="ABO818"/>
      <c r="ABP818"/>
      <c r="ABQ818"/>
      <c r="ABR818"/>
      <c r="ABS818"/>
      <c r="ABT818"/>
      <c r="ABU818"/>
      <c r="ABV818"/>
      <c r="ABW818"/>
      <c r="ABX818"/>
      <c r="ABY818"/>
      <c r="ABZ818"/>
      <c r="ACA818"/>
      <c r="ACB818"/>
      <c r="ACC818"/>
      <c r="ACD818"/>
      <c r="ACE818"/>
      <c r="ACF818"/>
      <c r="ACG818"/>
      <c r="ACH818"/>
      <c r="ACI818"/>
      <c r="ACJ818"/>
      <c r="ACK818"/>
      <c r="ACL818"/>
      <c r="ACM818"/>
      <c r="ACN818"/>
      <c r="ACO818"/>
      <c r="ACP818"/>
      <c r="ACQ818"/>
      <c r="ACR818"/>
      <c r="ACS818"/>
      <c r="ACT818"/>
      <c r="ACU818"/>
      <c r="ACV818"/>
      <c r="ACW818"/>
      <c r="ACX818"/>
      <c r="ACY818"/>
      <c r="ACZ818"/>
      <c r="ADA818"/>
      <c r="ADB818"/>
      <c r="ADC818"/>
      <c r="ADD818"/>
      <c r="ADE818"/>
      <c r="ADF818"/>
      <c r="ADG818"/>
      <c r="ADH818"/>
      <c r="ADI818"/>
      <c r="ADJ818"/>
      <c r="ADK818"/>
      <c r="ADL818"/>
      <c r="ADM818"/>
      <c r="ADN818"/>
      <c r="ADO818"/>
      <c r="ADP818"/>
      <c r="ADQ818"/>
      <c r="ADR818"/>
      <c r="ADS818"/>
      <c r="ADT818"/>
      <c r="ADU818"/>
      <c r="ADV818"/>
      <c r="ADW818"/>
      <c r="ADX818"/>
      <c r="ADY818"/>
      <c r="ADZ818"/>
      <c r="AEA818"/>
      <c r="AEB818"/>
      <c r="AEC818"/>
      <c r="AED818"/>
      <c r="AEE818"/>
      <c r="AEF818"/>
      <c r="AEG818"/>
      <c r="AEH818"/>
      <c r="AEI818"/>
      <c r="AEJ818"/>
      <c r="AEK818"/>
      <c r="AEL818"/>
      <c r="AEM818"/>
      <c r="AEN818"/>
      <c r="AEO818"/>
      <c r="AEP818"/>
      <c r="AEQ818"/>
      <c r="AER818"/>
      <c r="AES818"/>
      <c r="AET818"/>
      <c r="AEU818"/>
      <c r="AEV818"/>
      <c r="AEW818"/>
      <c r="AEX818"/>
      <c r="AEY818"/>
      <c r="AEZ818"/>
      <c r="AFA818"/>
      <c r="AFB818"/>
      <c r="AFC818"/>
      <c r="AFD818"/>
      <c r="AFE818"/>
      <c r="AFF818"/>
      <c r="AFG818"/>
      <c r="AFH818"/>
      <c r="AFI818"/>
      <c r="AFJ818"/>
      <c r="AFK818"/>
      <c r="AFL818"/>
      <c r="AFM818"/>
      <c r="AFN818"/>
      <c r="AFO818"/>
      <c r="AFP818"/>
      <c r="AFQ818"/>
      <c r="AFR818"/>
      <c r="AFS818"/>
      <c r="AFT818"/>
      <c r="AFU818"/>
      <c r="AFV818"/>
      <c r="AFW818"/>
      <c r="AFX818"/>
      <c r="AFY818"/>
      <c r="AFZ818"/>
      <c r="AGA818"/>
      <c r="AGB818"/>
      <c r="AGC818"/>
      <c r="AGD818"/>
      <c r="AGE818"/>
      <c r="AGF818"/>
      <c r="AGG818"/>
      <c r="AGH818"/>
      <c r="AGI818"/>
      <c r="AGJ818"/>
      <c r="AGK818"/>
      <c r="AGL818"/>
      <c r="AGM818"/>
      <c r="AGN818"/>
      <c r="AGO818"/>
      <c r="AGP818"/>
      <c r="AGQ818"/>
      <c r="AGR818"/>
      <c r="AGS818"/>
      <c r="AGT818"/>
      <c r="AGU818"/>
      <c r="AGV818"/>
      <c r="AGW818"/>
      <c r="AGX818"/>
      <c r="AGY818"/>
      <c r="AGZ818"/>
      <c r="AHA818"/>
      <c r="AHB818"/>
      <c r="AHC818"/>
      <c r="AHD818"/>
      <c r="AHE818"/>
      <c r="AHF818"/>
      <c r="AHG818"/>
      <c r="AHH818"/>
      <c r="AHI818"/>
      <c r="AHJ818"/>
      <c r="AHK818"/>
      <c r="AHL818"/>
      <c r="AHM818"/>
      <c r="AHN818"/>
      <c r="AHO818"/>
      <c r="AHP818"/>
      <c r="AHQ818"/>
      <c r="AHR818"/>
      <c r="AHS818"/>
      <c r="AHT818"/>
      <c r="AHU818"/>
      <c r="AHV818"/>
      <c r="AHW818"/>
      <c r="AHX818"/>
      <c r="AHY818"/>
      <c r="AHZ818"/>
      <c r="AIA818"/>
      <c r="AIB818"/>
      <c r="AIC818"/>
      <c r="AID818"/>
      <c r="AIE818"/>
      <c r="AIF818"/>
      <c r="AIG818"/>
      <c r="AIH818"/>
      <c r="AII818"/>
      <c r="AIJ818"/>
      <c r="AIK818"/>
      <c r="AIL818"/>
      <c r="AIM818"/>
      <c r="AIN818"/>
      <c r="AIO818"/>
      <c r="AIP818"/>
      <c r="AIQ818"/>
      <c r="AIR818"/>
      <c r="AIS818"/>
      <c r="AIT818"/>
      <c r="AIU818"/>
      <c r="AIV818"/>
      <c r="AIW818"/>
      <c r="AIX818"/>
      <c r="AIY818"/>
      <c r="AIZ818"/>
      <c r="AJA818"/>
      <c r="AJB818"/>
      <c r="AJC818"/>
      <c r="AJD818"/>
      <c r="AJE818"/>
      <c r="AJF818"/>
      <c r="AJG818"/>
      <c r="AJH818"/>
      <c r="AJI818"/>
      <c r="AJJ818"/>
      <c r="AJK818"/>
      <c r="AJL818"/>
      <c r="AJM818"/>
      <c r="AJN818"/>
      <c r="AJO818"/>
      <c r="AJP818"/>
      <c r="AJQ818"/>
      <c r="AJR818"/>
      <c r="AJS818"/>
      <c r="AJT818"/>
      <c r="AJU818"/>
      <c r="AJV818"/>
      <c r="AJW818"/>
      <c r="AJX818"/>
      <c r="AJY818"/>
      <c r="AJZ818"/>
      <c r="AKA818"/>
      <c r="AKB818"/>
      <c r="AKC818"/>
      <c r="AKD818"/>
      <c r="AKE818"/>
      <c r="AKF818"/>
      <c r="AKG818"/>
      <c r="AKH818"/>
      <c r="AKI818"/>
      <c r="AKJ818"/>
      <c r="AKK818"/>
      <c r="AKL818"/>
      <c r="AKM818"/>
      <c r="AKN818"/>
      <c r="AKO818"/>
      <c r="AKP818"/>
      <c r="AKQ818"/>
      <c r="AKR818"/>
      <c r="AKS818"/>
      <c r="AKT818"/>
      <c r="AKU818"/>
      <c r="AKV818"/>
      <c r="AKW818"/>
      <c r="AKX818"/>
      <c r="AKY818"/>
      <c r="AKZ818"/>
      <c r="ALA818"/>
      <c r="ALB818"/>
      <c r="ALC818"/>
      <c r="ALD818"/>
      <c r="ALE818"/>
      <c r="ALF818"/>
      <c r="ALG818"/>
      <c r="ALH818"/>
      <c r="ALI818"/>
      <c r="ALJ818"/>
      <c r="ALK818"/>
      <c r="ALL818"/>
      <c r="ALM818"/>
      <c r="ALN818"/>
      <c r="ALO818"/>
      <c r="ALP818"/>
      <c r="ALQ818"/>
      <c r="ALR818"/>
      <c r="ALS818"/>
      <c r="ALT818"/>
    </row>
    <row r="819" spans="1:1008" ht="14">
      <c r="A819" s="25" t="s">
        <v>2834</v>
      </c>
      <c r="B819" s="26" t="s">
        <v>2824</v>
      </c>
      <c r="C819" s="25" t="str">
        <f t="shared" si="12"/>
        <v>ionchromatography</v>
      </c>
      <c r="D819" s="27" t="s">
        <v>13</v>
      </c>
      <c r="E819" s="25" t="s">
        <v>2832</v>
      </c>
      <c r="F819" s="25" t="s">
        <v>2833</v>
      </c>
      <c r="G819" s="25">
        <v>500</v>
      </c>
      <c r="H819" s="25"/>
    </row>
    <row r="820" spans="1:1008" ht="14">
      <c r="A820" s="25" t="s">
        <v>2198</v>
      </c>
      <c r="B820" s="26" t="s">
        <v>148</v>
      </c>
      <c r="C820" s="25" t="str">
        <f t="shared" si="12"/>
        <v>directlfq</v>
      </c>
      <c r="D820" s="27" t="s">
        <v>13</v>
      </c>
      <c r="E820" s="25" t="s">
        <v>2199</v>
      </c>
      <c r="F820" s="27" t="s">
        <v>13</v>
      </c>
      <c r="G820" s="25">
        <v>500</v>
      </c>
      <c r="H820" s="25"/>
    </row>
    <row r="821" spans="1:1008" ht="14">
      <c r="A821" s="25" t="s">
        <v>3877</v>
      </c>
      <c r="B821" s="26" t="s">
        <v>148</v>
      </c>
      <c r="C821" s="25" t="str">
        <f t="shared" si="12"/>
        <v>ibaq</v>
      </c>
      <c r="D821" s="27" t="s">
        <v>13</v>
      </c>
      <c r="E821" s="25" t="s">
        <v>3878</v>
      </c>
      <c r="F821" s="27" t="s">
        <v>3879</v>
      </c>
      <c r="G821" s="25">
        <v>500</v>
      </c>
      <c r="H821" s="25"/>
    </row>
    <row r="822" spans="1:1008" ht="14">
      <c r="A822" s="25" t="s">
        <v>2200</v>
      </c>
      <c r="B822" s="26" t="s">
        <v>148</v>
      </c>
      <c r="C822" s="25" t="str">
        <f t="shared" ref="C822:C889" si="14">A822</f>
        <v>maxlfq</v>
      </c>
      <c r="D822" s="27" t="s">
        <v>13</v>
      </c>
      <c r="E822" s="25" t="s">
        <v>2201</v>
      </c>
      <c r="F822" s="27" t="s">
        <v>13</v>
      </c>
      <c r="G822" s="25">
        <v>500</v>
      </c>
      <c r="H822" s="25"/>
    </row>
    <row r="823" spans="1:1008" ht="14">
      <c r="A823" s="25" t="s">
        <v>2202</v>
      </c>
      <c r="B823" s="26" t="s">
        <v>148</v>
      </c>
      <c r="C823" s="25" t="str">
        <f t="shared" si="14"/>
        <v>speccount</v>
      </c>
      <c r="D823" s="27" t="s">
        <v>13</v>
      </c>
      <c r="E823" s="25" t="s">
        <v>2203</v>
      </c>
      <c r="F823" s="27" t="s">
        <v>13</v>
      </c>
      <c r="G823" s="25">
        <v>500</v>
      </c>
      <c r="H823" s="25"/>
    </row>
    <row r="824" spans="1:1008" ht="14">
      <c r="A824" s="25" t="s">
        <v>2204</v>
      </c>
      <c r="B824" s="26" t="s">
        <v>149</v>
      </c>
      <c r="C824" s="25" t="str">
        <f t="shared" si="14"/>
        <v>isobaric</v>
      </c>
      <c r="D824" s="27" t="s">
        <v>13</v>
      </c>
      <c r="E824" s="25" t="s">
        <v>2204</v>
      </c>
      <c r="F824" s="25" t="s">
        <v>2205</v>
      </c>
      <c r="G824" s="25">
        <v>500</v>
      </c>
      <c r="H824" s="25"/>
    </row>
    <row r="825" spans="1:1008" ht="14">
      <c r="A825" s="25" t="s">
        <v>2206</v>
      </c>
      <c r="B825" s="26" t="s">
        <v>149</v>
      </c>
      <c r="C825" s="25" t="str">
        <f t="shared" si="14"/>
        <v>istopic</v>
      </c>
      <c r="D825" s="27" t="s">
        <v>13</v>
      </c>
      <c r="E825" s="25" t="s">
        <v>2206</v>
      </c>
      <c r="F825" s="25" t="s">
        <v>2207</v>
      </c>
      <c r="G825" s="25">
        <v>500</v>
      </c>
      <c r="H825" s="25"/>
    </row>
    <row r="826" spans="1:1008" ht="14">
      <c r="A826" s="25" t="s">
        <v>2208</v>
      </c>
      <c r="B826" s="26" t="s">
        <v>149</v>
      </c>
      <c r="C826" s="25" t="str">
        <f t="shared" si="14"/>
        <v>label_free</v>
      </c>
      <c r="D826" s="27" t="s">
        <v>13</v>
      </c>
      <c r="E826" s="25" t="s">
        <v>2209</v>
      </c>
      <c r="F826" s="25" t="s">
        <v>2210</v>
      </c>
      <c r="G826" s="25">
        <v>500</v>
      </c>
      <c r="H826" s="25"/>
    </row>
    <row r="827" spans="1:1008" ht="14">
      <c r="A827" s="25" t="s">
        <v>2211</v>
      </c>
      <c r="B827" s="26" t="s">
        <v>149</v>
      </c>
      <c r="C827" s="25" t="str">
        <f t="shared" si="14"/>
        <v>silac</v>
      </c>
      <c r="D827" s="27" t="s">
        <v>13</v>
      </c>
      <c r="E827" s="25" t="s">
        <v>2211</v>
      </c>
      <c r="F827" s="25" t="s">
        <v>2212</v>
      </c>
      <c r="G827" s="25">
        <v>500</v>
      </c>
      <c r="H827" s="25"/>
    </row>
    <row r="828" spans="1:1008" ht="14">
      <c r="A828" s="25" t="s">
        <v>2213</v>
      </c>
      <c r="B828" s="26" t="s">
        <v>152</v>
      </c>
      <c r="C828" s="25" t="str">
        <f t="shared" si="14"/>
        <v>dtt</v>
      </c>
      <c r="D828" s="27" t="s">
        <v>13</v>
      </c>
      <c r="E828" s="25" t="s">
        <v>2214</v>
      </c>
      <c r="F828" s="25" t="s">
        <v>2215</v>
      </c>
      <c r="G828" s="25">
        <v>500</v>
      </c>
      <c r="H828" s="25"/>
    </row>
    <row r="829" spans="1:1008" ht="14">
      <c r="A829" s="25" t="s">
        <v>3100</v>
      </c>
      <c r="B829" s="26" t="s">
        <v>152</v>
      </c>
      <c r="C829" s="25" t="str">
        <f t="shared" si="14"/>
        <v>no_reduction</v>
      </c>
      <c r="D829" s="27" t="s">
        <v>13</v>
      </c>
      <c r="E829" s="25" t="s">
        <v>263</v>
      </c>
      <c r="F829" s="25" t="s">
        <v>2216</v>
      </c>
      <c r="G829" s="25">
        <v>500</v>
      </c>
      <c r="H829" s="25"/>
    </row>
    <row r="830" spans="1:1008" ht="14">
      <c r="A830" s="25" t="s">
        <v>2217</v>
      </c>
      <c r="B830" s="26" t="s">
        <v>152</v>
      </c>
      <c r="C830" s="25" t="str">
        <f t="shared" si="14"/>
        <v>tcep</v>
      </c>
      <c r="D830" s="27" t="s">
        <v>13</v>
      </c>
      <c r="E830" s="25" t="s">
        <v>2218</v>
      </c>
      <c r="F830" s="25" t="s">
        <v>2219</v>
      </c>
      <c r="G830" s="25">
        <v>500</v>
      </c>
      <c r="H830" s="25"/>
    </row>
    <row r="831" spans="1:1008" ht="14">
      <c r="A831" s="25" t="s">
        <v>1286</v>
      </c>
      <c r="B831" s="26" t="s">
        <v>2220</v>
      </c>
      <c r="C831" s="25" t="str">
        <f t="shared" si="14"/>
        <v>apoptosis</v>
      </c>
      <c r="D831" s="27" t="s">
        <v>13</v>
      </c>
      <c r="E831" s="25" t="s">
        <v>1287</v>
      </c>
      <c r="F831" s="25" t="s">
        <v>2221</v>
      </c>
      <c r="G831" s="25">
        <v>500</v>
      </c>
      <c r="H831" s="25"/>
    </row>
    <row r="832" spans="1:1008" ht="14">
      <c r="A832" s="25" t="s">
        <v>2222</v>
      </c>
      <c r="B832" s="26" t="s">
        <v>2220</v>
      </c>
      <c r="C832" s="25" t="str">
        <f t="shared" si="14"/>
        <v>autocrine</v>
      </c>
      <c r="D832" s="27" t="s">
        <v>13</v>
      </c>
      <c r="E832" s="25" t="s">
        <v>2223</v>
      </c>
      <c r="F832" s="25" t="s">
        <v>2224</v>
      </c>
      <c r="G832" s="25">
        <v>500</v>
      </c>
      <c r="H832" s="25"/>
    </row>
    <row r="833" spans="1:8" ht="14">
      <c r="A833" s="25" t="s">
        <v>2225</v>
      </c>
      <c r="B833" s="26" t="s">
        <v>2220</v>
      </c>
      <c r="C833" s="25" t="str">
        <f t="shared" si="14"/>
        <v>complement</v>
      </c>
      <c r="D833" s="27" t="s">
        <v>13</v>
      </c>
      <c r="E833" s="25" t="s">
        <v>2226</v>
      </c>
      <c r="F833" s="25" t="s">
        <v>2227</v>
      </c>
      <c r="G833" s="25">
        <v>500</v>
      </c>
      <c r="H833" s="25"/>
    </row>
    <row r="834" spans="1:8" ht="14">
      <c r="A834" s="25" t="s">
        <v>2228</v>
      </c>
      <c r="B834" s="26" t="s">
        <v>2220</v>
      </c>
      <c r="C834" s="25" t="str">
        <f t="shared" si="14"/>
        <v>cytokines</v>
      </c>
      <c r="D834" s="27" t="s">
        <v>13</v>
      </c>
      <c r="E834" s="25" t="s">
        <v>2229</v>
      </c>
      <c r="F834" s="25" t="s">
        <v>2230</v>
      </c>
      <c r="G834" s="25">
        <v>500</v>
      </c>
      <c r="H834" s="25"/>
    </row>
    <row r="835" spans="1:8" ht="14">
      <c r="A835" s="25" t="s">
        <v>2231</v>
      </c>
      <c r="B835" s="26" t="s">
        <v>2220</v>
      </c>
      <c r="C835" s="25" t="str">
        <f t="shared" si="14"/>
        <v>inflammation</v>
      </c>
      <c r="D835" s="27" t="s">
        <v>13</v>
      </c>
      <c r="E835" s="25" t="s">
        <v>2232</v>
      </c>
      <c r="F835" s="25" t="s">
        <v>2233</v>
      </c>
      <c r="G835" s="25">
        <v>500</v>
      </c>
      <c r="H835" s="25"/>
    </row>
    <row r="836" spans="1:8" ht="14">
      <c r="A836" s="25" t="s">
        <v>2234</v>
      </c>
      <c r="B836" s="26" t="s">
        <v>2220</v>
      </c>
      <c r="C836" s="25" t="str">
        <f t="shared" si="14"/>
        <v>insulin</v>
      </c>
      <c r="D836" s="27" t="s">
        <v>13</v>
      </c>
      <c r="E836" s="25" t="s">
        <v>2235</v>
      </c>
      <c r="F836" s="25" t="s">
        <v>2236</v>
      </c>
      <c r="G836" s="25">
        <v>500</v>
      </c>
      <c r="H836" s="25"/>
    </row>
    <row r="837" spans="1:8" ht="14">
      <c r="A837" s="25" t="s">
        <v>2237</v>
      </c>
      <c r="B837" s="26" t="s">
        <v>2220</v>
      </c>
      <c r="C837" s="25" t="str">
        <f t="shared" si="14"/>
        <v>juxtacrine</v>
      </c>
      <c r="D837" s="27" t="s">
        <v>13</v>
      </c>
      <c r="E837" s="25" t="s">
        <v>2238</v>
      </c>
      <c r="F837" s="25" t="s">
        <v>2239</v>
      </c>
      <c r="G837" s="25">
        <v>500</v>
      </c>
      <c r="H837" s="25"/>
    </row>
    <row r="838" spans="1:8" ht="14">
      <c r="A838" s="25" t="s">
        <v>2240</v>
      </c>
      <c r="B838" s="26" t="s">
        <v>2220</v>
      </c>
      <c r="C838" s="25" t="str">
        <f t="shared" si="14"/>
        <v>necrosis</v>
      </c>
      <c r="D838" s="27" t="s">
        <v>13</v>
      </c>
      <c r="E838" s="25" t="s">
        <v>2241</v>
      </c>
      <c r="F838" s="25" t="s">
        <v>2242</v>
      </c>
      <c r="G838" s="25">
        <v>500</v>
      </c>
      <c r="H838" s="25"/>
    </row>
    <row r="839" spans="1:8" ht="14">
      <c r="A839" s="25" t="s">
        <v>2243</v>
      </c>
      <c r="B839" s="26" t="s">
        <v>2220</v>
      </c>
      <c r="C839" s="25" t="str">
        <f t="shared" si="14"/>
        <v>paracrine</v>
      </c>
      <c r="D839" s="27" t="s">
        <v>13</v>
      </c>
      <c r="E839" s="25" t="s">
        <v>2244</v>
      </c>
      <c r="F839" s="25" t="s">
        <v>2245</v>
      </c>
      <c r="G839" s="25">
        <v>500</v>
      </c>
      <c r="H839" s="25"/>
    </row>
    <row r="840" spans="1:8" ht="14">
      <c r="A840" s="25" t="s">
        <v>1634</v>
      </c>
      <c r="B840" s="26" t="s">
        <v>2220</v>
      </c>
      <c r="C840" s="25" t="str">
        <f t="shared" si="14"/>
        <v>signaling</v>
      </c>
      <c r="D840" s="27" t="s">
        <v>13</v>
      </c>
      <c r="E840" s="25" t="s">
        <v>1635</v>
      </c>
      <c r="F840" s="25" t="s">
        <v>2246</v>
      </c>
      <c r="G840" s="25">
        <v>500</v>
      </c>
      <c r="H840" s="25"/>
    </row>
    <row r="841" spans="1:8" ht="14">
      <c r="A841" s="25" t="s">
        <v>2247</v>
      </c>
      <c r="B841" s="26" t="s">
        <v>27</v>
      </c>
      <c r="C841" s="25" t="str">
        <f t="shared" si="14"/>
        <v>diann</v>
      </c>
      <c r="D841" s="27" t="s">
        <v>13</v>
      </c>
      <c r="E841" s="25" t="s">
        <v>2248</v>
      </c>
      <c r="F841" s="25" t="s">
        <v>2249</v>
      </c>
      <c r="G841" s="25">
        <v>500</v>
      </c>
      <c r="H841" s="25"/>
    </row>
    <row r="842" spans="1:8" ht="14">
      <c r="A842" s="25" t="s">
        <v>2250</v>
      </c>
      <c r="B842" s="26" t="s">
        <v>27</v>
      </c>
      <c r="C842" s="25" t="str">
        <f t="shared" si="14"/>
        <v>maxquant</v>
      </c>
      <c r="D842" s="27" t="s">
        <v>13</v>
      </c>
      <c r="E842" s="25" t="s">
        <v>2251</v>
      </c>
      <c r="F842" s="25" t="s">
        <v>2252</v>
      </c>
      <c r="G842" s="25">
        <v>500</v>
      </c>
      <c r="H842" s="25"/>
    </row>
    <row r="843" spans="1:8" ht="14">
      <c r="A843" s="25" t="s">
        <v>2253</v>
      </c>
      <c r="B843" s="26" t="s">
        <v>27</v>
      </c>
      <c r="C843" s="25" t="str">
        <f t="shared" si="14"/>
        <v>metamorpheus</v>
      </c>
      <c r="D843" s="27" t="s">
        <v>13</v>
      </c>
      <c r="E843" s="25" t="s">
        <v>2254</v>
      </c>
      <c r="F843" s="25" t="s">
        <v>2255</v>
      </c>
      <c r="G843" s="25">
        <v>500</v>
      </c>
      <c r="H843" s="25"/>
    </row>
    <row r="844" spans="1:8" ht="14">
      <c r="A844" s="25" t="s">
        <v>2256</v>
      </c>
      <c r="B844" s="26" t="s">
        <v>27</v>
      </c>
      <c r="C844" s="25" t="str">
        <f t="shared" si="14"/>
        <v>minora</v>
      </c>
      <c r="D844" s="27" t="s">
        <v>13</v>
      </c>
      <c r="E844" s="25" t="s">
        <v>2257</v>
      </c>
      <c r="F844" s="25" t="s">
        <v>2258</v>
      </c>
      <c r="G844" s="25">
        <v>500</v>
      </c>
      <c r="H844" s="25"/>
    </row>
    <row r="845" spans="1:8" ht="14">
      <c r="A845" s="25" t="s">
        <v>2259</v>
      </c>
      <c r="B845" s="26" t="s">
        <v>27</v>
      </c>
      <c r="C845" s="25" t="str">
        <f t="shared" si="14"/>
        <v>msfragger</v>
      </c>
      <c r="D845" s="27" t="s">
        <v>13</v>
      </c>
      <c r="E845" s="25" t="s">
        <v>2260</v>
      </c>
      <c r="F845" s="25" t="s">
        <v>2261</v>
      </c>
      <c r="G845" s="25">
        <v>500</v>
      </c>
      <c r="H845" s="25"/>
    </row>
    <row r="846" spans="1:8" ht="14">
      <c r="A846" s="25" t="s">
        <v>2262</v>
      </c>
      <c r="B846" s="26" t="s">
        <v>27</v>
      </c>
      <c r="C846" s="25" t="str">
        <f t="shared" si="14"/>
        <v>msgf</v>
      </c>
      <c r="D846" s="27" t="s">
        <v>13</v>
      </c>
      <c r="E846" s="25" t="s">
        <v>2263</v>
      </c>
      <c r="F846" s="25" t="s">
        <v>2264</v>
      </c>
      <c r="G846" s="25">
        <v>500</v>
      </c>
      <c r="H846" s="25"/>
    </row>
    <row r="847" spans="1:8" ht="14">
      <c r="A847" s="25" t="s">
        <v>2265</v>
      </c>
      <c r="B847" s="26" t="s">
        <v>27</v>
      </c>
      <c r="C847" s="25" t="str">
        <f t="shared" si="14"/>
        <v>spectronaut</v>
      </c>
      <c r="D847" s="27" t="s">
        <v>13</v>
      </c>
      <c r="E847" s="25" t="s">
        <v>2266</v>
      </c>
      <c r="F847" s="25" t="s">
        <v>2267</v>
      </c>
      <c r="G847" s="25">
        <v>500</v>
      </c>
      <c r="H847" s="25"/>
    </row>
    <row r="848" spans="1:8" ht="14">
      <c r="A848" s="25" t="s">
        <v>2781</v>
      </c>
      <c r="B848" s="26" t="s">
        <v>2780</v>
      </c>
      <c r="C848" s="25" t="str">
        <f t="shared" si="14"/>
        <v>wc</v>
      </c>
      <c r="D848" s="27" t="s">
        <v>13</v>
      </c>
      <c r="E848" s="25" t="s">
        <v>2782</v>
      </c>
      <c r="F848" s="25" t="s">
        <v>2783</v>
      </c>
      <c r="G848" s="25">
        <v>500</v>
      </c>
      <c r="H848" s="25"/>
    </row>
    <row r="849" spans="1:8" ht="14">
      <c r="A849" s="25" t="s">
        <v>2785</v>
      </c>
      <c r="B849" s="26" t="s">
        <v>2780</v>
      </c>
      <c r="C849" s="25" t="str">
        <f t="shared" si="14"/>
        <v>membrane</v>
      </c>
      <c r="D849" s="27" t="s">
        <v>13</v>
      </c>
      <c r="E849" s="25" t="s">
        <v>2786</v>
      </c>
      <c r="F849" s="25" t="s">
        <v>2787</v>
      </c>
      <c r="G849" s="25">
        <v>500</v>
      </c>
      <c r="H849" s="25"/>
    </row>
    <row r="850" spans="1:8" ht="14">
      <c r="A850" s="25" t="s">
        <v>2784</v>
      </c>
      <c r="B850" s="26" t="s">
        <v>2780</v>
      </c>
      <c r="C850" s="25" t="str">
        <f t="shared" si="14"/>
        <v>mitochondria</v>
      </c>
      <c r="D850" s="27" t="s">
        <v>13</v>
      </c>
      <c r="E850" s="25" t="s">
        <v>2801</v>
      </c>
      <c r="F850" s="25" t="s">
        <v>2800</v>
      </c>
      <c r="G850" s="25">
        <v>500</v>
      </c>
      <c r="H850" s="25"/>
    </row>
    <row r="851" spans="1:8" ht="14">
      <c r="A851" s="25" t="s">
        <v>2814</v>
      </c>
      <c r="B851" s="26" t="s">
        <v>2780</v>
      </c>
      <c r="C851" s="25" t="str">
        <f t="shared" si="14"/>
        <v>mitochondriapk</v>
      </c>
      <c r="D851" s="27" t="s">
        <v>13</v>
      </c>
      <c r="E851" s="25" t="s">
        <v>2812</v>
      </c>
      <c r="F851" s="25" t="s">
        <v>2813</v>
      </c>
      <c r="G851" s="25">
        <v>500</v>
      </c>
      <c r="H851" s="25"/>
    </row>
    <row r="852" spans="1:8" ht="14">
      <c r="A852" s="25" t="s">
        <v>4062</v>
      </c>
      <c r="B852" s="26" t="s">
        <v>2780</v>
      </c>
      <c r="C852" s="25" t="str">
        <f t="shared" ref="C852" si="15">A852</f>
        <v>mitochondriace</v>
      </c>
      <c r="D852" s="27" t="s">
        <v>13</v>
      </c>
      <c r="E852" s="25" t="s">
        <v>4060</v>
      </c>
      <c r="F852" s="25" t="s">
        <v>4061</v>
      </c>
      <c r="G852" s="25">
        <v>500</v>
      </c>
      <c r="H852" s="25"/>
    </row>
    <row r="853" spans="1:8" ht="14">
      <c r="A853" s="25" t="s">
        <v>2788</v>
      </c>
      <c r="B853" s="26" t="s">
        <v>2780</v>
      </c>
      <c r="C853" s="25" t="str">
        <f t="shared" si="14"/>
        <v>golgi</v>
      </c>
      <c r="D853" s="27" t="s">
        <v>13</v>
      </c>
      <c r="E853" s="25" t="s">
        <v>2789</v>
      </c>
      <c r="F853" s="25" t="s">
        <v>2790</v>
      </c>
      <c r="G853" s="25">
        <v>500</v>
      </c>
      <c r="H853" s="25"/>
    </row>
    <row r="854" spans="1:8" ht="14">
      <c r="A854" s="25" t="s">
        <v>2791</v>
      </c>
      <c r="B854" s="26" t="s">
        <v>2780</v>
      </c>
      <c r="C854" s="25" t="str">
        <f t="shared" si="14"/>
        <v>plasmamembrane</v>
      </c>
      <c r="D854" s="27" t="s">
        <v>13</v>
      </c>
      <c r="E854" s="25" t="s">
        <v>2799</v>
      </c>
      <c r="F854" s="25" t="s">
        <v>2792</v>
      </c>
      <c r="G854" s="25">
        <v>500</v>
      </c>
      <c r="H854" s="25"/>
    </row>
    <row r="855" spans="1:8" ht="14">
      <c r="A855" s="25" t="s">
        <v>2793</v>
      </c>
      <c r="B855" s="26" t="s">
        <v>2780</v>
      </c>
      <c r="C855" s="25" t="str">
        <f t="shared" si="14"/>
        <v>nucleus</v>
      </c>
      <c r="D855" s="27" t="s">
        <v>13</v>
      </c>
      <c r="E855" s="25" t="s">
        <v>2794</v>
      </c>
      <c r="F855" s="25" t="s">
        <v>2795</v>
      </c>
      <c r="G855" s="25">
        <v>500</v>
      </c>
      <c r="H855" s="25"/>
    </row>
    <row r="856" spans="1:8" ht="14">
      <c r="A856" s="25" t="s">
        <v>2796</v>
      </c>
      <c r="B856" s="26" t="s">
        <v>2780</v>
      </c>
      <c r="C856" s="25" t="str">
        <f t="shared" si="14"/>
        <v>cytosol</v>
      </c>
      <c r="D856" s="27" t="s">
        <v>13</v>
      </c>
      <c r="E856" s="25" t="s">
        <v>2797</v>
      </c>
      <c r="F856" s="25" t="s">
        <v>2798</v>
      </c>
      <c r="G856" s="25">
        <v>500</v>
      </c>
      <c r="H856" s="25"/>
    </row>
    <row r="857" spans="1:8" ht="14">
      <c r="A857" s="25" t="s">
        <v>4057</v>
      </c>
      <c r="B857" s="26" t="s">
        <v>2780</v>
      </c>
      <c r="C857" s="25" t="str">
        <f t="shared" si="14"/>
        <v>er</v>
      </c>
      <c r="D857" s="27" t="s">
        <v>13</v>
      </c>
      <c r="E857" s="25" t="s">
        <v>4059</v>
      </c>
      <c r="F857" s="25" t="s">
        <v>4058</v>
      </c>
      <c r="G857" s="25">
        <v>500</v>
      </c>
      <c r="H857" s="25"/>
    </row>
    <row r="858" spans="1:8" ht="14">
      <c r="A858" s="25" t="s">
        <v>4067</v>
      </c>
      <c r="B858" s="26" t="s">
        <v>2780</v>
      </c>
      <c r="C858" s="25" t="str">
        <f t="shared" si="14"/>
        <v>ercesup</v>
      </c>
      <c r="D858" s="27" t="s">
        <v>13</v>
      </c>
      <c r="E858" s="25" t="s">
        <v>4063</v>
      </c>
      <c r="F858" s="25" t="s">
        <v>4065</v>
      </c>
      <c r="G858" s="25">
        <v>500</v>
      </c>
      <c r="H858" s="25"/>
    </row>
    <row r="859" spans="1:8" ht="14">
      <c r="A859" s="25" t="s">
        <v>4068</v>
      </c>
      <c r="B859" s="26" t="s">
        <v>2780</v>
      </c>
      <c r="C859" s="25" t="str">
        <f t="shared" ref="C859" si="16">A859</f>
        <v>ercepellet</v>
      </c>
      <c r="D859" s="27" t="s">
        <v>13</v>
      </c>
      <c r="E859" s="25" t="s">
        <v>4064</v>
      </c>
      <c r="F859" s="25" t="s">
        <v>4066</v>
      </c>
      <c r="G859" s="25">
        <v>500</v>
      </c>
      <c r="H859" s="25"/>
    </row>
    <row r="860" spans="1:8" ht="14">
      <c r="A860" s="25" t="s">
        <v>2268</v>
      </c>
      <c r="B860" s="26" t="s">
        <v>159</v>
      </c>
      <c r="C860" s="25" t="str">
        <f t="shared" si="14"/>
        <v>adipose</v>
      </c>
      <c r="D860" s="25" t="s">
        <v>2268</v>
      </c>
      <c r="E860" s="25" t="s">
        <v>2269</v>
      </c>
      <c r="F860" s="25" t="s">
        <v>2270</v>
      </c>
      <c r="G860" s="25">
        <v>500</v>
      </c>
      <c r="H860" s="25"/>
    </row>
    <row r="861" spans="1:8" ht="14">
      <c r="A861" s="25" t="s">
        <v>2271</v>
      </c>
      <c r="B861" s="26" t="s">
        <v>159</v>
      </c>
      <c r="C861" s="25" t="str">
        <f t="shared" si="14"/>
        <v>areolar</v>
      </c>
      <c r="D861" s="25" t="s">
        <v>2271</v>
      </c>
      <c r="E861" s="25" t="s">
        <v>2272</v>
      </c>
      <c r="F861" s="25" t="s">
        <v>2273</v>
      </c>
      <c r="G861" s="25">
        <v>500</v>
      </c>
      <c r="H861" s="25"/>
    </row>
    <row r="862" spans="1:8" ht="14">
      <c r="A862" s="25" t="s">
        <v>2274</v>
      </c>
      <c r="B862" s="26" t="s">
        <v>159</v>
      </c>
      <c r="C862" s="25" t="str">
        <f t="shared" si="14"/>
        <v>blood</v>
      </c>
      <c r="D862" s="25" t="s">
        <v>2274</v>
      </c>
      <c r="E862" s="25" t="s">
        <v>2275</v>
      </c>
      <c r="F862" s="25" t="s">
        <v>2275</v>
      </c>
      <c r="G862" s="25">
        <v>500</v>
      </c>
      <c r="H862" s="25"/>
    </row>
    <row r="863" spans="1:8" ht="14">
      <c r="A863" s="25" t="s">
        <v>2276</v>
      </c>
      <c r="B863" s="26" t="s">
        <v>159</v>
      </c>
      <c r="C863" s="25" t="str">
        <f t="shared" si="14"/>
        <v>connective</v>
      </c>
      <c r="D863" s="25" t="s">
        <v>2276</v>
      </c>
      <c r="E863" s="25" t="s">
        <v>2277</v>
      </c>
      <c r="F863" s="25" t="s">
        <v>2278</v>
      </c>
      <c r="G863" s="25">
        <v>500</v>
      </c>
      <c r="H863" s="25"/>
    </row>
    <row r="864" spans="1:8" ht="14">
      <c r="A864" s="25" t="s">
        <v>2279</v>
      </c>
      <c r="B864" s="26" t="s">
        <v>159</v>
      </c>
      <c r="C864" s="25" t="str">
        <f t="shared" si="14"/>
        <v>dermis</v>
      </c>
      <c r="D864" s="25" t="s">
        <v>2279</v>
      </c>
      <c r="E864" s="25" t="s">
        <v>2280</v>
      </c>
      <c r="F864" s="25" t="s">
        <v>2280</v>
      </c>
      <c r="G864" s="25">
        <v>500</v>
      </c>
      <c r="H864" s="25"/>
    </row>
    <row r="865" spans="1:8" ht="14">
      <c r="A865" s="25" t="s">
        <v>2281</v>
      </c>
      <c r="B865" s="26" t="s">
        <v>159</v>
      </c>
      <c r="C865" s="25" t="str">
        <f t="shared" si="14"/>
        <v>epidermis</v>
      </c>
      <c r="D865" s="25" t="s">
        <v>2281</v>
      </c>
      <c r="E865" s="25" t="s">
        <v>2282</v>
      </c>
      <c r="F865" s="25" t="s">
        <v>2282</v>
      </c>
      <c r="G865" s="25">
        <v>500</v>
      </c>
      <c r="H865" s="25"/>
    </row>
    <row r="866" spans="1:8" ht="14">
      <c r="A866" s="25" t="s">
        <v>2283</v>
      </c>
      <c r="B866" s="26" t="s">
        <v>159</v>
      </c>
      <c r="C866" s="25" t="str">
        <f t="shared" si="14"/>
        <v>epithelial</v>
      </c>
      <c r="D866" s="25" t="s">
        <v>2283</v>
      </c>
      <c r="E866" s="25" t="s">
        <v>2284</v>
      </c>
      <c r="F866" s="25" t="s">
        <v>2285</v>
      </c>
      <c r="G866" s="25">
        <v>500</v>
      </c>
      <c r="H866" s="25"/>
    </row>
    <row r="867" spans="1:8" ht="14">
      <c r="A867" s="25" t="s">
        <v>2286</v>
      </c>
      <c r="B867" s="26" t="s">
        <v>159</v>
      </c>
      <c r="C867" s="25" t="str">
        <f t="shared" si="14"/>
        <v>hypodermis</v>
      </c>
      <c r="D867" s="25" t="s">
        <v>2286</v>
      </c>
      <c r="E867" s="25" t="s">
        <v>2287</v>
      </c>
      <c r="F867" s="25" t="s">
        <v>2287</v>
      </c>
      <c r="G867" s="25">
        <v>500</v>
      </c>
      <c r="H867" s="25"/>
    </row>
    <row r="868" spans="1:8" ht="14">
      <c r="A868" s="25" t="s">
        <v>2288</v>
      </c>
      <c r="B868" s="26" t="s">
        <v>159</v>
      </c>
      <c r="C868" s="25" t="str">
        <f t="shared" si="14"/>
        <v>muscle</v>
      </c>
      <c r="D868" s="25" t="s">
        <v>2288</v>
      </c>
      <c r="E868" s="25" t="s">
        <v>2681</v>
      </c>
      <c r="F868" s="25" t="s">
        <v>2289</v>
      </c>
      <c r="G868" s="25">
        <v>500</v>
      </c>
      <c r="H868" s="25"/>
    </row>
    <row r="869" spans="1:8" ht="14">
      <c r="A869" s="25" t="s">
        <v>2290</v>
      </c>
      <c r="B869" s="26" t="s">
        <v>159</v>
      </c>
      <c r="C869" s="25" t="str">
        <f t="shared" si="14"/>
        <v>nervous</v>
      </c>
      <c r="D869" s="25" t="s">
        <v>2290</v>
      </c>
      <c r="E869" s="25" t="s">
        <v>2109</v>
      </c>
      <c r="F869" s="25" t="s">
        <v>2291</v>
      </c>
      <c r="G869" s="25">
        <v>500</v>
      </c>
      <c r="H869" s="25"/>
    </row>
    <row r="870" spans="1:8" ht="14">
      <c r="A870" s="25" t="s">
        <v>2292</v>
      </c>
      <c r="B870" s="26" t="s">
        <v>159</v>
      </c>
      <c r="C870" s="25" t="str">
        <f t="shared" si="14"/>
        <v>reticular</v>
      </c>
      <c r="D870" s="25" t="s">
        <v>2292</v>
      </c>
      <c r="E870" s="25" t="s">
        <v>2293</v>
      </c>
      <c r="F870" s="25" t="s">
        <v>2294</v>
      </c>
      <c r="G870" s="25">
        <v>500</v>
      </c>
      <c r="H870" s="25"/>
    </row>
    <row r="871" spans="1:8" ht="14">
      <c r="A871" s="25" t="s">
        <v>2295</v>
      </c>
      <c r="B871" s="26" t="s">
        <v>159</v>
      </c>
      <c r="C871" s="25" t="str">
        <f t="shared" si="14"/>
        <v>stromal</v>
      </c>
      <c r="D871" s="25" t="s">
        <v>2295</v>
      </c>
      <c r="E871" s="25" t="s">
        <v>2296</v>
      </c>
      <c r="F871" s="25" t="s">
        <v>2297</v>
      </c>
      <c r="G871" s="25">
        <v>500</v>
      </c>
      <c r="H871" s="25"/>
    </row>
    <row r="872" spans="1:8" ht="14">
      <c r="A872" s="25" t="s">
        <v>2298</v>
      </c>
      <c r="B872" s="26" t="s">
        <v>161</v>
      </c>
      <c r="C872" s="25" t="str">
        <f t="shared" si="14"/>
        <v>tmt10_126</v>
      </c>
      <c r="D872" s="27" t="s">
        <v>13</v>
      </c>
      <c r="E872" s="25">
        <v>126</v>
      </c>
      <c r="F872" s="27" t="s">
        <v>13</v>
      </c>
      <c r="G872" s="25">
        <v>500</v>
      </c>
      <c r="H872" s="25"/>
    </row>
    <row r="873" spans="1:8" ht="14">
      <c r="A873" s="25" t="s">
        <v>2299</v>
      </c>
      <c r="B873" s="26" t="s">
        <v>161</v>
      </c>
      <c r="C873" s="25" t="str">
        <f t="shared" si="14"/>
        <v>tmt10_127C</v>
      </c>
      <c r="D873" s="27" t="s">
        <v>13</v>
      </c>
      <c r="E873" s="25" t="s">
        <v>2300</v>
      </c>
      <c r="F873" s="27" t="s">
        <v>13</v>
      </c>
      <c r="G873" s="25">
        <v>500</v>
      </c>
      <c r="H873" s="25"/>
    </row>
    <row r="874" spans="1:8" ht="14">
      <c r="A874" s="25" t="s">
        <v>2301</v>
      </c>
      <c r="B874" s="26" t="s">
        <v>161</v>
      </c>
      <c r="C874" s="25" t="str">
        <f t="shared" si="14"/>
        <v>tmt10_127N</v>
      </c>
      <c r="D874" s="27" t="s">
        <v>13</v>
      </c>
      <c r="E874" s="25" t="s">
        <v>2302</v>
      </c>
      <c r="F874" s="27" t="s">
        <v>13</v>
      </c>
      <c r="G874" s="25">
        <v>500</v>
      </c>
      <c r="H874" s="25"/>
    </row>
    <row r="875" spans="1:8" ht="14">
      <c r="A875" s="25" t="s">
        <v>2303</v>
      </c>
      <c r="B875" s="26" t="s">
        <v>161</v>
      </c>
      <c r="C875" s="25" t="str">
        <f t="shared" si="14"/>
        <v>tmt10_128C</v>
      </c>
      <c r="D875" s="27" t="s">
        <v>13</v>
      </c>
      <c r="E875" s="25" t="s">
        <v>2304</v>
      </c>
      <c r="F875" s="27" t="s">
        <v>13</v>
      </c>
      <c r="G875" s="25">
        <v>500</v>
      </c>
      <c r="H875" s="25"/>
    </row>
    <row r="876" spans="1:8" ht="14">
      <c r="A876" s="25" t="s">
        <v>2305</v>
      </c>
      <c r="B876" s="26" t="s">
        <v>161</v>
      </c>
      <c r="C876" s="25" t="str">
        <f t="shared" si="14"/>
        <v>tmt10_128N</v>
      </c>
      <c r="D876" s="27" t="s">
        <v>13</v>
      </c>
      <c r="E876" s="25" t="s">
        <v>2306</v>
      </c>
      <c r="F876" s="27" t="s">
        <v>13</v>
      </c>
      <c r="G876" s="25">
        <v>500</v>
      </c>
      <c r="H876" s="25"/>
    </row>
    <row r="877" spans="1:8" ht="14">
      <c r="A877" s="25" t="s">
        <v>2307</v>
      </c>
      <c r="B877" s="26" t="s">
        <v>161</v>
      </c>
      <c r="C877" s="25" t="str">
        <f t="shared" si="14"/>
        <v>tmt10_129C</v>
      </c>
      <c r="D877" s="27" t="s">
        <v>13</v>
      </c>
      <c r="E877" s="25" t="s">
        <v>2308</v>
      </c>
      <c r="F877" s="27" t="s">
        <v>13</v>
      </c>
      <c r="G877" s="25">
        <v>500</v>
      </c>
      <c r="H877" s="25"/>
    </row>
    <row r="878" spans="1:8" ht="14">
      <c r="A878" s="25" t="s">
        <v>2309</v>
      </c>
      <c r="B878" s="26" t="s">
        <v>161</v>
      </c>
      <c r="C878" s="25" t="str">
        <f t="shared" si="14"/>
        <v>tmt10_129N</v>
      </c>
      <c r="D878" s="27" t="s">
        <v>13</v>
      </c>
      <c r="E878" s="25" t="s">
        <v>2310</v>
      </c>
      <c r="F878" s="27" t="s">
        <v>13</v>
      </c>
      <c r="G878" s="25">
        <v>500</v>
      </c>
      <c r="H878" s="25"/>
    </row>
    <row r="879" spans="1:8" ht="14">
      <c r="A879" s="25" t="s">
        <v>2311</v>
      </c>
      <c r="B879" s="26" t="s">
        <v>161</v>
      </c>
      <c r="C879" s="25" t="str">
        <f t="shared" si="14"/>
        <v>tmt10_130C</v>
      </c>
      <c r="D879" s="27" t="s">
        <v>13</v>
      </c>
      <c r="E879" s="25" t="s">
        <v>2312</v>
      </c>
      <c r="F879" s="27" t="s">
        <v>13</v>
      </c>
      <c r="G879" s="25">
        <v>500</v>
      </c>
      <c r="H879" s="25"/>
    </row>
    <row r="880" spans="1:8" ht="14">
      <c r="A880" s="25" t="s">
        <v>2313</v>
      </c>
      <c r="B880" s="26" t="s">
        <v>161</v>
      </c>
      <c r="C880" s="25" t="str">
        <f t="shared" si="14"/>
        <v>tmt10_130N</v>
      </c>
      <c r="D880" s="27" t="s">
        <v>13</v>
      </c>
      <c r="E880" s="25" t="s">
        <v>2314</v>
      </c>
      <c r="F880" s="27" t="s">
        <v>13</v>
      </c>
      <c r="G880" s="25">
        <v>500</v>
      </c>
      <c r="H880" s="25"/>
    </row>
    <row r="881" spans="1:8" ht="14">
      <c r="A881" s="25" t="s">
        <v>2315</v>
      </c>
      <c r="B881" s="26" t="s">
        <v>161</v>
      </c>
      <c r="C881" s="25" t="str">
        <f t="shared" si="14"/>
        <v>tmt10_131</v>
      </c>
      <c r="D881" s="27" t="s">
        <v>13</v>
      </c>
      <c r="E881" s="25">
        <v>131</v>
      </c>
      <c r="F881" s="27" t="s">
        <v>13</v>
      </c>
      <c r="G881" s="25">
        <v>500</v>
      </c>
      <c r="H881" s="25"/>
    </row>
    <row r="882" spans="1:8" ht="14">
      <c r="A882" s="25" t="s">
        <v>2316</v>
      </c>
      <c r="B882" s="26" t="s">
        <v>161</v>
      </c>
      <c r="C882" s="25" t="str">
        <f t="shared" si="14"/>
        <v>tmt11_126</v>
      </c>
      <c r="D882" s="27" t="s">
        <v>13</v>
      </c>
      <c r="E882" s="25">
        <v>126</v>
      </c>
      <c r="F882" s="27" t="s">
        <v>13</v>
      </c>
      <c r="G882" s="25">
        <v>500</v>
      </c>
      <c r="H882" s="25"/>
    </row>
    <row r="883" spans="1:8" ht="14">
      <c r="A883" s="25" t="s">
        <v>2317</v>
      </c>
      <c r="B883" s="26" t="s">
        <v>161</v>
      </c>
      <c r="C883" s="25" t="str">
        <f t="shared" si="14"/>
        <v>tmt11_127C</v>
      </c>
      <c r="D883" s="27" t="s">
        <v>13</v>
      </c>
      <c r="E883" s="25" t="s">
        <v>2300</v>
      </c>
      <c r="F883" s="27" t="s">
        <v>13</v>
      </c>
      <c r="G883" s="25">
        <v>500</v>
      </c>
      <c r="H883" s="25"/>
    </row>
    <row r="884" spans="1:8" ht="14">
      <c r="A884" s="25" t="s">
        <v>2318</v>
      </c>
      <c r="B884" s="26" t="s">
        <v>161</v>
      </c>
      <c r="C884" s="25" t="str">
        <f t="shared" si="14"/>
        <v>tmt11_127N</v>
      </c>
      <c r="D884" s="27" t="s">
        <v>13</v>
      </c>
      <c r="E884" s="25" t="s">
        <v>2302</v>
      </c>
      <c r="F884" s="27" t="s">
        <v>13</v>
      </c>
      <c r="G884" s="25">
        <v>500</v>
      </c>
      <c r="H884" s="25"/>
    </row>
    <row r="885" spans="1:8" ht="14">
      <c r="A885" s="25" t="s">
        <v>2319</v>
      </c>
      <c r="B885" s="26" t="s">
        <v>161</v>
      </c>
      <c r="C885" s="25" t="str">
        <f t="shared" si="14"/>
        <v>tmt11_128C</v>
      </c>
      <c r="D885" s="27" t="s">
        <v>13</v>
      </c>
      <c r="E885" s="25" t="s">
        <v>2304</v>
      </c>
      <c r="F885" s="27" t="s">
        <v>13</v>
      </c>
      <c r="G885" s="25">
        <v>500</v>
      </c>
      <c r="H885" s="25"/>
    </row>
    <row r="886" spans="1:8" ht="14">
      <c r="A886" s="25" t="s">
        <v>2320</v>
      </c>
      <c r="B886" s="26" t="s">
        <v>161</v>
      </c>
      <c r="C886" s="25" t="str">
        <f t="shared" si="14"/>
        <v>tmt11_128N</v>
      </c>
      <c r="D886" s="27" t="s">
        <v>13</v>
      </c>
      <c r="E886" s="25" t="s">
        <v>2306</v>
      </c>
      <c r="F886" s="27" t="s">
        <v>13</v>
      </c>
      <c r="G886" s="25">
        <v>500</v>
      </c>
      <c r="H886" s="25"/>
    </row>
    <row r="887" spans="1:8" ht="14">
      <c r="A887" s="25" t="s">
        <v>2321</v>
      </c>
      <c r="B887" s="26" t="s">
        <v>161</v>
      </c>
      <c r="C887" s="25" t="str">
        <f t="shared" si="14"/>
        <v>tmt11_129C</v>
      </c>
      <c r="D887" s="27" t="s">
        <v>13</v>
      </c>
      <c r="E887" s="25" t="s">
        <v>2308</v>
      </c>
      <c r="F887" s="27" t="s">
        <v>13</v>
      </c>
      <c r="G887" s="25">
        <v>500</v>
      </c>
      <c r="H887" s="25"/>
    </row>
    <row r="888" spans="1:8" ht="14">
      <c r="A888" s="25" t="s">
        <v>2322</v>
      </c>
      <c r="B888" s="26" t="s">
        <v>161</v>
      </c>
      <c r="C888" s="25" t="str">
        <f t="shared" si="14"/>
        <v>tmt11_129N</v>
      </c>
      <c r="D888" s="27" t="s">
        <v>13</v>
      </c>
      <c r="E888" s="25" t="s">
        <v>2310</v>
      </c>
      <c r="F888" s="27" t="s">
        <v>13</v>
      </c>
      <c r="G888" s="25">
        <v>500</v>
      </c>
      <c r="H888" s="25"/>
    </row>
    <row r="889" spans="1:8" ht="14">
      <c r="A889" s="25" t="s">
        <v>2323</v>
      </c>
      <c r="B889" s="26" t="s">
        <v>161</v>
      </c>
      <c r="C889" s="25" t="str">
        <f t="shared" si="14"/>
        <v>tmt11_130C</v>
      </c>
      <c r="D889" s="27" t="s">
        <v>13</v>
      </c>
      <c r="E889" s="25" t="s">
        <v>2312</v>
      </c>
      <c r="F889" s="27" t="s">
        <v>13</v>
      </c>
      <c r="G889" s="25">
        <v>500</v>
      </c>
      <c r="H889" s="25"/>
    </row>
    <row r="890" spans="1:8" ht="14">
      <c r="A890" s="25" t="s">
        <v>2324</v>
      </c>
      <c r="B890" s="26" t="s">
        <v>161</v>
      </c>
      <c r="C890" s="25" t="str">
        <f t="shared" ref="C890:C958" si="17">A890</f>
        <v>tmt11_130N</v>
      </c>
      <c r="D890" s="27" t="s">
        <v>13</v>
      </c>
      <c r="E890" s="25" t="s">
        <v>2314</v>
      </c>
      <c r="F890" s="27" t="s">
        <v>13</v>
      </c>
      <c r="G890" s="25">
        <v>500</v>
      </c>
      <c r="H890" s="25"/>
    </row>
    <row r="891" spans="1:8" ht="14">
      <c r="A891" s="25" t="s">
        <v>2325</v>
      </c>
      <c r="B891" s="26" t="s">
        <v>161</v>
      </c>
      <c r="C891" s="25" t="str">
        <f t="shared" si="17"/>
        <v>tmt11_131C</v>
      </c>
      <c r="D891" s="27" t="s">
        <v>13</v>
      </c>
      <c r="E891" s="25" t="s">
        <v>2326</v>
      </c>
      <c r="F891" s="27" t="s">
        <v>13</v>
      </c>
      <c r="G891" s="25">
        <v>500</v>
      </c>
      <c r="H891" s="25"/>
    </row>
    <row r="892" spans="1:8" ht="14">
      <c r="A892" s="25" t="s">
        <v>2327</v>
      </c>
      <c r="B892" s="26" t="s">
        <v>161</v>
      </c>
      <c r="C892" s="25" t="str">
        <f t="shared" si="17"/>
        <v>tmt11_131N</v>
      </c>
      <c r="D892" s="27" t="s">
        <v>13</v>
      </c>
      <c r="E892" s="25" t="s">
        <v>2328</v>
      </c>
      <c r="F892" s="27" t="s">
        <v>13</v>
      </c>
      <c r="G892" s="25">
        <v>500</v>
      </c>
      <c r="H892" s="25"/>
    </row>
    <row r="893" spans="1:8" ht="14">
      <c r="A893" s="25" t="s">
        <v>2329</v>
      </c>
      <c r="B893" s="26" t="s">
        <v>161</v>
      </c>
      <c r="C893" s="25" t="str">
        <f t="shared" si="17"/>
        <v>tmt18_126</v>
      </c>
      <c r="D893" s="27" t="s">
        <v>13</v>
      </c>
      <c r="E893" s="25">
        <v>126</v>
      </c>
      <c r="F893" s="27" t="s">
        <v>13</v>
      </c>
      <c r="G893" s="25">
        <v>500</v>
      </c>
      <c r="H893" s="25"/>
    </row>
    <row r="894" spans="1:8" ht="14">
      <c r="A894" s="25" t="s">
        <v>2330</v>
      </c>
      <c r="B894" s="26" t="s">
        <v>161</v>
      </c>
      <c r="C894" s="25" t="str">
        <f t="shared" si="17"/>
        <v>tmt18_127C</v>
      </c>
      <c r="D894" s="27" t="s">
        <v>13</v>
      </c>
      <c r="E894" s="25" t="s">
        <v>2300</v>
      </c>
      <c r="F894" s="27" t="s">
        <v>13</v>
      </c>
      <c r="G894" s="25">
        <v>500</v>
      </c>
      <c r="H894" s="25"/>
    </row>
    <row r="895" spans="1:8" ht="14">
      <c r="A895" s="25" t="s">
        <v>2331</v>
      </c>
      <c r="B895" s="26" t="s">
        <v>161</v>
      </c>
      <c r="C895" s="25" t="str">
        <f t="shared" si="17"/>
        <v>tmt18_127N</v>
      </c>
      <c r="D895" s="27" t="s">
        <v>13</v>
      </c>
      <c r="E895" s="25" t="s">
        <v>2302</v>
      </c>
      <c r="F895" s="27" t="s">
        <v>13</v>
      </c>
      <c r="G895" s="25">
        <v>500</v>
      </c>
      <c r="H895" s="25"/>
    </row>
    <row r="896" spans="1:8" ht="14">
      <c r="A896" s="25" t="s">
        <v>2332</v>
      </c>
      <c r="B896" s="26" t="s">
        <v>161</v>
      </c>
      <c r="C896" s="25" t="str">
        <f t="shared" si="17"/>
        <v>tmt18_128C</v>
      </c>
      <c r="D896" s="27" t="s">
        <v>13</v>
      </c>
      <c r="E896" s="25" t="s">
        <v>2304</v>
      </c>
      <c r="F896" s="27" t="s">
        <v>13</v>
      </c>
      <c r="G896" s="25">
        <v>500</v>
      </c>
      <c r="H896" s="25"/>
    </row>
    <row r="897" spans="1:8" ht="14">
      <c r="A897" s="25" t="s">
        <v>2333</v>
      </c>
      <c r="B897" s="26" t="s">
        <v>161</v>
      </c>
      <c r="C897" s="25" t="str">
        <f t="shared" si="17"/>
        <v>tmt18_128N</v>
      </c>
      <c r="D897" s="27" t="s">
        <v>13</v>
      </c>
      <c r="E897" s="25" t="s">
        <v>2306</v>
      </c>
      <c r="F897" s="27" t="s">
        <v>13</v>
      </c>
      <c r="G897" s="25">
        <v>500</v>
      </c>
      <c r="H897" s="25"/>
    </row>
    <row r="898" spans="1:8" ht="14">
      <c r="A898" s="25" t="s">
        <v>2334</v>
      </c>
      <c r="B898" s="26" t="s">
        <v>161</v>
      </c>
      <c r="C898" s="25" t="str">
        <f t="shared" si="17"/>
        <v>tmt18_129C</v>
      </c>
      <c r="D898" s="27" t="s">
        <v>13</v>
      </c>
      <c r="E898" s="25" t="s">
        <v>2308</v>
      </c>
      <c r="F898" s="27" t="s">
        <v>13</v>
      </c>
      <c r="G898" s="25">
        <v>500</v>
      </c>
      <c r="H898" s="25"/>
    </row>
    <row r="899" spans="1:8" ht="14">
      <c r="A899" s="25" t="s">
        <v>2335</v>
      </c>
      <c r="B899" s="26" t="s">
        <v>161</v>
      </c>
      <c r="C899" s="25" t="str">
        <f t="shared" si="17"/>
        <v>tmt18_129N</v>
      </c>
      <c r="D899" s="27" t="s">
        <v>13</v>
      </c>
      <c r="E899" s="25" t="s">
        <v>2310</v>
      </c>
      <c r="F899" s="27" t="s">
        <v>13</v>
      </c>
      <c r="G899" s="25">
        <v>500</v>
      </c>
      <c r="H899" s="25"/>
    </row>
    <row r="900" spans="1:8" ht="14">
      <c r="A900" s="25" t="s">
        <v>2336</v>
      </c>
      <c r="B900" s="26" t="s">
        <v>161</v>
      </c>
      <c r="C900" s="25" t="str">
        <f t="shared" si="17"/>
        <v>tmt18_130C</v>
      </c>
      <c r="D900" s="27" t="s">
        <v>13</v>
      </c>
      <c r="E900" s="25" t="s">
        <v>2312</v>
      </c>
      <c r="F900" s="27" t="s">
        <v>13</v>
      </c>
      <c r="G900" s="25">
        <v>500</v>
      </c>
      <c r="H900" s="25"/>
    </row>
    <row r="901" spans="1:8" ht="14">
      <c r="A901" s="25" t="s">
        <v>2337</v>
      </c>
      <c r="B901" s="26" t="s">
        <v>161</v>
      </c>
      <c r="C901" s="25" t="str">
        <f t="shared" si="17"/>
        <v>tmt18_130N</v>
      </c>
      <c r="D901" s="27" t="s">
        <v>13</v>
      </c>
      <c r="E901" s="25" t="s">
        <v>2314</v>
      </c>
      <c r="F901" s="27" t="s">
        <v>13</v>
      </c>
      <c r="G901" s="25">
        <v>500</v>
      </c>
      <c r="H901" s="25"/>
    </row>
    <row r="902" spans="1:8" ht="14">
      <c r="A902" s="25" t="s">
        <v>2338</v>
      </c>
      <c r="B902" s="26" t="s">
        <v>161</v>
      </c>
      <c r="C902" s="25" t="str">
        <f t="shared" si="17"/>
        <v>tmt18_131C</v>
      </c>
      <c r="D902" s="27" t="s">
        <v>13</v>
      </c>
      <c r="E902" s="25" t="s">
        <v>2326</v>
      </c>
      <c r="F902" s="27" t="s">
        <v>13</v>
      </c>
      <c r="G902" s="25">
        <v>500</v>
      </c>
      <c r="H902" s="25"/>
    </row>
    <row r="903" spans="1:8" ht="14">
      <c r="A903" s="25" t="s">
        <v>2339</v>
      </c>
      <c r="B903" s="26" t="s">
        <v>161</v>
      </c>
      <c r="C903" s="25" t="str">
        <f t="shared" si="17"/>
        <v>tmt18_131N</v>
      </c>
      <c r="D903" s="27" t="s">
        <v>13</v>
      </c>
      <c r="E903" s="25" t="s">
        <v>2328</v>
      </c>
      <c r="F903" s="27" t="s">
        <v>13</v>
      </c>
      <c r="G903" s="25">
        <v>500</v>
      </c>
      <c r="H903" s="25"/>
    </row>
    <row r="904" spans="1:8" ht="14">
      <c r="A904" s="25" t="s">
        <v>2340</v>
      </c>
      <c r="B904" s="26" t="s">
        <v>161</v>
      </c>
      <c r="C904" s="25" t="str">
        <f t="shared" si="17"/>
        <v>tmt18_132C</v>
      </c>
      <c r="D904" s="27" t="s">
        <v>13</v>
      </c>
      <c r="E904" s="25" t="s">
        <v>2341</v>
      </c>
      <c r="F904" s="27" t="s">
        <v>13</v>
      </c>
      <c r="G904" s="25">
        <v>500</v>
      </c>
      <c r="H904" s="25"/>
    </row>
    <row r="905" spans="1:8" ht="14">
      <c r="A905" s="25" t="s">
        <v>2342</v>
      </c>
      <c r="B905" s="26" t="s">
        <v>161</v>
      </c>
      <c r="C905" s="25" t="str">
        <f t="shared" si="17"/>
        <v>tmt18_132N</v>
      </c>
      <c r="D905" s="27" t="s">
        <v>13</v>
      </c>
      <c r="E905" s="25" t="s">
        <v>2343</v>
      </c>
      <c r="F905" s="27" t="s">
        <v>13</v>
      </c>
      <c r="G905" s="25">
        <v>500</v>
      </c>
      <c r="H905" s="25"/>
    </row>
    <row r="906" spans="1:8" ht="14">
      <c r="A906" s="25" t="s">
        <v>2344</v>
      </c>
      <c r="B906" s="26" t="s">
        <v>161</v>
      </c>
      <c r="C906" s="25" t="str">
        <f t="shared" si="17"/>
        <v>tmt18_133C</v>
      </c>
      <c r="D906" s="27" t="s">
        <v>13</v>
      </c>
      <c r="E906" s="25" t="s">
        <v>2345</v>
      </c>
      <c r="F906" s="27" t="s">
        <v>13</v>
      </c>
      <c r="G906" s="25">
        <v>500</v>
      </c>
      <c r="H906" s="25"/>
    </row>
    <row r="907" spans="1:8" ht="14">
      <c r="A907" s="25" t="s">
        <v>2346</v>
      </c>
      <c r="B907" s="26" t="s">
        <v>161</v>
      </c>
      <c r="C907" s="25" t="str">
        <f t="shared" si="17"/>
        <v>tmt18_133N</v>
      </c>
      <c r="D907" s="27" t="s">
        <v>13</v>
      </c>
      <c r="E907" s="25" t="s">
        <v>2347</v>
      </c>
      <c r="F907" s="27" t="s">
        <v>13</v>
      </c>
      <c r="G907" s="25">
        <v>500</v>
      </c>
      <c r="H907" s="25"/>
    </row>
    <row r="908" spans="1:8" ht="14">
      <c r="A908" s="25" t="s">
        <v>2348</v>
      </c>
      <c r="B908" s="26" t="s">
        <v>161</v>
      </c>
      <c r="C908" s="25" t="str">
        <f t="shared" si="17"/>
        <v>tmt18_134C</v>
      </c>
      <c r="D908" s="27" t="s">
        <v>13</v>
      </c>
      <c r="E908" s="25" t="s">
        <v>2349</v>
      </c>
      <c r="F908" s="27" t="s">
        <v>13</v>
      </c>
      <c r="G908" s="25">
        <v>500</v>
      </c>
      <c r="H908" s="25"/>
    </row>
    <row r="909" spans="1:8" ht="14">
      <c r="A909" s="25" t="s">
        <v>2350</v>
      </c>
      <c r="B909" s="26" t="s">
        <v>161</v>
      </c>
      <c r="C909" s="25" t="str">
        <f t="shared" si="17"/>
        <v>tmt18_134N</v>
      </c>
      <c r="D909" s="27" t="s">
        <v>13</v>
      </c>
      <c r="E909" s="25" t="s">
        <v>2351</v>
      </c>
      <c r="F909" s="27" t="s">
        <v>13</v>
      </c>
      <c r="G909" s="25">
        <v>500</v>
      </c>
      <c r="H909" s="25"/>
    </row>
    <row r="910" spans="1:8" ht="14">
      <c r="A910" s="25" t="s">
        <v>2352</v>
      </c>
      <c r="B910" s="26" t="s">
        <v>161</v>
      </c>
      <c r="C910" s="25" t="str">
        <f t="shared" si="17"/>
        <v>tmt18_135N</v>
      </c>
      <c r="D910" s="27" t="s">
        <v>13</v>
      </c>
      <c r="E910" s="25" t="s">
        <v>2353</v>
      </c>
      <c r="F910" s="27" t="s">
        <v>13</v>
      </c>
      <c r="G910" s="25">
        <v>500</v>
      </c>
      <c r="H910" s="25"/>
    </row>
    <row r="911" spans="1:8" ht="14">
      <c r="A911" s="25" t="s">
        <v>2354</v>
      </c>
      <c r="B911" s="26" t="s">
        <v>161</v>
      </c>
      <c r="C911" s="25" t="str">
        <f t="shared" si="17"/>
        <v>tmt6_126</v>
      </c>
      <c r="D911" s="27" t="s">
        <v>13</v>
      </c>
      <c r="E911" s="25">
        <v>126</v>
      </c>
      <c r="F911" s="27" t="s">
        <v>13</v>
      </c>
      <c r="G911" s="25">
        <v>500</v>
      </c>
      <c r="H911" s="25"/>
    </row>
    <row r="912" spans="1:8" ht="14">
      <c r="A912" s="25" t="s">
        <v>2355</v>
      </c>
      <c r="B912" s="26" t="s">
        <v>161</v>
      </c>
      <c r="C912" s="25" t="str">
        <f t="shared" si="17"/>
        <v>tmt6_127</v>
      </c>
      <c r="D912" s="27" t="s">
        <v>13</v>
      </c>
      <c r="E912" s="25">
        <v>127</v>
      </c>
      <c r="F912" s="27" t="s">
        <v>13</v>
      </c>
      <c r="G912" s="25">
        <v>500</v>
      </c>
      <c r="H912" s="25"/>
    </row>
    <row r="913" spans="1:8" ht="14">
      <c r="A913" s="25" t="s">
        <v>2356</v>
      </c>
      <c r="B913" s="26" t="s">
        <v>161</v>
      </c>
      <c r="C913" s="25" t="str">
        <f t="shared" si="17"/>
        <v>tmt6_128</v>
      </c>
      <c r="D913" s="27" t="s">
        <v>13</v>
      </c>
      <c r="E913" s="25">
        <v>128</v>
      </c>
      <c r="F913" s="27" t="s">
        <v>13</v>
      </c>
      <c r="G913" s="25">
        <v>500</v>
      </c>
      <c r="H913" s="25"/>
    </row>
    <row r="914" spans="1:8" ht="14">
      <c r="A914" s="25" t="s">
        <v>2357</v>
      </c>
      <c r="B914" s="26" t="s">
        <v>161</v>
      </c>
      <c r="C914" s="25" t="str">
        <f t="shared" si="17"/>
        <v>tmt6_129</v>
      </c>
      <c r="D914" s="27" t="s">
        <v>13</v>
      </c>
      <c r="E914" s="25">
        <v>129</v>
      </c>
      <c r="F914" s="27" t="s">
        <v>13</v>
      </c>
      <c r="G914" s="25">
        <v>500</v>
      </c>
      <c r="H914" s="25"/>
    </row>
    <row r="915" spans="1:8" ht="14">
      <c r="A915" s="25" t="s">
        <v>2358</v>
      </c>
      <c r="B915" s="26" t="s">
        <v>161</v>
      </c>
      <c r="C915" s="25" t="str">
        <f t="shared" si="17"/>
        <v>tmt6_130</v>
      </c>
      <c r="D915" s="27" t="s">
        <v>13</v>
      </c>
      <c r="E915" s="25">
        <v>130</v>
      </c>
      <c r="F915" s="27" t="s">
        <v>13</v>
      </c>
      <c r="G915" s="25">
        <v>500</v>
      </c>
      <c r="H915" s="25"/>
    </row>
    <row r="916" spans="1:8" ht="14">
      <c r="A916" s="25" t="s">
        <v>2359</v>
      </c>
      <c r="B916" s="26" t="s">
        <v>161</v>
      </c>
      <c r="C916" s="25" t="str">
        <f t="shared" si="17"/>
        <v>tmt6_131</v>
      </c>
      <c r="D916" s="27" t="s">
        <v>13</v>
      </c>
      <c r="E916" s="25">
        <v>131</v>
      </c>
      <c r="F916" s="27" t="s">
        <v>13</v>
      </c>
      <c r="G916" s="25">
        <v>500</v>
      </c>
      <c r="H916" s="25"/>
    </row>
    <row r="917" spans="1:8" ht="14">
      <c r="A917" s="25" t="s">
        <v>2360</v>
      </c>
      <c r="B917" s="26" t="s">
        <v>168</v>
      </c>
      <c r="C917" s="25" t="str">
        <f t="shared" si="17"/>
        <v>biochem</v>
      </c>
      <c r="D917" s="27" t="s">
        <v>13</v>
      </c>
      <c r="E917" s="25" t="s">
        <v>2361</v>
      </c>
      <c r="F917" s="25" t="s">
        <v>2362</v>
      </c>
      <c r="G917" s="25">
        <v>500</v>
      </c>
      <c r="H917" s="25"/>
    </row>
    <row r="918" spans="1:8" ht="14">
      <c r="A918" s="25" t="s">
        <v>2363</v>
      </c>
      <c r="B918" s="26" t="s">
        <v>168</v>
      </c>
      <c r="C918" s="25" t="str">
        <f t="shared" si="17"/>
        <v>cecad</v>
      </c>
      <c r="D918" s="27" t="s">
        <v>13</v>
      </c>
      <c r="E918" s="25" t="s">
        <v>2364</v>
      </c>
      <c r="F918" s="25" t="s">
        <v>2365</v>
      </c>
      <c r="G918" s="25">
        <v>500</v>
      </c>
      <c r="H918" s="25"/>
    </row>
    <row r="919" spans="1:8" ht="14">
      <c r="A919" s="25" t="s">
        <v>2366</v>
      </c>
      <c r="B919" s="26" t="s">
        <v>168</v>
      </c>
      <c r="C919" s="25" t="str">
        <f t="shared" si="17"/>
        <v>mpiage</v>
      </c>
      <c r="D919" s="27" t="s">
        <v>13</v>
      </c>
      <c r="E919" s="25" t="s">
        <v>2367</v>
      </c>
      <c r="F919" s="25" t="s">
        <v>2368</v>
      </c>
      <c r="G919" s="25">
        <v>500</v>
      </c>
      <c r="H919" s="25"/>
    </row>
    <row r="920" spans="1:8" ht="14">
      <c r="A920" s="25" t="s">
        <v>2369</v>
      </c>
      <c r="B920" s="26" t="s">
        <v>168</v>
      </c>
      <c r="C920" s="25" t="str">
        <f t="shared" si="17"/>
        <v>mpimetab</v>
      </c>
      <c r="D920" s="27" t="s">
        <v>13</v>
      </c>
      <c r="E920" s="25" t="s">
        <v>2370</v>
      </c>
      <c r="F920" s="25" t="s">
        <v>2371</v>
      </c>
      <c r="G920" s="25">
        <v>500</v>
      </c>
      <c r="H920" s="25"/>
    </row>
    <row r="921" spans="1:8" ht="14">
      <c r="A921" s="25" t="s">
        <v>2919</v>
      </c>
      <c r="B921" s="26" t="s">
        <v>168</v>
      </c>
      <c r="C921" s="25" t="str">
        <f t="shared" si="17"/>
        <v>unibonn</v>
      </c>
      <c r="D921" s="27" t="s">
        <v>13</v>
      </c>
      <c r="E921" s="25" t="s">
        <v>2920</v>
      </c>
      <c r="F921" s="25" t="s">
        <v>2920</v>
      </c>
      <c r="G921" s="25">
        <v>500</v>
      </c>
      <c r="H921" s="25"/>
    </row>
    <row r="922" spans="1:8" ht="14">
      <c r="A922" s="25" t="s">
        <v>2372</v>
      </c>
      <c r="B922" s="26" t="s">
        <v>172</v>
      </c>
      <c r="C922" s="25" t="str">
        <f t="shared" si="17"/>
        <v>mitoprotea</v>
      </c>
      <c r="D922" s="25" t="s">
        <v>13</v>
      </c>
      <c r="E922" s="25" t="s">
        <v>2373</v>
      </c>
      <c r="F922" s="25" t="s">
        <v>2374</v>
      </c>
      <c r="G922" s="25">
        <v>500</v>
      </c>
      <c r="H922" s="25"/>
    </row>
    <row r="923" spans="1:8" ht="14">
      <c r="A923" s="25" t="s">
        <v>2375</v>
      </c>
      <c r="B923" s="26" t="s">
        <v>172</v>
      </c>
      <c r="C923" s="25" t="str">
        <f t="shared" si="17"/>
        <v>molageing</v>
      </c>
      <c r="D923" s="25" t="s">
        <v>13</v>
      </c>
      <c r="E923" s="25" t="s">
        <v>2376</v>
      </c>
      <c r="F923" s="25" t="s">
        <v>2377</v>
      </c>
      <c r="G923" s="25">
        <v>500</v>
      </c>
      <c r="H923" s="25"/>
    </row>
    <row r="924" spans="1:8" ht="14">
      <c r="A924" s="25" t="s">
        <v>3011</v>
      </c>
      <c r="B924" s="26" t="s">
        <v>172</v>
      </c>
      <c r="C924" s="25" t="str">
        <f t="shared" si="17"/>
        <v>protfa</v>
      </c>
      <c r="D924" s="25" t="s">
        <v>13</v>
      </c>
      <c r="E924" s="25" t="s">
        <v>3010</v>
      </c>
      <c r="F924" s="25" t="s">
        <v>3009</v>
      </c>
      <c r="G924" s="25">
        <v>500</v>
      </c>
      <c r="H924" s="25"/>
    </row>
    <row r="925" spans="1:8" ht="14">
      <c r="A925" s="25" t="s">
        <v>2732</v>
      </c>
      <c r="B925" s="26" t="s">
        <v>172</v>
      </c>
      <c r="C925" s="25" t="str">
        <f t="shared" si="17"/>
        <v>frezza</v>
      </c>
      <c r="D925" s="25" t="s">
        <v>13</v>
      </c>
      <c r="E925" s="25" t="s">
        <v>2733</v>
      </c>
      <c r="F925" s="25" t="s">
        <v>2734</v>
      </c>
      <c r="G925" s="25">
        <v>500</v>
      </c>
      <c r="H925" s="25"/>
    </row>
    <row r="926" spans="1:8" ht="14">
      <c r="A926" s="25" t="s">
        <v>2735</v>
      </c>
      <c r="B926" s="26" t="s">
        <v>172</v>
      </c>
      <c r="C926" s="25" t="str">
        <f t="shared" si="17"/>
        <v>krueger</v>
      </c>
      <c r="D926" s="25" t="s">
        <v>13</v>
      </c>
      <c r="E926" s="25" t="s">
        <v>2736</v>
      </c>
      <c r="F926" s="25" t="s">
        <v>2737</v>
      </c>
      <c r="G926" s="25">
        <v>500</v>
      </c>
      <c r="H926" s="25"/>
    </row>
    <row r="927" spans="1:8" ht="14">
      <c r="A927" s="25" t="s">
        <v>2738</v>
      </c>
      <c r="B927" s="26" t="s">
        <v>172</v>
      </c>
      <c r="C927" s="25" t="str">
        <f t="shared" si="17"/>
        <v>rugarli</v>
      </c>
      <c r="D927" s="25" t="s">
        <v>13</v>
      </c>
      <c r="E927" s="25" t="s">
        <v>2739</v>
      </c>
      <c r="F927" s="25" t="s">
        <v>2737</v>
      </c>
      <c r="G927" s="25">
        <v>500</v>
      </c>
      <c r="H927" s="25"/>
    </row>
    <row r="928" spans="1:8" ht="14">
      <c r="A928" s="25" t="s">
        <v>2740</v>
      </c>
      <c r="B928" s="26" t="s">
        <v>172</v>
      </c>
      <c r="C928" s="25" t="str">
        <f t="shared" si="17"/>
        <v>trifunovic</v>
      </c>
      <c r="D928" s="25" t="s">
        <v>13</v>
      </c>
      <c r="E928" s="25" t="s">
        <v>2741</v>
      </c>
      <c r="F928" s="25" t="s">
        <v>2742</v>
      </c>
      <c r="G928" s="25">
        <v>500</v>
      </c>
      <c r="H928" s="25"/>
    </row>
    <row r="929" spans="1:8" ht="14">
      <c r="A929" s="25" t="s">
        <v>2893</v>
      </c>
      <c r="B929" s="26" t="s">
        <v>172</v>
      </c>
      <c r="C929" s="25" t="str">
        <f t="shared" si="17"/>
        <v>bergmani</v>
      </c>
      <c r="D929" s="25" t="s">
        <v>13</v>
      </c>
      <c r="E929" s="25" t="s">
        <v>2901</v>
      </c>
      <c r="F929" s="25" t="s">
        <v>2911</v>
      </c>
      <c r="G929" s="25">
        <v>500</v>
      </c>
      <c r="H929" s="25"/>
    </row>
    <row r="930" spans="1:8" ht="14">
      <c r="A930" s="25" t="s">
        <v>2894</v>
      </c>
      <c r="B930" s="26" t="s">
        <v>172</v>
      </c>
      <c r="C930" s="25" t="str">
        <f t="shared" si="17"/>
        <v>motori</v>
      </c>
      <c r="D930" s="25" t="s">
        <v>13</v>
      </c>
      <c r="E930" s="25" t="s">
        <v>2902</v>
      </c>
      <c r="F930" s="25" t="s">
        <v>2912</v>
      </c>
      <c r="G930" s="25">
        <v>500</v>
      </c>
      <c r="H930" s="25"/>
    </row>
    <row r="931" spans="1:8" ht="14">
      <c r="A931" s="25" t="s">
        <v>2895</v>
      </c>
      <c r="B931" s="26" t="s">
        <v>172</v>
      </c>
      <c r="C931" s="25" t="str">
        <f t="shared" si="17"/>
        <v>becker</v>
      </c>
      <c r="D931" s="25" t="s">
        <v>13</v>
      </c>
      <c r="E931" s="25" t="s">
        <v>2903</v>
      </c>
      <c r="F931" s="25" t="s">
        <v>2918</v>
      </c>
      <c r="G931" s="25">
        <v>500</v>
      </c>
      <c r="H931" s="25"/>
    </row>
    <row r="932" spans="1:8" ht="14">
      <c r="A932" s="25" t="s">
        <v>2896</v>
      </c>
      <c r="B932" s="26" t="s">
        <v>172</v>
      </c>
      <c r="C932" s="25" t="str">
        <f t="shared" si="17"/>
        <v>bruening</v>
      </c>
      <c r="D932" s="25" t="s">
        <v>13</v>
      </c>
      <c r="E932" s="25" t="s">
        <v>2916</v>
      </c>
      <c r="F932" s="25" t="s">
        <v>2915</v>
      </c>
      <c r="G932" s="25">
        <v>500</v>
      </c>
      <c r="H932" s="25"/>
    </row>
    <row r="933" spans="1:8" ht="14">
      <c r="A933" s="25" t="s">
        <v>2905</v>
      </c>
      <c r="B933" s="26" t="s">
        <v>172</v>
      </c>
      <c r="C933" s="25" t="str">
        <f t="shared" si="17"/>
        <v>escobar</v>
      </c>
      <c r="D933" s="25" t="s">
        <v>13</v>
      </c>
      <c r="E933" s="25" t="s">
        <v>2904</v>
      </c>
      <c r="F933" s="25" t="s">
        <v>2913</v>
      </c>
      <c r="G933" s="25">
        <v>500</v>
      </c>
      <c r="H933" s="25"/>
    </row>
    <row r="934" spans="1:8" ht="14">
      <c r="A934" s="25" t="s">
        <v>2769</v>
      </c>
      <c r="B934" s="26" t="s">
        <v>172</v>
      </c>
      <c r="C934" s="25" t="str">
        <f t="shared" si="17"/>
        <v>garcia</v>
      </c>
      <c r="D934" s="25" t="s">
        <v>13</v>
      </c>
      <c r="E934" s="25" t="s">
        <v>2770</v>
      </c>
      <c r="F934" s="25" t="s">
        <v>2914</v>
      </c>
      <c r="G934" s="25">
        <v>500</v>
      </c>
      <c r="H934" s="25"/>
    </row>
    <row r="935" spans="1:8" ht="14">
      <c r="A935" s="25" t="s">
        <v>2897</v>
      </c>
      <c r="B935" s="26" t="s">
        <v>172</v>
      </c>
      <c r="C935" s="25" t="str">
        <f t="shared" si="17"/>
        <v>piano</v>
      </c>
      <c r="D935" s="25" t="s">
        <v>13</v>
      </c>
      <c r="E935" s="25" t="s">
        <v>2906</v>
      </c>
      <c r="F935" s="25" t="s">
        <v>2921</v>
      </c>
      <c r="G935" s="25">
        <v>500</v>
      </c>
      <c r="H935" s="25"/>
    </row>
    <row r="936" spans="1:8" ht="14">
      <c r="A936" s="25" t="s">
        <v>2898</v>
      </c>
      <c r="B936" s="26" t="s">
        <v>172</v>
      </c>
      <c r="C936" s="25" t="str">
        <f t="shared" si="17"/>
        <v>schwarz</v>
      </c>
      <c r="D936" s="25" t="s">
        <v>13</v>
      </c>
      <c r="E936" s="25" t="s">
        <v>2907</v>
      </c>
      <c r="F936" s="25" t="s">
        <v>2917</v>
      </c>
      <c r="G936" s="25">
        <v>500</v>
      </c>
      <c r="H936" s="25"/>
    </row>
    <row r="937" spans="1:8" ht="14">
      <c r="A937" s="25" t="s">
        <v>2899</v>
      </c>
      <c r="B937" s="26" t="s">
        <v>172</v>
      </c>
      <c r="C937" s="25" t="str">
        <f t="shared" si="17"/>
        <v>corrado</v>
      </c>
      <c r="D937" s="25" t="s">
        <v>13</v>
      </c>
      <c r="E937" s="25" t="s">
        <v>2908</v>
      </c>
      <c r="F937" s="25" t="s">
        <v>2922</v>
      </c>
      <c r="G937" s="25">
        <v>500</v>
      </c>
      <c r="H937" s="25"/>
    </row>
    <row r="938" spans="1:8" ht="14">
      <c r="A938" s="25" t="s">
        <v>2900</v>
      </c>
      <c r="B938" s="26" t="s">
        <v>172</v>
      </c>
      <c r="C938" s="25" t="str">
        <f t="shared" si="17"/>
        <v>eming</v>
      </c>
      <c r="D938" s="25" t="s">
        <v>13</v>
      </c>
      <c r="E938" s="25" t="s">
        <v>2909</v>
      </c>
      <c r="F938" s="25" t="s">
        <v>2910</v>
      </c>
      <c r="G938" s="25">
        <v>500</v>
      </c>
      <c r="H938" s="25"/>
    </row>
    <row r="939" spans="1:8" ht="14">
      <c r="A939" s="25" t="s">
        <v>2766</v>
      </c>
      <c r="B939" s="26" t="s">
        <v>172</v>
      </c>
      <c r="C939" s="25" t="str">
        <f t="shared" si="17"/>
        <v>hoppe</v>
      </c>
      <c r="D939" s="25" t="s">
        <v>13</v>
      </c>
      <c r="E939" s="25" t="s">
        <v>2767</v>
      </c>
      <c r="F939" s="25" t="s">
        <v>2768</v>
      </c>
      <c r="G939" s="25">
        <v>500</v>
      </c>
      <c r="H939" s="25"/>
    </row>
    <row r="940" spans="1:8" ht="14">
      <c r="A940" s="25" t="s">
        <v>2769</v>
      </c>
      <c r="B940" s="26" t="s">
        <v>172</v>
      </c>
      <c r="C940" s="25" t="str">
        <f t="shared" si="17"/>
        <v>garcia</v>
      </c>
      <c r="D940" s="25" t="s">
        <v>13</v>
      </c>
      <c r="E940" s="25" t="s">
        <v>2770</v>
      </c>
      <c r="F940" s="25" t="s">
        <v>2768</v>
      </c>
      <c r="G940" s="25">
        <v>500</v>
      </c>
      <c r="H940" s="25"/>
    </row>
    <row r="941" spans="1:8" ht="14">
      <c r="A941" s="25" t="s">
        <v>2771</v>
      </c>
      <c r="B941" s="26" t="s">
        <v>172</v>
      </c>
      <c r="C941" s="25" t="str">
        <f t="shared" si="17"/>
        <v>khaskar</v>
      </c>
      <c r="D941" s="25" t="s">
        <v>13</v>
      </c>
      <c r="E941" s="25" t="s">
        <v>2772</v>
      </c>
      <c r="F941" s="25" t="s">
        <v>2773</v>
      </c>
      <c r="G941" s="25">
        <v>500</v>
      </c>
      <c r="H941" s="25"/>
    </row>
    <row r="942" spans="1:8" ht="14">
      <c r="A942" s="25" t="s">
        <v>2889</v>
      </c>
      <c r="B942" s="26" t="s">
        <v>172</v>
      </c>
      <c r="C942" s="25" t="str">
        <f t="shared" si="17"/>
        <v>riemer</v>
      </c>
      <c r="D942" s="25" t="s">
        <v>13</v>
      </c>
      <c r="E942" s="25" t="s">
        <v>2890</v>
      </c>
      <c r="F942" s="25" t="s">
        <v>2891</v>
      </c>
      <c r="G942" s="25">
        <v>500</v>
      </c>
      <c r="H942" s="25"/>
    </row>
    <row r="943" spans="1:8" ht="14">
      <c r="A943" s="25" t="s">
        <v>2686</v>
      </c>
      <c r="B943" s="31" t="s">
        <v>2682</v>
      </c>
      <c r="C943" s="25" t="str">
        <f t="shared" si="17"/>
        <v>wd</v>
      </c>
      <c r="D943" s="25" t="s">
        <v>13</v>
      </c>
      <c r="E943" s="25" t="s">
        <v>2685</v>
      </c>
      <c r="F943" s="25" t="s">
        <v>2684</v>
      </c>
      <c r="G943" s="25">
        <v>500</v>
      </c>
      <c r="H943" s="25"/>
    </row>
    <row r="944" spans="1:8" ht="14">
      <c r="A944" s="25" t="s">
        <v>2687</v>
      </c>
      <c r="B944" s="31" t="s">
        <v>2682</v>
      </c>
      <c r="C944" s="25" t="str">
        <f t="shared" si="17"/>
        <v>sd</v>
      </c>
      <c r="D944" s="25" t="s">
        <v>13</v>
      </c>
      <c r="E944" s="25" t="s">
        <v>2688</v>
      </c>
      <c r="F944" s="25"/>
      <c r="G944" s="25">
        <v>500</v>
      </c>
      <c r="H944" s="25"/>
    </row>
    <row r="945" spans="1:8" ht="14">
      <c r="A945" s="25" t="s">
        <v>2689</v>
      </c>
      <c r="B945" s="31" t="s">
        <v>2682</v>
      </c>
      <c r="C945" s="25" t="str">
        <f t="shared" si="17"/>
        <v>veg</v>
      </c>
      <c r="D945" s="25" t="s">
        <v>13</v>
      </c>
      <c r="E945" s="25" t="s">
        <v>2690</v>
      </c>
      <c r="F945" s="25" t="s">
        <v>2691</v>
      </c>
      <c r="G945" s="25">
        <v>500</v>
      </c>
      <c r="H945" s="25"/>
    </row>
    <row r="946" spans="1:8" ht="14">
      <c r="A946" s="25" t="s">
        <v>2694</v>
      </c>
      <c r="B946" s="31" t="s">
        <v>2682</v>
      </c>
      <c r="C946" s="25" t="str">
        <f t="shared" si="17"/>
        <v>hg</v>
      </c>
      <c r="D946" s="25" t="s">
        <v>13</v>
      </c>
      <c r="E946" s="25" t="s">
        <v>2692</v>
      </c>
      <c r="F946" s="25" t="s">
        <v>2693</v>
      </c>
      <c r="G946" s="25">
        <v>500</v>
      </c>
      <c r="H946" s="25"/>
    </row>
    <row r="947" spans="1:8" ht="14">
      <c r="A947" s="25" t="s">
        <v>2697</v>
      </c>
      <c r="B947" s="26" t="s">
        <v>2682</v>
      </c>
      <c r="C947" s="25" t="str">
        <f t="shared" si="17"/>
        <v>hfd</v>
      </c>
      <c r="D947" s="25" t="s">
        <v>13</v>
      </c>
      <c r="E947" s="25" t="s">
        <v>2695</v>
      </c>
      <c r="F947" s="25" t="s">
        <v>2696</v>
      </c>
      <c r="G947" s="25">
        <v>500</v>
      </c>
      <c r="H947" s="25"/>
    </row>
    <row r="948" spans="1:8" ht="14">
      <c r="A948" s="25" t="s">
        <v>2432</v>
      </c>
      <c r="B948" s="26" t="s">
        <v>51</v>
      </c>
      <c r="C948" s="25" t="str">
        <f t="shared" si="17"/>
        <v>lps</v>
      </c>
      <c r="D948" s="25" t="s">
        <v>13</v>
      </c>
      <c r="E948" s="25" t="s">
        <v>2433</v>
      </c>
      <c r="F948" s="25" t="s">
        <v>2434</v>
      </c>
      <c r="G948" s="25">
        <v>500</v>
      </c>
      <c r="H948" s="25"/>
    </row>
    <row r="949" spans="1:8" ht="14">
      <c r="A949" s="25" t="s">
        <v>2443</v>
      </c>
      <c r="B949" s="26" t="s">
        <v>51</v>
      </c>
      <c r="C949" s="25" t="str">
        <f t="shared" si="17"/>
        <v>r848</v>
      </c>
      <c r="D949" s="25" t="s">
        <v>13</v>
      </c>
      <c r="E949" s="25" t="s">
        <v>2444</v>
      </c>
      <c r="F949" s="25" t="s">
        <v>2836</v>
      </c>
      <c r="G949" s="25">
        <v>500</v>
      </c>
      <c r="H949" s="25"/>
    </row>
    <row r="950" spans="1:8" ht="14">
      <c r="A950" s="25" t="s">
        <v>3066</v>
      </c>
      <c r="B950" s="26" t="s">
        <v>51</v>
      </c>
      <c r="C950" s="25" t="str">
        <f t="shared" si="17"/>
        <v>mitoblock10</v>
      </c>
      <c r="D950" s="25" t="s">
        <v>13</v>
      </c>
      <c r="E950" s="25" t="s">
        <v>3064</v>
      </c>
      <c r="F950" s="25" t="s">
        <v>3065</v>
      </c>
      <c r="G950" s="25">
        <v>500</v>
      </c>
      <c r="H950" s="25"/>
    </row>
    <row r="951" spans="1:8" ht="14">
      <c r="A951" s="25" t="s">
        <v>3105</v>
      </c>
      <c r="B951" s="26" t="s">
        <v>51</v>
      </c>
      <c r="C951" s="25" t="str">
        <f t="shared" si="17"/>
        <v>ifng</v>
      </c>
      <c r="D951" s="25" t="s">
        <v>13</v>
      </c>
      <c r="E951" s="25" t="s">
        <v>3106</v>
      </c>
      <c r="F951" s="25" t="s">
        <v>3107</v>
      </c>
      <c r="G951" s="25">
        <v>500</v>
      </c>
      <c r="H951" s="25"/>
    </row>
    <row r="952" spans="1:8" ht="14">
      <c r="A952" s="25" t="s">
        <v>3108</v>
      </c>
      <c r="B952" s="26" t="s">
        <v>51</v>
      </c>
      <c r="C952" s="25" t="str">
        <f t="shared" si="17"/>
        <v>il4</v>
      </c>
      <c r="D952" s="25" t="s">
        <v>13</v>
      </c>
      <c r="E952" s="25" t="s">
        <v>3109</v>
      </c>
      <c r="F952" s="25" t="s">
        <v>3110</v>
      </c>
      <c r="G952" s="25">
        <v>500</v>
      </c>
      <c r="H952" s="25"/>
    </row>
    <row r="953" spans="1:8" ht="14">
      <c r="A953" s="25" t="s">
        <v>3111</v>
      </c>
      <c r="B953" s="26" t="s">
        <v>51</v>
      </c>
      <c r="C953" s="25" t="str">
        <f t="shared" si="17"/>
        <v>il13</v>
      </c>
      <c r="D953" s="25" t="s">
        <v>13</v>
      </c>
      <c r="E953" s="25" t="s">
        <v>3112</v>
      </c>
      <c r="F953" s="25" t="s">
        <v>3113</v>
      </c>
      <c r="G953" s="25">
        <v>500</v>
      </c>
      <c r="H953" s="25"/>
    </row>
    <row r="954" spans="1:8" ht="14">
      <c r="A954" s="25" t="s">
        <v>3114</v>
      </c>
      <c r="B954" s="26" t="s">
        <v>51</v>
      </c>
      <c r="C954" s="25" t="str">
        <f t="shared" si="17"/>
        <v>asynlow</v>
      </c>
      <c r="D954" s="25" t="s">
        <v>13</v>
      </c>
      <c r="E954" s="25" t="s">
        <v>3115</v>
      </c>
      <c r="F954" s="25" t="s">
        <v>3118</v>
      </c>
      <c r="G954" s="25">
        <v>500</v>
      </c>
      <c r="H954" s="25"/>
    </row>
    <row r="955" spans="1:8" ht="14">
      <c r="A955" s="25" t="s">
        <v>3116</v>
      </c>
      <c r="B955" s="26" t="s">
        <v>51</v>
      </c>
      <c r="C955" s="25" t="str">
        <f t="shared" si="17"/>
        <v>asynhigh</v>
      </c>
      <c r="D955" s="25" t="s">
        <v>13</v>
      </c>
      <c r="E955" s="25" t="s">
        <v>3117</v>
      </c>
      <c r="F955" s="25" t="s">
        <v>3119</v>
      </c>
      <c r="G955" s="25">
        <v>500</v>
      </c>
      <c r="H955" s="25"/>
    </row>
    <row r="956" spans="1:8" ht="14">
      <c r="A956" s="25" t="s">
        <v>2837</v>
      </c>
      <c r="B956" s="26" t="s">
        <v>35</v>
      </c>
      <c r="C956" s="25" t="str">
        <f t="shared" si="17"/>
        <v>mdc</v>
      </c>
      <c r="D956" s="25" t="s">
        <v>13</v>
      </c>
      <c r="E956" s="25" t="s">
        <v>2858</v>
      </c>
      <c r="F956" s="25" t="s">
        <v>2857</v>
      </c>
      <c r="G956" s="25">
        <v>500</v>
      </c>
      <c r="H956" s="25"/>
    </row>
    <row r="957" spans="1:8" ht="14">
      <c r="A957" s="25" t="s">
        <v>2838</v>
      </c>
      <c r="B957" s="26" t="s">
        <v>35</v>
      </c>
      <c r="C957" s="25" t="str">
        <f t="shared" si="17"/>
        <v>mtregs</v>
      </c>
      <c r="D957" s="25" t="s">
        <v>13</v>
      </c>
      <c r="E957" s="25" t="s">
        <v>2856</v>
      </c>
      <c r="F957" s="25" t="s">
        <v>2855</v>
      </c>
      <c r="G957" s="25">
        <v>500</v>
      </c>
      <c r="H957" s="25"/>
    </row>
    <row r="958" spans="1:8" ht="14">
      <c r="A958" s="25" t="s">
        <v>2839</v>
      </c>
      <c r="B958" s="26" t="s">
        <v>35</v>
      </c>
      <c r="C958" s="25" t="str">
        <f t="shared" si="17"/>
        <v>pdc</v>
      </c>
      <c r="D958" s="25" t="s">
        <v>13</v>
      </c>
      <c r="E958" s="25" t="s">
        <v>2859</v>
      </c>
      <c r="F958" s="25" t="s">
        <v>2854</v>
      </c>
      <c r="G958" s="25">
        <v>500</v>
      </c>
      <c r="H958" s="25"/>
    </row>
    <row r="959" spans="1:8" ht="14">
      <c r="A959" s="25" t="s">
        <v>2840</v>
      </c>
      <c r="B959" s="26" t="s">
        <v>35</v>
      </c>
      <c r="C959" s="25" t="str">
        <f t="shared" ref="C959:C1001" si="18">A959</f>
        <v>attregs</v>
      </c>
      <c r="D959" s="25" t="s">
        <v>13</v>
      </c>
      <c r="E959" s="25" t="s">
        <v>2853</v>
      </c>
      <c r="F959" s="25" t="s">
        <v>2860</v>
      </c>
      <c r="G959" s="25">
        <v>500</v>
      </c>
      <c r="H959" s="25"/>
    </row>
    <row r="960" spans="1:8" ht="14">
      <c r="A960" s="25" t="s">
        <v>2841</v>
      </c>
      <c r="B960" s="26" t="s">
        <v>35</v>
      </c>
      <c r="C960" s="25" t="str">
        <f t="shared" si="18"/>
        <v>infdc</v>
      </c>
      <c r="D960" s="25" t="s">
        <v>13</v>
      </c>
      <c r="E960" s="25" t="s">
        <v>2852</v>
      </c>
      <c r="F960" s="25" t="s">
        <v>2851</v>
      </c>
      <c r="G960" s="25">
        <v>500</v>
      </c>
      <c r="H960" s="25"/>
    </row>
    <row r="961" spans="1:8" ht="14">
      <c r="A961" s="25" t="s">
        <v>2842</v>
      </c>
      <c r="B961" s="26" t="s">
        <v>35</v>
      </c>
      <c r="C961" s="25" t="str">
        <f t="shared" si="18"/>
        <v>itgres</v>
      </c>
      <c r="D961" s="25" t="s">
        <v>13</v>
      </c>
      <c r="E961" s="25" t="s">
        <v>2850</v>
      </c>
      <c r="F961" s="25" t="s">
        <v>2849</v>
      </c>
      <c r="G961" s="25">
        <v>500</v>
      </c>
      <c r="H961" s="25"/>
    </row>
    <row r="962" spans="1:8" ht="14">
      <c r="A962" s="25" t="s">
        <v>2843</v>
      </c>
      <c r="B962" s="26" t="s">
        <v>35</v>
      </c>
      <c r="C962" s="25" t="str">
        <f t="shared" si="18"/>
        <v>dendritic</v>
      </c>
      <c r="D962" s="25" t="s">
        <v>13</v>
      </c>
      <c r="E962" s="25" t="s">
        <v>2848</v>
      </c>
      <c r="F962" s="25" t="s">
        <v>2847</v>
      </c>
      <c r="G962" s="25">
        <v>500</v>
      </c>
      <c r="H962" s="25"/>
    </row>
    <row r="963" spans="1:8" ht="14">
      <c r="A963" s="25" t="s">
        <v>2844</v>
      </c>
      <c r="B963" s="26" t="s">
        <v>35</v>
      </c>
      <c r="C963" s="25" t="str">
        <f t="shared" si="18"/>
        <v>ememcell</v>
      </c>
      <c r="D963" s="25" t="s">
        <v>13</v>
      </c>
      <c r="E963" s="25" t="s">
        <v>2846</v>
      </c>
      <c r="F963" s="25" t="s">
        <v>2845</v>
      </c>
      <c r="G963" s="25">
        <v>500</v>
      </c>
      <c r="H963" s="25"/>
    </row>
    <row r="964" spans="1:8" ht="14">
      <c r="A964" s="25" t="s">
        <v>2861</v>
      </c>
      <c r="B964" s="26" t="s">
        <v>2780</v>
      </c>
      <c r="C964" s="25" t="str">
        <f t="shared" si="18"/>
        <v>supernatant</v>
      </c>
      <c r="D964" s="25" t="s">
        <v>13</v>
      </c>
      <c r="E964" s="25" t="s">
        <v>2862</v>
      </c>
      <c r="F964" s="25" t="s">
        <v>2863</v>
      </c>
      <c r="G964" s="25">
        <v>500</v>
      </c>
      <c r="H964" s="25"/>
    </row>
    <row r="965" spans="1:8" ht="14">
      <c r="A965" s="25" t="s">
        <v>2865</v>
      </c>
      <c r="B965" s="26" t="s">
        <v>2864</v>
      </c>
      <c r="C965" s="25" t="str">
        <f t="shared" si="18"/>
        <v>leftatrium</v>
      </c>
      <c r="D965" s="25" t="s">
        <v>13</v>
      </c>
      <c r="E965" s="25" t="s">
        <v>2866</v>
      </c>
      <c r="F965" s="25" t="s">
        <v>2867</v>
      </c>
      <c r="G965" s="25">
        <v>500</v>
      </c>
      <c r="H965" s="25"/>
    </row>
    <row r="966" spans="1:8" ht="14">
      <c r="A966" s="25" t="s">
        <v>2868</v>
      </c>
      <c r="B966" s="26" t="s">
        <v>2864</v>
      </c>
      <c r="C966" s="25" t="str">
        <f t="shared" si="18"/>
        <v>rightatrium</v>
      </c>
      <c r="D966" s="25" t="s">
        <v>13</v>
      </c>
      <c r="E966" s="25" t="s">
        <v>2869</v>
      </c>
      <c r="F966" s="25" t="s">
        <v>2870</v>
      </c>
      <c r="G966" s="25">
        <v>500</v>
      </c>
      <c r="H966" s="25"/>
    </row>
    <row r="967" spans="1:8" ht="14">
      <c r="A967" s="25" t="s">
        <v>2887</v>
      </c>
      <c r="B967" s="26" t="s">
        <v>2864</v>
      </c>
      <c r="C967" s="25" t="str">
        <f t="shared" si="18"/>
        <v>leftventri</v>
      </c>
      <c r="D967" s="25" t="s">
        <v>13</v>
      </c>
      <c r="E967" s="25" t="s">
        <v>2885</v>
      </c>
      <c r="F967" s="25" t="s">
        <v>2871</v>
      </c>
      <c r="G967" s="25">
        <v>500</v>
      </c>
      <c r="H967" s="25"/>
    </row>
    <row r="968" spans="1:8" ht="14">
      <c r="A968" s="25" t="s">
        <v>2888</v>
      </c>
      <c r="B968" s="26" t="s">
        <v>2864</v>
      </c>
      <c r="C968" s="25" t="str">
        <f t="shared" si="18"/>
        <v>rightventri</v>
      </c>
      <c r="D968" s="25" t="s">
        <v>13</v>
      </c>
      <c r="E968" s="25" t="s">
        <v>2886</v>
      </c>
      <c r="F968" s="25" t="s">
        <v>2871</v>
      </c>
      <c r="G968" s="25">
        <v>500</v>
      </c>
      <c r="H968" s="25"/>
    </row>
    <row r="969" spans="1:8" ht="14">
      <c r="A969" s="25" t="s">
        <v>2947</v>
      </c>
      <c r="B969" s="26" t="s">
        <v>2945</v>
      </c>
      <c r="C969" s="25" t="str">
        <f t="shared" si="18"/>
        <v>type1</v>
      </c>
      <c r="D969" s="25" t="s">
        <v>13</v>
      </c>
      <c r="E969" s="25" t="s">
        <v>2965</v>
      </c>
      <c r="F969" s="25" t="s">
        <v>2970</v>
      </c>
      <c r="G969" s="25">
        <v>500</v>
      </c>
      <c r="H969" s="25"/>
    </row>
    <row r="970" spans="1:8" ht="14">
      <c r="A970" s="25" t="s">
        <v>2948</v>
      </c>
      <c r="B970" s="26" t="s">
        <v>2945</v>
      </c>
      <c r="C970" s="25" t="str">
        <f t="shared" si="18"/>
        <v>type2a</v>
      </c>
      <c r="D970" s="25" t="s">
        <v>13</v>
      </c>
      <c r="E970" s="25" t="s">
        <v>2966</v>
      </c>
      <c r="F970" s="25" t="s">
        <v>2971</v>
      </c>
      <c r="G970" s="25">
        <v>500</v>
      </c>
      <c r="H970" s="25"/>
    </row>
    <row r="971" spans="1:8" ht="14">
      <c r="A971" s="25" t="s">
        <v>2949</v>
      </c>
      <c r="B971" s="26" t="s">
        <v>2945</v>
      </c>
      <c r="C971" s="25" t="str">
        <f t="shared" si="18"/>
        <v>type2b</v>
      </c>
      <c r="D971" s="25" t="s">
        <v>13</v>
      </c>
      <c r="E971" s="25" t="s">
        <v>2967</v>
      </c>
      <c r="F971" s="25" t="s">
        <v>2972</v>
      </c>
      <c r="G971" s="25">
        <v>500</v>
      </c>
      <c r="H971" s="25"/>
    </row>
    <row r="972" spans="1:8" ht="14">
      <c r="A972" s="25" t="s">
        <v>2950</v>
      </c>
      <c r="B972" s="26" t="s">
        <v>2945</v>
      </c>
      <c r="C972" s="25" t="str">
        <f t="shared" si="18"/>
        <v>type2x</v>
      </c>
      <c r="D972" s="25" t="s">
        <v>13</v>
      </c>
      <c r="E972" s="25" t="s">
        <v>2968</v>
      </c>
      <c r="F972" s="25" t="s">
        <v>2973</v>
      </c>
      <c r="G972" s="25">
        <v>500</v>
      </c>
      <c r="H972" s="25"/>
    </row>
    <row r="973" spans="1:8" ht="14">
      <c r="A973" s="25" t="s">
        <v>2951</v>
      </c>
      <c r="B973" s="26" t="s">
        <v>2945</v>
      </c>
      <c r="C973" s="25" t="str">
        <f t="shared" si="18"/>
        <v>type2d</v>
      </c>
      <c r="D973" s="25" t="s">
        <v>13</v>
      </c>
      <c r="E973" s="25" t="s">
        <v>2969</v>
      </c>
      <c r="F973" s="25" t="s">
        <v>2952</v>
      </c>
      <c r="G973" s="25">
        <v>500</v>
      </c>
      <c r="H973" s="25"/>
    </row>
    <row r="974" spans="1:8" ht="14">
      <c r="A974" s="25" t="s">
        <v>2953</v>
      </c>
      <c r="B974" s="26" t="s">
        <v>2945</v>
      </c>
      <c r="C974" s="25" t="str">
        <f t="shared" si="18"/>
        <v>mixedt12a</v>
      </c>
      <c r="D974" s="25" t="s">
        <v>13</v>
      </c>
      <c r="E974" s="25" t="s">
        <v>2954</v>
      </c>
      <c r="F974" s="25" t="s">
        <v>2975</v>
      </c>
      <c r="G974" s="25">
        <v>500</v>
      </c>
      <c r="H974" s="25"/>
    </row>
    <row r="975" spans="1:8" ht="14">
      <c r="A975" s="25" t="s">
        <v>2955</v>
      </c>
      <c r="B975" s="26" t="s">
        <v>2945</v>
      </c>
      <c r="C975" s="25" t="str">
        <f t="shared" si="18"/>
        <v>mixedt12x</v>
      </c>
      <c r="D975" s="25" t="s">
        <v>13</v>
      </c>
      <c r="E975" s="25" t="s">
        <v>2956</v>
      </c>
      <c r="F975" s="25" t="s">
        <v>2974</v>
      </c>
      <c r="G975" s="25">
        <v>500</v>
      </c>
      <c r="H975" s="25"/>
    </row>
    <row r="976" spans="1:8" ht="14">
      <c r="A976" s="25" t="s">
        <v>2957</v>
      </c>
      <c r="B976" s="26" t="s">
        <v>2945</v>
      </c>
      <c r="C976" s="25" t="str">
        <f t="shared" si="18"/>
        <v>mixedt1tb</v>
      </c>
      <c r="D976" s="25" t="s">
        <v>13</v>
      </c>
      <c r="E976" s="25" t="s">
        <v>2958</v>
      </c>
      <c r="F976" s="25" t="s">
        <v>2976</v>
      </c>
      <c r="G976" s="25">
        <v>500</v>
      </c>
      <c r="H976" s="25"/>
    </row>
    <row r="977" spans="1:8" ht="14">
      <c r="A977" s="25" t="s">
        <v>2959</v>
      </c>
      <c r="B977" s="26" t="s">
        <v>2945</v>
      </c>
      <c r="C977" s="25" t="str">
        <f t="shared" si="18"/>
        <v>mixed2a2b</v>
      </c>
      <c r="D977" s="25" t="s">
        <v>13</v>
      </c>
      <c r="E977" s="25" t="s">
        <v>2960</v>
      </c>
      <c r="F977" s="25" t="s">
        <v>2977</v>
      </c>
      <c r="G977" s="25">
        <v>500</v>
      </c>
      <c r="H977" s="25"/>
    </row>
    <row r="978" spans="1:8" ht="14">
      <c r="A978" s="25" t="s">
        <v>2961</v>
      </c>
      <c r="B978" s="26" t="s">
        <v>2945</v>
      </c>
      <c r="C978" s="25" t="str">
        <f t="shared" si="18"/>
        <v>mixed2a2x</v>
      </c>
      <c r="D978" s="25" t="s">
        <v>13</v>
      </c>
      <c r="E978" s="25" t="s">
        <v>2962</v>
      </c>
      <c r="F978" s="25" t="s">
        <v>2978</v>
      </c>
      <c r="G978" s="25">
        <v>500</v>
      </c>
      <c r="H978" s="25"/>
    </row>
    <row r="979" spans="1:8" ht="14">
      <c r="A979" s="25" t="s">
        <v>2963</v>
      </c>
      <c r="B979" s="26" t="s">
        <v>2945</v>
      </c>
      <c r="C979" s="25" t="str">
        <f t="shared" si="18"/>
        <v>mixed2b2x</v>
      </c>
      <c r="D979" s="25" t="s">
        <v>13</v>
      </c>
      <c r="E979" s="25" t="s">
        <v>2964</v>
      </c>
      <c r="F979" s="25" t="s">
        <v>2979</v>
      </c>
      <c r="G979" s="25">
        <v>500</v>
      </c>
      <c r="H979" s="25"/>
    </row>
    <row r="980" spans="1:8" ht="14">
      <c r="A980" s="25" t="s">
        <v>3078</v>
      </c>
      <c r="B980" s="26" t="s">
        <v>3023</v>
      </c>
      <c r="C980" s="25" t="str">
        <f t="shared" si="18"/>
        <v>sol_pellet</v>
      </c>
      <c r="D980" s="25" t="s">
        <v>13</v>
      </c>
      <c r="E980" s="25" t="s">
        <v>3018</v>
      </c>
      <c r="F980" s="25" t="s">
        <v>3024</v>
      </c>
      <c r="G980" s="25">
        <v>500</v>
      </c>
      <c r="H980" s="25"/>
    </row>
    <row r="981" spans="1:8" ht="14">
      <c r="A981" s="25" t="s">
        <v>3077</v>
      </c>
      <c r="B981" s="26" t="s">
        <v>3023</v>
      </c>
      <c r="C981" s="25" t="str">
        <f t="shared" si="18"/>
        <v>sol_total</v>
      </c>
      <c r="D981" s="25" t="s">
        <v>13</v>
      </c>
      <c r="E981" s="25" t="s">
        <v>1134</v>
      </c>
      <c r="F981" s="25" t="s">
        <v>3025</v>
      </c>
      <c r="G981" s="25">
        <v>500</v>
      </c>
      <c r="H981" s="25"/>
    </row>
    <row r="982" spans="1:8" ht="14">
      <c r="A982" s="25" t="s">
        <v>3079</v>
      </c>
      <c r="B982" s="26" t="s">
        <v>3023</v>
      </c>
      <c r="C982" s="25" t="str">
        <f t="shared" si="18"/>
        <v>sol_supernatant</v>
      </c>
      <c r="D982" s="25" t="s">
        <v>13</v>
      </c>
      <c r="E982" s="25" t="s">
        <v>2862</v>
      </c>
      <c r="F982" s="25" t="s">
        <v>3026</v>
      </c>
      <c r="G982" s="25">
        <v>500</v>
      </c>
      <c r="H982" s="25"/>
    </row>
    <row r="983" spans="1:8" ht="14">
      <c r="A983" s="25">
        <v>275</v>
      </c>
      <c r="B983" s="26" t="s">
        <v>33</v>
      </c>
      <c r="C983" s="25">
        <f t="shared" si="18"/>
        <v>275</v>
      </c>
      <c r="D983" s="25" t="s">
        <v>13</v>
      </c>
      <c r="E983" s="25">
        <v>275</v>
      </c>
      <c r="F983" s="25" t="s">
        <v>13</v>
      </c>
      <c r="G983" s="25">
        <v>500</v>
      </c>
      <c r="H983" s="25"/>
    </row>
    <row r="984" spans="1:8" ht="14">
      <c r="A984" s="25">
        <v>320</v>
      </c>
      <c r="B984" s="26" t="s">
        <v>33</v>
      </c>
      <c r="C984" s="25">
        <f t="shared" si="18"/>
        <v>320</v>
      </c>
      <c r="D984" s="25" t="s">
        <v>13</v>
      </c>
      <c r="E984" s="25">
        <v>320</v>
      </c>
      <c r="F984" s="25" t="s">
        <v>13</v>
      </c>
      <c r="G984" s="25">
        <v>500</v>
      </c>
      <c r="H984" s="25"/>
    </row>
    <row r="985" spans="1:8" ht="14">
      <c r="A985" s="25" t="s">
        <v>3055</v>
      </c>
      <c r="B985" s="26" t="s">
        <v>3054</v>
      </c>
      <c r="C985" s="25" t="str">
        <f t="shared" si="18"/>
        <v>input</v>
      </c>
      <c r="D985" s="25" t="s">
        <v>13</v>
      </c>
      <c r="E985" s="25" t="s">
        <v>3056</v>
      </c>
      <c r="F985" s="28" t="s">
        <v>3057</v>
      </c>
      <c r="G985" s="25">
        <v>500</v>
      </c>
      <c r="H985" s="25"/>
    </row>
    <row r="986" spans="1:8" ht="14">
      <c r="A986" s="25" t="s">
        <v>3061</v>
      </c>
      <c r="B986" s="26" t="s">
        <v>3054</v>
      </c>
      <c r="C986" s="25" t="str">
        <f t="shared" si="18"/>
        <v>elution</v>
      </c>
      <c r="D986" s="25" t="s">
        <v>13</v>
      </c>
      <c r="E986" s="25" t="s">
        <v>3058</v>
      </c>
      <c r="F986" s="25" t="s">
        <v>3063</v>
      </c>
      <c r="G986" s="25">
        <v>500</v>
      </c>
      <c r="H986" s="25"/>
    </row>
    <row r="987" spans="1:8" ht="14">
      <c r="A987" s="25" t="s">
        <v>3060</v>
      </c>
      <c r="B987" s="26" t="s">
        <v>3054</v>
      </c>
      <c r="C987" s="25" t="str">
        <f t="shared" si="18"/>
        <v>wash</v>
      </c>
      <c r="D987" s="25" t="s">
        <v>13</v>
      </c>
      <c r="E987" s="25" t="s">
        <v>3059</v>
      </c>
      <c r="F987" s="25" t="s">
        <v>3062</v>
      </c>
      <c r="G987" s="25">
        <v>500</v>
      </c>
      <c r="H987" s="25"/>
    </row>
    <row r="988" spans="1:8" ht="14">
      <c r="A988" s="25" t="s">
        <v>3068</v>
      </c>
      <c r="B988" s="26" t="s">
        <v>3070</v>
      </c>
      <c r="C988" s="25" t="str">
        <f t="shared" si="18"/>
        <v>fbs</v>
      </c>
      <c r="D988" s="25" t="s">
        <v>13</v>
      </c>
      <c r="E988" s="25" t="s">
        <v>3071</v>
      </c>
      <c r="F988" s="32" t="s">
        <v>3074</v>
      </c>
      <c r="G988" s="25">
        <v>500</v>
      </c>
      <c r="H988" s="25"/>
    </row>
    <row r="989" spans="1:8" ht="14">
      <c r="A989" s="25" t="s">
        <v>3069</v>
      </c>
      <c r="B989" s="26" t="s">
        <v>3070</v>
      </c>
      <c r="C989" s="25" t="str">
        <f t="shared" si="18"/>
        <v>nofbs</v>
      </c>
      <c r="D989" s="25" t="s">
        <v>13</v>
      </c>
      <c r="E989" s="25" t="s">
        <v>3072</v>
      </c>
      <c r="F989" s="25" t="s">
        <v>3073</v>
      </c>
      <c r="G989" s="25">
        <v>500</v>
      </c>
      <c r="H989" s="25"/>
    </row>
    <row r="990" spans="1:8" ht="14">
      <c r="A990" s="25" t="s">
        <v>3080</v>
      </c>
      <c r="B990" s="26" t="s">
        <v>3076</v>
      </c>
      <c r="C990" s="25" t="str">
        <f t="shared" si="18"/>
        <v>embryo</v>
      </c>
      <c r="D990" s="25" t="s">
        <v>13</v>
      </c>
      <c r="E990" s="25" t="s">
        <v>3085</v>
      </c>
      <c r="F990" s="25" t="s">
        <v>3084</v>
      </c>
      <c r="G990" s="25">
        <v>500</v>
      </c>
      <c r="H990" s="25"/>
    </row>
    <row r="991" spans="1:8" ht="14">
      <c r="A991" s="25" t="s">
        <v>3081</v>
      </c>
      <c r="B991" s="26" t="s">
        <v>3076</v>
      </c>
      <c r="C991" s="25" t="str">
        <f t="shared" si="18"/>
        <v>young</v>
      </c>
      <c r="D991" s="25" t="s">
        <v>13</v>
      </c>
      <c r="E991" s="25" t="s">
        <v>3086</v>
      </c>
      <c r="F991" s="25" t="s">
        <v>3089</v>
      </c>
      <c r="G991" s="25">
        <v>500</v>
      </c>
      <c r="H991" s="25"/>
    </row>
    <row r="992" spans="1:8" ht="14">
      <c r="A992" s="25" t="s">
        <v>3082</v>
      </c>
      <c r="B992" s="26" t="s">
        <v>3076</v>
      </c>
      <c r="C992" s="25" t="str">
        <f t="shared" si="18"/>
        <v>adult</v>
      </c>
      <c r="D992" s="25" t="s">
        <v>13</v>
      </c>
      <c r="E992" s="25" t="s">
        <v>3087</v>
      </c>
      <c r="F992" s="25" t="s">
        <v>3091</v>
      </c>
      <c r="G992" s="25">
        <v>500</v>
      </c>
      <c r="H992" s="25"/>
    </row>
    <row r="993" spans="1:8" ht="14">
      <c r="A993" s="25" t="s">
        <v>3083</v>
      </c>
      <c r="B993" s="26" t="s">
        <v>3076</v>
      </c>
      <c r="C993" s="25" t="str">
        <f t="shared" si="18"/>
        <v>old</v>
      </c>
      <c r="D993" s="25" t="s">
        <v>13</v>
      </c>
      <c r="E993" s="25" t="s">
        <v>3088</v>
      </c>
      <c r="F993" s="25" t="s">
        <v>3090</v>
      </c>
      <c r="G993" s="25">
        <v>500</v>
      </c>
      <c r="H993" s="25"/>
    </row>
    <row r="994" spans="1:8" ht="14">
      <c r="A994" s="25" t="s">
        <v>3094</v>
      </c>
      <c r="B994" s="26" t="s">
        <v>3092</v>
      </c>
      <c r="C994" s="25" t="str">
        <f t="shared" si="18"/>
        <v>qc_hela</v>
      </c>
      <c r="D994" s="25" t="s">
        <v>13</v>
      </c>
      <c r="E994" s="25" t="s">
        <v>3095</v>
      </c>
      <c r="F994" s="25" t="s">
        <v>3096</v>
      </c>
      <c r="G994" s="25">
        <v>500</v>
      </c>
      <c r="H994" s="25"/>
    </row>
    <row r="995" spans="1:8" ht="14">
      <c r="A995" s="25" t="s">
        <v>3097</v>
      </c>
      <c r="B995" s="26" t="s">
        <v>3092</v>
      </c>
      <c r="C995" s="25" t="str">
        <f t="shared" si="18"/>
        <v>qc_base</v>
      </c>
      <c r="D995" s="25" t="s">
        <v>13</v>
      </c>
      <c r="E995" s="25" t="s">
        <v>3098</v>
      </c>
      <c r="F995" s="25" t="s">
        <v>3099</v>
      </c>
      <c r="G995" s="25">
        <v>500</v>
      </c>
      <c r="H995" s="25"/>
    </row>
    <row r="996" spans="1:8" ht="14">
      <c r="A996" s="25" t="s">
        <v>3149</v>
      </c>
      <c r="B996" s="26" t="s">
        <v>2712</v>
      </c>
      <c r="C996" s="25" t="str">
        <f t="shared" si="18"/>
        <v>endog</v>
      </c>
      <c r="D996" s="25" t="s">
        <v>13</v>
      </c>
      <c r="E996" s="25" t="s">
        <v>3150</v>
      </c>
      <c r="F996" s="25" t="s">
        <v>3151</v>
      </c>
      <c r="G996" s="25">
        <v>500</v>
      </c>
      <c r="H996" s="25"/>
    </row>
    <row r="997" spans="1:8" ht="14">
      <c r="A997" s="25" t="s">
        <v>4365</v>
      </c>
      <c r="B997" s="26" t="s">
        <v>2712</v>
      </c>
      <c r="C997" s="25" t="s">
        <v>4365</v>
      </c>
      <c r="D997" s="25" t="s">
        <v>13</v>
      </c>
      <c r="E997" s="25" t="s">
        <v>3153</v>
      </c>
      <c r="F997" s="25" t="s">
        <v>4366</v>
      </c>
      <c r="G997" s="25">
        <v>500</v>
      </c>
      <c r="H997" s="25"/>
    </row>
    <row r="998" spans="1:8" ht="14">
      <c r="A998" s="25" t="s">
        <v>3152</v>
      </c>
      <c r="B998" s="26" t="s">
        <v>2712</v>
      </c>
      <c r="C998" s="25" t="str">
        <f t="shared" si="18"/>
        <v>GST</v>
      </c>
      <c r="D998" s="25" t="s">
        <v>13</v>
      </c>
      <c r="E998" s="25" t="s">
        <v>3152</v>
      </c>
      <c r="F998" s="25" t="s">
        <v>3154</v>
      </c>
      <c r="G998" s="25">
        <v>500</v>
      </c>
      <c r="H998" s="25"/>
    </row>
    <row r="999" spans="1:8" ht="14">
      <c r="A999" s="25" t="s">
        <v>3157</v>
      </c>
      <c r="B999" s="26" t="s">
        <v>3156</v>
      </c>
      <c r="C999" s="25" t="str">
        <f t="shared" si="18"/>
        <v>column_length</v>
      </c>
      <c r="D999" s="25" t="s">
        <v>13</v>
      </c>
      <c r="E999" s="25" t="s">
        <v>3159</v>
      </c>
      <c r="F999" s="25" t="s">
        <v>3165</v>
      </c>
      <c r="G999" s="25">
        <v>500</v>
      </c>
      <c r="H999" s="25"/>
    </row>
    <row r="1000" spans="1:8" ht="14">
      <c r="A1000" s="25" t="s">
        <v>3164</v>
      </c>
      <c r="B1000" s="26" t="s">
        <v>3156</v>
      </c>
      <c r="C1000" s="25" t="str">
        <f t="shared" si="18"/>
        <v>column_inner_diameter</v>
      </c>
      <c r="D1000" s="25" t="s">
        <v>13</v>
      </c>
      <c r="E1000" s="25" t="s">
        <v>3160</v>
      </c>
      <c r="F1000" s="25" t="s">
        <v>3162</v>
      </c>
      <c r="G1000" s="25">
        <v>500</v>
      </c>
      <c r="H1000" s="25"/>
    </row>
    <row r="1001" spans="1:8" ht="14">
      <c r="A1001" s="25" t="s">
        <v>3158</v>
      </c>
      <c r="B1001" s="26" t="s">
        <v>3156</v>
      </c>
      <c r="C1001" s="25" t="str">
        <f t="shared" si="18"/>
        <v>column_outer_diameter</v>
      </c>
      <c r="D1001" s="25" t="s">
        <v>13</v>
      </c>
      <c r="E1001" s="25" t="s">
        <v>3161</v>
      </c>
      <c r="F1001" s="25" t="s">
        <v>3163</v>
      </c>
      <c r="G1001" s="25">
        <v>500</v>
      </c>
      <c r="H1001" s="25"/>
    </row>
    <row r="1002" spans="1:8" ht="14">
      <c r="A1002" s="28" t="s">
        <v>3359</v>
      </c>
      <c r="B1002" s="26" t="s">
        <v>3173</v>
      </c>
      <c r="C1002" s="28" t="s">
        <v>3359</v>
      </c>
      <c r="D1002" s="25" t="s">
        <v>13</v>
      </c>
      <c r="E1002" s="25" t="s">
        <v>3175</v>
      </c>
      <c r="F1002" s="25" t="s">
        <v>3360</v>
      </c>
      <c r="G1002" s="25">
        <v>500</v>
      </c>
      <c r="H1002" s="25"/>
    </row>
    <row r="1003" spans="1:8" ht="14">
      <c r="A1003" s="28" t="s">
        <v>3361</v>
      </c>
      <c r="B1003" s="26" t="s">
        <v>3173</v>
      </c>
      <c r="C1003" s="28" t="s">
        <v>3361</v>
      </c>
      <c r="D1003" s="25" t="s">
        <v>13</v>
      </c>
      <c r="E1003" s="25" t="s">
        <v>3176</v>
      </c>
      <c r="F1003" s="25" t="s">
        <v>3362</v>
      </c>
      <c r="G1003" s="25">
        <v>500</v>
      </c>
      <c r="H1003" s="25"/>
    </row>
    <row r="1004" spans="1:8" ht="14">
      <c r="A1004" s="28" t="s">
        <v>3363</v>
      </c>
      <c r="B1004" s="26" t="s">
        <v>3173</v>
      </c>
      <c r="C1004" s="28" t="s">
        <v>3363</v>
      </c>
      <c r="D1004" s="25" t="s">
        <v>13</v>
      </c>
      <c r="E1004" s="25" t="s">
        <v>3177</v>
      </c>
      <c r="F1004" s="25" t="s">
        <v>3364</v>
      </c>
      <c r="G1004" s="25">
        <v>500</v>
      </c>
      <c r="H1004" s="25"/>
    </row>
    <row r="1005" spans="1:8" ht="14">
      <c r="A1005" s="28" t="s">
        <v>3365</v>
      </c>
      <c r="B1005" s="26" t="s">
        <v>3173</v>
      </c>
      <c r="C1005" s="28" t="s">
        <v>3365</v>
      </c>
      <c r="D1005" s="25" t="s">
        <v>13</v>
      </c>
      <c r="E1005" s="25" t="s">
        <v>3178</v>
      </c>
      <c r="F1005" s="25" t="s">
        <v>3366</v>
      </c>
      <c r="G1005" s="25">
        <v>500</v>
      </c>
      <c r="H1005" s="25"/>
    </row>
    <row r="1006" spans="1:8" ht="14">
      <c r="A1006" s="28" t="s">
        <v>3367</v>
      </c>
      <c r="B1006" s="26" t="s">
        <v>3173</v>
      </c>
      <c r="C1006" s="28" t="s">
        <v>3367</v>
      </c>
      <c r="D1006" s="25" t="s">
        <v>13</v>
      </c>
      <c r="E1006" s="25" t="s">
        <v>3179</v>
      </c>
      <c r="F1006" s="25" t="s">
        <v>3368</v>
      </c>
      <c r="G1006" s="25">
        <v>500</v>
      </c>
      <c r="H1006" s="25"/>
    </row>
    <row r="1007" spans="1:8" ht="14">
      <c r="A1007" s="28" t="s">
        <v>3369</v>
      </c>
      <c r="B1007" s="26" t="s">
        <v>3173</v>
      </c>
      <c r="C1007" s="28" t="s">
        <v>3369</v>
      </c>
      <c r="D1007" s="25" t="s">
        <v>13</v>
      </c>
      <c r="E1007" s="25" t="s">
        <v>3180</v>
      </c>
      <c r="F1007" s="25" t="s">
        <v>3370</v>
      </c>
      <c r="G1007" s="25">
        <v>500</v>
      </c>
      <c r="H1007" s="25"/>
    </row>
    <row r="1008" spans="1:8" ht="14">
      <c r="A1008" s="28" t="s">
        <v>3371</v>
      </c>
      <c r="B1008" s="26" t="s">
        <v>3173</v>
      </c>
      <c r="C1008" s="28" t="s">
        <v>3371</v>
      </c>
      <c r="D1008" s="25" t="s">
        <v>13</v>
      </c>
      <c r="E1008" s="25" t="s">
        <v>3181</v>
      </c>
      <c r="F1008" s="25" t="s">
        <v>3372</v>
      </c>
      <c r="G1008" s="25">
        <v>500</v>
      </c>
      <c r="H1008" s="25"/>
    </row>
    <row r="1009" spans="1:8" ht="14">
      <c r="A1009" s="28" t="s">
        <v>3373</v>
      </c>
      <c r="B1009" s="26" t="s">
        <v>3173</v>
      </c>
      <c r="C1009" s="28" t="s">
        <v>3373</v>
      </c>
      <c r="D1009" s="25" t="s">
        <v>13</v>
      </c>
      <c r="E1009" s="25" t="s">
        <v>3182</v>
      </c>
      <c r="F1009" s="25" t="s">
        <v>3374</v>
      </c>
      <c r="G1009" s="25">
        <v>500</v>
      </c>
      <c r="H1009" s="25"/>
    </row>
    <row r="1010" spans="1:8" ht="14">
      <c r="A1010" s="28" t="s">
        <v>3375</v>
      </c>
      <c r="B1010" s="26" t="s">
        <v>3173</v>
      </c>
      <c r="C1010" s="28" t="s">
        <v>3375</v>
      </c>
      <c r="D1010" s="25" t="s">
        <v>13</v>
      </c>
      <c r="E1010" s="25" t="s">
        <v>3183</v>
      </c>
      <c r="F1010" s="25" t="s">
        <v>3376</v>
      </c>
      <c r="G1010" s="25">
        <v>500</v>
      </c>
      <c r="H1010" s="25"/>
    </row>
    <row r="1011" spans="1:8" ht="14">
      <c r="A1011" s="28" t="s">
        <v>3377</v>
      </c>
      <c r="B1011" s="26" t="s">
        <v>3173</v>
      </c>
      <c r="C1011" s="28" t="s">
        <v>3377</v>
      </c>
      <c r="D1011" s="25" t="s">
        <v>13</v>
      </c>
      <c r="E1011" s="25" t="s">
        <v>3184</v>
      </c>
      <c r="F1011" s="25" t="s">
        <v>3378</v>
      </c>
      <c r="G1011" s="25">
        <v>500</v>
      </c>
      <c r="H1011" s="25"/>
    </row>
    <row r="1012" spans="1:8" ht="14">
      <c r="A1012" s="28" t="s">
        <v>3379</v>
      </c>
      <c r="B1012" s="26" t="s">
        <v>3173</v>
      </c>
      <c r="C1012" s="28" t="s">
        <v>3379</v>
      </c>
      <c r="D1012" s="25" t="s">
        <v>13</v>
      </c>
      <c r="E1012" s="25" t="s">
        <v>3185</v>
      </c>
      <c r="F1012" s="25" t="s">
        <v>3380</v>
      </c>
      <c r="G1012" s="25">
        <v>500</v>
      </c>
      <c r="H1012" s="25"/>
    </row>
    <row r="1013" spans="1:8" ht="14">
      <c r="A1013" s="28" t="s">
        <v>3381</v>
      </c>
      <c r="B1013" s="26" t="s">
        <v>3173</v>
      </c>
      <c r="C1013" s="28" t="s">
        <v>3381</v>
      </c>
      <c r="D1013" s="25" t="s">
        <v>13</v>
      </c>
      <c r="E1013" s="25" t="s">
        <v>3186</v>
      </c>
      <c r="F1013" s="25" t="s">
        <v>3382</v>
      </c>
      <c r="G1013" s="25">
        <v>500</v>
      </c>
      <c r="H1013" s="25"/>
    </row>
    <row r="1014" spans="1:8" ht="14">
      <c r="A1014" s="28" t="s">
        <v>3383</v>
      </c>
      <c r="B1014" s="26" t="s">
        <v>3173</v>
      </c>
      <c r="C1014" s="28" t="s">
        <v>3383</v>
      </c>
      <c r="D1014" s="25" t="s">
        <v>13</v>
      </c>
      <c r="E1014" s="25" t="s">
        <v>3187</v>
      </c>
      <c r="F1014" s="25" t="s">
        <v>3384</v>
      </c>
      <c r="G1014" s="25">
        <v>500</v>
      </c>
      <c r="H1014" s="25"/>
    </row>
    <row r="1015" spans="1:8" ht="14">
      <c r="A1015" s="28" t="s">
        <v>3385</v>
      </c>
      <c r="B1015" s="26" t="s">
        <v>3173</v>
      </c>
      <c r="C1015" s="28" t="s">
        <v>3385</v>
      </c>
      <c r="D1015" s="25" t="s">
        <v>13</v>
      </c>
      <c r="E1015" s="25" t="s">
        <v>3188</v>
      </c>
      <c r="F1015" s="25" t="s">
        <v>3386</v>
      </c>
      <c r="G1015" s="25">
        <v>500</v>
      </c>
      <c r="H1015" s="25"/>
    </row>
    <row r="1016" spans="1:8" ht="14">
      <c r="A1016" s="28" t="s">
        <v>3387</v>
      </c>
      <c r="B1016" s="26" t="s">
        <v>3173</v>
      </c>
      <c r="C1016" s="28" t="s">
        <v>3387</v>
      </c>
      <c r="D1016" s="25" t="s">
        <v>13</v>
      </c>
      <c r="E1016" s="25" t="s">
        <v>3189</v>
      </c>
      <c r="F1016" s="25" t="s">
        <v>3388</v>
      </c>
      <c r="G1016" s="25">
        <v>500</v>
      </c>
      <c r="H1016" s="25"/>
    </row>
    <row r="1017" spans="1:8" ht="14">
      <c r="A1017" s="28" t="s">
        <v>3389</v>
      </c>
      <c r="B1017" s="26" t="s">
        <v>3173</v>
      </c>
      <c r="C1017" s="28" t="s">
        <v>3389</v>
      </c>
      <c r="D1017" s="25" t="s">
        <v>13</v>
      </c>
      <c r="E1017" s="25" t="s">
        <v>3190</v>
      </c>
      <c r="F1017" s="25" t="s">
        <v>3390</v>
      </c>
      <c r="G1017" s="25">
        <v>500</v>
      </c>
      <c r="H1017" s="25"/>
    </row>
    <row r="1018" spans="1:8" ht="14">
      <c r="A1018" s="28" t="s">
        <v>3391</v>
      </c>
      <c r="B1018" s="26" t="s">
        <v>3173</v>
      </c>
      <c r="C1018" s="28" t="s">
        <v>3391</v>
      </c>
      <c r="D1018" s="25" t="s">
        <v>13</v>
      </c>
      <c r="E1018" s="25" t="s">
        <v>3191</v>
      </c>
      <c r="F1018" s="25" t="s">
        <v>3392</v>
      </c>
      <c r="G1018" s="25">
        <v>500</v>
      </c>
      <c r="H1018" s="25"/>
    </row>
    <row r="1019" spans="1:8" ht="14">
      <c r="A1019" s="28" t="s">
        <v>3393</v>
      </c>
      <c r="B1019" s="26" t="s">
        <v>3173</v>
      </c>
      <c r="C1019" s="28" t="s">
        <v>3393</v>
      </c>
      <c r="D1019" s="25" t="s">
        <v>13</v>
      </c>
      <c r="E1019" s="25" t="s">
        <v>3192</v>
      </c>
      <c r="F1019" s="25" t="s">
        <v>3394</v>
      </c>
      <c r="G1019" s="25">
        <v>500</v>
      </c>
      <c r="H1019" s="25"/>
    </row>
    <row r="1020" spans="1:8" ht="14">
      <c r="A1020" s="28" t="s">
        <v>3395</v>
      </c>
      <c r="B1020" s="26" t="s">
        <v>3173</v>
      </c>
      <c r="C1020" s="28" t="s">
        <v>3395</v>
      </c>
      <c r="D1020" s="25" t="s">
        <v>13</v>
      </c>
      <c r="E1020" s="25" t="s">
        <v>3193</v>
      </c>
      <c r="F1020" s="25" t="s">
        <v>3396</v>
      </c>
      <c r="G1020" s="25">
        <v>500</v>
      </c>
      <c r="H1020" s="25"/>
    </row>
    <row r="1021" spans="1:8" ht="14">
      <c r="A1021" s="28" t="s">
        <v>3397</v>
      </c>
      <c r="B1021" s="26" t="s">
        <v>3173</v>
      </c>
      <c r="C1021" s="28" t="s">
        <v>3397</v>
      </c>
      <c r="D1021" s="25" t="s">
        <v>13</v>
      </c>
      <c r="E1021" s="25" t="s">
        <v>3194</v>
      </c>
      <c r="F1021" s="25" t="s">
        <v>3398</v>
      </c>
      <c r="G1021" s="25">
        <v>500</v>
      </c>
      <c r="H1021" s="25"/>
    </row>
    <row r="1022" spans="1:8" ht="14">
      <c r="A1022" s="28" t="s">
        <v>3399</v>
      </c>
      <c r="B1022" s="26" t="s">
        <v>3173</v>
      </c>
      <c r="C1022" s="28" t="s">
        <v>3399</v>
      </c>
      <c r="D1022" s="25" t="s">
        <v>13</v>
      </c>
      <c r="E1022" s="25" t="s">
        <v>3195</v>
      </c>
      <c r="F1022" s="25" t="s">
        <v>3400</v>
      </c>
      <c r="G1022" s="25">
        <v>500</v>
      </c>
      <c r="H1022" s="25"/>
    </row>
    <row r="1023" spans="1:8" ht="14">
      <c r="A1023" s="28" t="s">
        <v>3401</v>
      </c>
      <c r="B1023" s="26" t="s">
        <v>3173</v>
      </c>
      <c r="C1023" s="28" t="s">
        <v>3401</v>
      </c>
      <c r="D1023" s="25" t="s">
        <v>13</v>
      </c>
      <c r="E1023" s="25" t="s">
        <v>3196</v>
      </c>
      <c r="F1023" s="25" t="s">
        <v>3402</v>
      </c>
      <c r="G1023" s="25">
        <v>500</v>
      </c>
      <c r="H1023" s="25"/>
    </row>
    <row r="1024" spans="1:8" ht="14">
      <c r="A1024" s="28" t="s">
        <v>3403</v>
      </c>
      <c r="B1024" s="26" t="s">
        <v>3173</v>
      </c>
      <c r="C1024" s="28" t="s">
        <v>3403</v>
      </c>
      <c r="D1024" s="25" t="s">
        <v>13</v>
      </c>
      <c r="E1024" s="25" t="s">
        <v>3197</v>
      </c>
      <c r="F1024" s="25" t="s">
        <v>3404</v>
      </c>
      <c r="G1024" s="25">
        <v>500</v>
      </c>
      <c r="H1024" s="25"/>
    </row>
    <row r="1025" spans="1:8" ht="14">
      <c r="A1025" s="28" t="s">
        <v>3405</v>
      </c>
      <c r="B1025" s="26" t="s">
        <v>3173</v>
      </c>
      <c r="C1025" s="28" t="s">
        <v>3405</v>
      </c>
      <c r="D1025" s="25" t="s">
        <v>13</v>
      </c>
      <c r="E1025" s="25" t="s">
        <v>3198</v>
      </c>
      <c r="F1025" s="25" t="s">
        <v>3406</v>
      </c>
      <c r="G1025" s="25">
        <v>500</v>
      </c>
      <c r="H1025" s="25"/>
    </row>
    <row r="1026" spans="1:8" ht="14">
      <c r="A1026" s="28" t="s">
        <v>3407</v>
      </c>
      <c r="B1026" s="26" t="s">
        <v>3173</v>
      </c>
      <c r="C1026" s="28" t="s">
        <v>3407</v>
      </c>
      <c r="D1026" s="25" t="s">
        <v>13</v>
      </c>
      <c r="E1026" s="25" t="s">
        <v>3199</v>
      </c>
      <c r="F1026" s="25" t="s">
        <v>3408</v>
      </c>
      <c r="G1026" s="25">
        <v>500</v>
      </c>
      <c r="H1026" s="25"/>
    </row>
    <row r="1027" spans="1:8" ht="14">
      <c r="A1027" s="28" t="s">
        <v>3409</v>
      </c>
      <c r="B1027" s="26" t="s">
        <v>3173</v>
      </c>
      <c r="C1027" s="28" t="s">
        <v>3409</v>
      </c>
      <c r="D1027" s="25" t="s">
        <v>13</v>
      </c>
      <c r="E1027" s="25" t="s">
        <v>3200</v>
      </c>
      <c r="F1027" s="25" t="s">
        <v>3410</v>
      </c>
      <c r="G1027" s="25">
        <v>500</v>
      </c>
      <c r="H1027" s="25"/>
    </row>
    <row r="1028" spans="1:8" ht="14">
      <c r="A1028" s="28" t="s">
        <v>3411</v>
      </c>
      <c r="B1028" s="26" t="s">
        <v>3173</v>
      </c>
      <c r="C1028" s="28" t="s">
        <v>3411</v>
      </c>
      <c r="D1028" s="25" t="s">
        <v>13</v>
      </c>
      <c r="E1028" s="25" t="s">
        <v>3201</v>
      </c>
      <c r="F1028" s="25" t="s">
        <v>3412</v>
      </c>
      <c r="G1028" s="25">
        <v>500</v>
      </c>
      <c r="H1028" s="25"/>
    </row>
    <row r="1029" spans="1:8" ht="14">
      <c r="A1029" s="28" t="s">
        <v>3413</v>
      </c>
      <c r="B1029" s="26" t="s">
        <v>3173</v>
      </c>
      <c r="C1029" s="28" t="s">
        <v>3413</v>
      </c>
      <c r="D1029" s="25" t="s">
        <v>13</v>
      </c>
      <c r="E1029" s="25" t="s">
        <v>3202</v>
      </c>
      <c r="F1029" s="25" t="s">
        <v>3414</v>
      </c>
      <c r="G1029" s="25">
        <v>500</v>
      </c>
      <c r="H1029" s="25"/>
    </row>
    <row r="1030" spans="1:8" ht="14">
      <c r="A1030" s="28" t="s">
        <v>3415</v>
      </c>
      <c r="B1030" s="26" t="s">
        <v>3173</v>
      </c>
      <c r="C1030" s="28" t="s">
        <v>3415</v>
      </c>
      <c r="D1030" s="25" t="s">
        <v>13</v>
      </c>
      <c r="E1030" s="25" t="s">
        <v>3203</v>
      </c>
      <c r="F1030" s="25" t="s">
        <v>3416</v>
      </c>
      <c r="G1030" s="25">
        <v>500</v>
      </c>
      <c r="H1030" s="25"/>
    </row>
    <row r="1031" spans="1:8" ht="14">
      <c r="A1031" s="28" t="s">
        <v>3417</v>
      </c>
      <c r="B1031" s="26" t="s">
        <v>3173</v>
      </c>
      <c r="C1031" s="28" t="s">
        <v>3417</v>
      </c>
      <c r="D1031" s="25" t="s">
        <v>13</v>
      </c>
      <c r="E1031" s="25" t="s">
        <v>3204</v>
      </c>
      <c r="F1031" s="25" t="s">
        <v>3418</v>
      </c>
      <c r="G1031" s="25">
        <v>500</v>
      </c>
      <c r="H1031" s="25"/>
    </row>
    <row r="1032" spans="1:8" ht="14">
      <c r="A1032" s="28" t="s">
        <v>3419</v>
      </c>
      <c r="B1032" s="26" t="s">
        <v>3173</v>
      </c>
      <c r="C1032" s="28" t="s">
        <v>3419</v>
      </c>
      <c r="D1032" s="25" t="s">
        <v>13</v>
      </c>
      <c r="E1032" s="25" t="s">
        <v>3205</v>
      </c>
      <c r="F1032" s="25" t="s">
        <v>3420</v>
      </c>
      <c r="G1032" s="25">
        <v>500</v>
      </c>
      <c r="H1032" s="25"/>
    </row>
    <row r="1033" spans="1:8" ht="14">
      <c r="A1033" s="28" t="s">
        <v>3421</v>
      </c>
      <c r="B1033" s="26" t="s">
        <v>3173</v>
      </c>
      <c r="C1033" s="28" t="s">
        <v>3421</v>
      </c>
      <c r="D1033" s="25" t="s">
        <v>13</v>
      </c>
      <c r="E1033" s="25" t="s">
        <v>3206</v>
      </c>
      <c r="F1033" s="25" t="s">
        <v>3422</v>
      </c>
      <c r="G1033" s="25">
        <v>500</v>
      </c>
      <c r="H1033" s="25"/>
    </row>
    <row r="1034" spans="1:8" ht="14">
      <c r="A1034" s="28" t="s">
        <v>3423</v>
      </c>
      <c r="B1034" s="26" t="s">
        <v>3173</v>
      </c>
      <c r="C1034" s="28" t="s">
        <v>3423</v>
      </c>
      <c r="D1034" s="25" t="s">
        <v>13</v>
      </c>
      <c r="E1034" s="25" t="s">
        <v>3207</v>
      </c>
      <c r="F1034" s="25" t="s">
        <v>3424</v>
      </c>
      <c r="G1034" s="25">
        <v>500</v>
      </c>
      <c r="H1034" s="25"/>
    </row>
    <row r="1035" spans="1:8" ht="14">
      <c r="A1035" s="28" t="s">
        <v>3425</v>
      </c>
      <c r="B1035" s="26" t="s">
        <v>3173</v>
      </c>
      <c r="C1035" s="28" t="s">
        <v>3425</v>
      </c>
      <c r="D1035" s="25" t="s">
        <v>13</v>
      </c>
      <c r="E1035" s="25" t="s">
        <v>3208</v>
      </c>
      <c r="F1035" s="25" t="s">
        <v>3426</v>
      </c>
      <c r="G1035" s="25">
        <v>500</v>
      </c>
      <c r="H1035" s="25"/>
    </row>
    <row r="1036" spans="1:8" ht="14">
      <c r="A1036" s="28" t="s">
        <v>3427</v>
      </c>
      <c r="B1036" s="26" t="s">
        <v>3173</v>
      </c>
      <c r="C1036" s="28" t="s">
        <v>3427</v>
      </c>
      <c r="D1036" s="25" t="s">
        <v>13</v>
      </c>
      <c r="E1036" s="25" t="s">
        <v>3209</v>
      </c>
      <c r="F1036" s="25" t="s">
        <v>3428</v>
      </c>
      <c r="G1036" s="25">
        <v>500</v>
      </c>
      <c r="H1036" s="25"/>
    </row>
    <row r="1037" spans="1:8" ht="14">
      <c r="A1037" s="28" t="s">
        <v>3429</v>
      </c>
      <c r="B1037" s="26" t="s">
        <v>3173</v>
      </c>
      <c r="C1037" s="28" t="s">
        <v>3429</v>
      </c>
      <c r="D1037" s="25" t="s">
        <v>13</v>
      </c>
      <c r="E1037" s="25" t="s">
        <v>3210</v>
      </c>
      <c r="F1037" s="25" t="s">
        <v>3430</v>
      </c>
      <c r="G1037" s="25">
        <v>500</v>
      </c>
      <c r="H1037" s="25"/>
    </row>
    <row r="1038" spans="1:8" ht="14">
      <c r="A1038" s="28" t="s">
        <v>3431</v>
      </c>
      <c r="B1038" s="26" t="s">
        <v>3173</v>
      </c>
      <c r="C1038" s="28" t="s">
        <v>3431</v>
      </c>
      <c r="D1038" s="25" t="s">
        <v>13</v>
      </c>
      <c r="E1038" s="25" t="s">
        <v>3211</v>
      </c>
      <c r="F1038" s="25" t="s">
        <v>3432</v>
      </c>
      <c r="G1038" s="25">
        <v>500</v>
      </c>
      <c r="H1038" s="25"/>
    </row>
    <row r="1039" spans="1:8" ht="14">
      <c r="A1039" s="28" t="s">
        <v>3433</v>
      </c>
      <c r="B1039" s="26" t="s">
        <v>3173</v>
      </c>
      <c r="C1039" s="28" t="s">
        <v>3433</v>
      </c>
      <c r="D1039" s="25" t="s">
        <v>13</v>
      </c>
      <c r="E1039" s="25" t="s">
        <v>3212</v>
      </c>
      <c r="F1039" s="25" t="s">
        <v>3434</v>
      </c>
      <c r="G1039" s="25">
        <v>500</v>
      </c>
      <c r="H1039" s="25"/>
    </row>
    <row r="1040" spans="1:8" ht="14">
      <c r="A1040" s="28" t="s">
        <v>3435</v>
      </c>
      <c r="B1040" s="26" t="s">
        <v>3173</v>
      </c>
      <c r="C1040" s="28" t="s">
        <v>3435</v>
      </c>
      <c r="D1040" s="25" t="s">
        <v>13</v>
      </c>
      <c r="E1040" s="25" t="s">
        <v>3213</v>
      </c>
      <c r="F1040" s="25" t="s">
        <v>3436</v>
      </c>
      <c r="G1040" s="25">
        <v>500</v>
      </c>
      <c r="H1040" s="25"/>
    </row>
    <row r="1041" spans="1:8" ht="14">
      <c r="A1041" s="28" t="s">
        <v>3437</v>
      </c>
      <c r="B1041" s="26" t="s">
        <v>3173</v>
      </c>
      <c r="C1041" s="28" t="s">
        <v>3437</v>
      </c>
      <c r="D1041" s="25" t="s">
        <v>13</v>
      </c>
      <c r="E1041" s="25" t="s">
        <v>3214</v>
      </c>
      <c r="F1041" s="25" t="s">
        <v>3438</v>
      </c>
      <c r="G1041" s="25">
        <v>500</v>
      </c>
      <c r="H1041" s="25"/>
    </row>
    <row r="1042" spans="1:8" ht="14">
      <c r="A1042" s="28" t="s">
        <v>3439</v>
      </c>
      <c r="B1042" s="26" t="s">
        <v>3173</v>
      </c>
      <c r="C1042" s="28" t="s">
        <v>3439</v>
      </c>
      <c r="D1042" s="25" t="s">
        <v>13</v>
      </c>
      <c r="E1042" s="25" t="s">
        <v>3215</v>
      </c>
      <c r="F1042" s="25" t="s">
        <v>3440</v>
      </c>
      <c r="G1042" s="25">
        <v>500</v>
      </c>
      <c r="H1042" s="25"/>
    </row>
    <row r="1043" spans="1:8" ht="14">
      <c r="A1043" s="28" t="s">
        <v>3441</v>
      </c>
      <c r="B1043" s="26" t="s">
        <v>3173</v>
      </c>
      <c r="C1043" s="28" t="s">
        <v>3441</v>
      </c>
      <c r="D1043" s="25" t="s">
        <v>13</v>
      </c>
      <c r="E1043" s="25" t="s">
        <v>3216</v>
      </c>
      <c r="F1043" s="25" t="s">
        <v>3442</v>
      </c>
      <c r="G1043" s="25">
        <v>500</v>
      </c>
      <c r="H1043" s="25"/>
    </row>
    <row r="1044" spans="1:8" ht="14">
      <c r="A1044" s="28" t="s">
        <v>3443</v>
      </c>
      <c r="B1044" s="26" t="s">
        <v>3173</v>
      </c>
      <c r="C1044" s="28" t="s">
        <v>3443</v>
      </c>
      <c r="D1044" s="25" t="s">
        <v>13</v>
      </c>
      <c r="E1044" s="25" t="s">
        <v>3217</v>
      </c>
      <c r="F1044" s="25" t="s">
        <v>3444</v>
      </c>
      <c r="G1044" s="25">
        <v>500</v>
      </c>
      <c r="H1044" s="25"/>
    </row>
    <row r="1045" spans="1:8" ht="14">
      <c r="A1045" s="28" t="s">
        <v>3445</v>
      </c>
      <c r="B1045" s="26" t="s">
        <v>3173</v>
      </c>
      <c r="C1045" s="28" t="s">
        <v>3445</v>
      </c>
      <c r="D1045" s="25" t="s">
        <v>13</v>
      </c>
      <c r="E1045" s="25" t="s">
        <v>3218</v>
      </c>
      <c r="F1045" s="25" t="s">
        <v>3446</v>
      </c>
      <c r="G1045" s="25">
        <v>500</v>
      </c>
      <c r="H1045" s="25"/>
    </row>
    <row r="1046" spans="1:8" ht="14">
      <c r="A1046" s="28" t="s">
        <v>3447</v>
      </c>
      <c r="B1046" s="26" t="s">
        <v>3173</v>
      </c>
      <c r="C1046" s="28" t="s">
        <v>3447</v>
      </c>
      <c r="D1046" s="25" t="s">
        <v>13</v>
      </c>
      <c r="E1046" s="25" t="s">
        <v>3219</v>
      </c>
      <c r="F1046" s="25" t="s">
        <v>3448</v>
      </c>
      <c r="G1046" s="25">
        <v>500</v>
      </c>
      <c r="H1046" s="25"/>
    </row>
    <row r="1047" spans="1:8" ht="14">
      <c r="A1047" s="28" t="s">
        <v>3449</v>
      </c>
      <c r="B1047" s="26" t="s">
        <v>3173</v>
      </c>
      <c r="C1047" s="28" t="s">
        <v>3449</v>
      </c>
      <c r="D1047" s="25" t="s">
        <v>13</v>
      </c>
      <c r="E1047" s="25" t="s">
        <v>3220</v>
      </c>
      <c r="F1047" s="25" t="s">
        <v>3450</v>
      </c>
      <c r="G1047" s="25">
        <v>500</v>
      </c>
      <c r="H1047" s="25"/>
    </row>
    <row r="1048" spans="1:8" ht="14">
      <c r="A1048" s="28" t="s">
        <v>3451</v>
      </c>
      <c r="B1048" s="26" t="s">
        <v>3173</v>
      </c>
      <c r="C1048" s="28" t="s">
        <v>3451</v>
      </c>
      <c r="D1048" s="25" t="s">
        <v>13</v>
      </c>
      <c r="E1048" s="25" t="s">
        <v>3221</v>
      </c>
      <c r="F1048" s="25" t="s">
        <v>3452</v>
      </c>
      <c r="G1048" s="25">
        <v>500</v>
      </c>
      <c r="H1048" s="25"/>
    </row>
    <row r="1049" spans="1:8" ht="14">
      <c r="A1049" s="28" t="s">
        <v>3453</v>
      </c>
      <c r="B1049" s="26" t="s">
        <v>3173</v>
      </c>
      <c r="C1049" s="28" t="s">
        <v>3453</v>
      </c>
      <c r="D1049" s="25" t="s">
        <v>13</v>
      </c>
      <c r="E1049" s="25" t="s">
        <v>3222</v>
      </c>
      <c r="F1049" s="25" t="s">
        <v>3454</v>
      </c>
      <c r="G1049" s="25">
        <v>500</v>
      </c>
      <c r="H1049" s="25"/>
    </row>
    <row r="1050" spans="1:8" ht="14">
      <c r="A1050" s="28" t="s">
        <v>3455</v>
      </c>
      <c r="B1050" s="26" t="s">
        <v>3173</v>
      </c>
      <c r="C1050" s="28" t="s">
        <v>3455</v>
      </c>
      <c r="D1050" s="25" t="s">
        <v>13</v>
      </c>
      <c r="E1050" s="25" t="s">
        <v>3223</v>
      </c>
      <c r="F1050" s="25" t="s">
        <v>3456</v>
      </c>
      <c r="G1050" s="25">
        <v>500</v>
      </c>
      <c r="H1050" s="25"/>
    </row>
    <row r="1051" spans="1:8" ht="14">
      <c r="A1051" s="28" t="s">
        <v>3457</v>
      </c>
      <c r="B1051" s="26" t="s">
        <v>3173</v>
      </c>
      <c r="C1051" s="28" t="s">
        <v>3457</v>
      </c>
      <c r="D1051" s="25" t="s">
        <v>13</v>
      </c>
      <c r="E1051" s="25" t="s">
        <v>3224</v>
      </c>
      <c r="F1051" s="25" t="s">
        <v>3458</v>
      </c>
      <c r="G1051" s="25">
        <v>500</v>
      </c>
      <c r="H1051" s="25"/>
    </row>
    <row r="1052" spans="1:8" ht="14">
      <c r="A1052" s="28" t="s">
        <v>3459</v>
      </c>
      <c r="B1052" s="26" t="s">
        <v>3173</v>
      </c>
      <c r="C1052" s="28" t="s">
        <v>3459</v>
      </c>
      <c r="D1052" s="25" t="s">
        <v>13</v>
      </c>
      <c r="E1052" s="25" t="s">
        <v>3225</v>
      </c>
      <c r="F1052" s="25" t="s">
        <v>3460</v>
      </c>
      <c r="G1052" s="25">
        <v>500</v>
      </c>
      <c r="H1052" s="25"/>
    </row>
    <row r="1053" spans="1:8" ht="14">
      <c r="A1053" s="28" t="s">
        <v>3461</v>
      </c>
      <c r="B1053" s="26" t="s">
        <v>3173</v>
      </c>
      <c r="C1053" s="28" t="s">
        <v>3461</v>
      </c>
      <c r="D1053" s="25" t="s">
        <v>13</v>
      </c>
      <c r="E1053" s="25" t="s">
        <v>3226</v>
      </c>
      <c r="F1053" s="25" t="s">
        <v>3462</v>
      </c>
      <c r="G1053" s="25">
        <v>500</v>
      </c>
      <c r="H1053" s="25"/>
    </row>
    <row r="1054" spans="1:8" ht="14">
      <c r="A1054" s="28" t="s">
        <v>3463</v>
      </c>
      <c r="B1054" s="26" t="s">
        <v>3173</v>
      </c>
      <c r="C1054" s="28" t="s">
        <v>3463</v>
      </c>
      <c r="D1054" s="25" t="s">
        <v>13</v>
      </c>
      <c r="E1054" s="25" t="s">
        <v>3227</v>
      </c>
      <c r="F1054" s="25" t="s">
        <v>3464</v>
      </c>
      <c r="G1054" s="25">
        <v>500</v>
      </c>
      <c r="H1054" s="25"/>
    </row>
    <row r="1055" spans="1:8" ht="14">
      <c r="A1055" s="28" t="s">
        <v>3465</v>
      </c>
      <c r="B1055" s="26" t="s">
        <v>3173</v>
      </c>
      <c r="C1055" s="28" t="s">
        <v>3465</v>
      </c>
      <c r="D1055" s="25" t="s">
        <v>13</v>
      </c>
      <c r="E1055" s="25" t="s">
        <v>3466</v>
      </c>
      <c r="F1055" s="25" t="s">
        <v>3467</v>
      </c>
      <c r="G1055" s="25">
        <v>500</v>
      </c>
      <c r="H1055" s="25"/>
    </row>
    <row r="1056" spans="1:8" ht="14">
      <c r="A1056" s="28" t="s">
        <v>3468</v>
      </c>
      <c r="B1056" s="26" t="s">
        <v>3173</v>
      </c>
      <c r="C1056" s="28" t="s">
        <v>3468</v>
      </c>
      <c r="D1056" s="25" t="s">
        <v>13</v>
      </c>
      <c r="E1056" s="25" t="s">
        <v>3469</v>
      </c>
      <c r="F1056" s="25" t="s">
        <v>3470</v>
      </c>
      <c r="G1056" s="25">
        <v>500</v>
      </c>
      <c r="H1056" s="25"/>
    </row>
    <row r="1057" spans="1:8" ht="14">
      <c r="A1057" s="28" t="s">
        <v>3471</v>
      </c>
      <c r="B1057" s="26" t="s">
        <v>3173</v>
      </c>
      <c r="C1057" s="28" t="s">
        <v>3471</v>
      </c>
      <c r="D1057" s="25" t="s">
        <v>13</v>
      </c>
      <c r="E1057" s="25" t="s">
        <v>3228</v>
      </c>
      <c r="F1057" s="25" t="s">
        <v>3472</v>
      </c>
      <c r="G1057" s="25">
        <v>500</v>
      </c>
      <c r="H1057" s="25"/>
    </row>
    <row r="1058" spans="1:8" ht="14">
      <c r="A1058" s="28" t="s">
        <v>3473</v>
      </c>
      <c r="B1058" s="26" t="s">
        <v>3173</v>
      </c>
      <c r="C1058" s="28" t="s">
        <v>3473</v>
      </c>
      <c r="D1058" s="25" t="s">
        <v>13</v>
      </c>
      <c r="E1058" s="25" t="s">
        <v>3229</v>
      </c>
      <c r="F1058" s="25" t="s">
        <v>3474</v>
      </c>
      <c r="G1058" s="25">
        <v>500</v>
      </c>
      <c r="H1058" s="25"/>
    </row>
    <row r="1059" spans="1:8" ht="14">
      <c r="A1059" s="28" t="s">
        <v>3475</v>
      </c>
      <c r="B1059" s="26" t="s">
        <v>3173</v>
      </c>
      <c r="C1059" s="28" t="s">
        <v>3475</v>
      </c>
      <c r="D1059" s="25" t="s">
        <v>13</v>
      </c>
      <c r="E1059" s="25" t="s">
        <v>3230</v>
      </c>
      <c r="F1059" s="25" t="s">
        <v>3476</v>
      </c>
      <c r="G1059" s="25">
        <v>500</v>
      </c>
      <c r="H1059" s="25"/>
    </row>
    <row r="1060" spans="1:8" ht="14">
      <c r="A1060" s="28" t="s">
        <v>3477</v>
      </c>
      <c r="B1060" s="26" t="s">
        <v>3173</v>
      </c>
      <c r="C1060" s="28" t="s">
        <v>3477</v>
      </c>
      <c r="D1060" s="25" t="s">
        <v>13</v>
      </c>
      <c r="E1060" s="25" t="s">
        <v>3231</v>
      </c>
      <c r="F1060" s="25" t="s">
        <v>3478</v>
      </c>
      <c r="G1060" s="25">
        <v>500</v>
      </c>
      <c r="H1060" s="25"/>
    </row>
    <row r="1061" spans="1:8" ht="14">
      <c r="A1061" s="28" t="s">
        <v>3479</v>
      </c>
      <c r="B1061" s="26" t="s">
        <v>3173</v>
      </c>
      <c r="C1061" s="28" t="s">
        <v>3479</v>
      </c>
      <c r="D1061" s="25" t="s">
        <v>13</v>
      </c>
      <c r="E1061" s="25" t="s">
        <v>3232</v>
      </c>
      <c r="F1061" s="25" t="s">
        <v>3480</v>
      </c>
      <c r="G1061" s="25">
        <v>500</v>
      </c>
      <c r="H1061" s="25"/>
    </row>
    <row r="1062" spans="1:8" ht="14">
      <c r="A1062" s="28" t="s">
        <v>3481</v>
      </c>
      <c r="B1062" s="26" t="s">
        <v>3173</v>
      </c>
      <c r="C1062" s="28" t="s">
        <v>3481</v>
      </c>
      <c r="D1062" s="25" t="s">
        <v>13</v>
      </c>
      <c r="E1062" s="25" t="s">
        <v>3233</v>
      </c>
      <c r="F1062" s="25" t="s">
        <v>3482</v>
      </c>
      <c r="G1062" s="25">
        <v>500</v>
      </c>
      <c r="H1062" s="25"/>
    </row>
    <row r="1063" spans="1:8" ht="14">
      <c r="A1063" s="28" t="s">
        <v>3483</v>
      </c>
      <c r="B1063" s="26" t="s">
        <v>3173</v>
      </c>
      <c r="C1063" s="28" t="s">
        <v>3483</v>
      </c>
      <c r="D1063" s="25" t="s">
        <v>13</v>
      </c>
      <c r="E1063" s="25" t="s">
        <v>3234</v>
      </c>
      <c r="F1063" s="25" t="s">
        <v>3484</v>
      </c>
      <c r="G1063" s="25">
        <v>500</v>
      </c>
      <c r="H1063" s="25"/>
    </row>
    <row r="1064" spans="1:8" ht="14">
      <c r="A1064" s="28" t="s">
        <v>3485</v>
      </c>
      <c r="B1064" s="26" t="s">
        <v>3173</v>
      </c>
      <c r="C1064" s="28" t="s">
        <v>3485</v>
      </c>
      <c r="D1064" s="25" t="s">
        <v>13</v>
      </c>
      <c r="E1064" s="25" t="s">
        <v>3486</v>
      </c>
      <c r="F1064" s="25" t="s">
        <v>3487</v>
      </c>
      <c r="G1064" s="25">
        <v>500</v>
      </c>
      <c r="H1064" s="25"/>
    </row>
    <row r="1065" spans="1:8" ht="14">
      <c r="A1065" s="28" t="s">
        <v>3488</v>
      </c>
      <c r="B1065" s="26" t="s">
        <v>3173</v>
      </c>
      <c r="C1065" s="28" t="s">
        <v>3488</v>
      </c>
      <c r="D1065" s="25" t="s">
        <v>13</v>
      </c>
      <c r="E1065" s="25" t="s">
        <v>3489</v>
      </c>
      <c r="F1065" s="25" t="s">
        <v>3490</v>
      </c>
      <c r="G1065" s="25">
        <v>500</v>
      </c>
      <c r="H1065" s="25"/>
    </row>
    <row r="1066" spans="1:8" ht="14">
      <c r="A1066" s="28" t="s">
        <v>3491</v>
      </c>
      <c r="B1066" s="26" t="s">
        <v>3173</v>
      </c>
      <c r="C1066" s="28" t="s">
        <v>3491</v>
      </c>
      <c r="D1066" s="25" t="s">
        <v>13</v>
      </c>
      <c r="E1066" s="25" t="s">
        <v>3489</v>
      </c>
      <c r="F1066" s="25" t="s">
        <v>3492</v>
      </c>
      <c r="G1066" s="25">
        <v>500</v>
      </c>
      <c r="H1066" s="25"/>
    </row>
    <row r="1067" spans="1:8" ht="14">
      <c r="A1067" s="28" t="s">
        <v>3493</v>
      </c>
      <c r="B1067" s="26" t="s">
        <v>3173</v>
      </c>
      <c r="C1067" s="28" t="s">
        <v>3493</v>
      </c>
      <c r="D1067" s="25" t="s">
        <v>13</v>
      </c>
      <c r="E1067" s="25" t="s">
        <v>3235</v>
      </c>
      <c r="F1067" s="25" t="s">
        <v>3494</v>
      </c>
      <c r="G1067" s="25">
        <v>500</v>
      </c>
      <c r="H1067" s="25"/>
    </row>
    <row r="1068" spans="1:8" ht="14">
      <c r="A1068" s="28" t="s">
        <v>3495</v>
      </c>
      <c r="B1068" s="26" t="s">
        <v>3173</v>
      </c>
      <c r="C1068" s="28" t="s">
        <v>3495</v>
      </c>
      <c r="D1068" s="25" t="s">
        <v>13</v>
      </c>
      <c r="E1068" s="25" t="s">
        <v>3236</v>
      </c>
      <c r="F1068" s="25" t="s">
        <v>3496</v>
      </c>
      <c r="G1068" s="25">
        <v>500</v>
      </c>
      <c r="H1068" s="25"/>
    </row>
    <row r="1069" spans="1:8" ht="14">
      <c r="A1069" s="28" t="s">
        <v>3497</v>
      </c>
      <c r="B1069" s="26" t="s">
        <v>3173</v>
      </c>
      <c r="C1069" s="28" t="s">
        <v>3497</v>
      </c>
      <c r="D1069" s="25" t="s">
        <v>13</v>
      </c>
      <c r="E1069" s="25" t="s">
        <v>3237</v>
      </c>
      <c r="F1069" s="25" t="s">
        <v>3498</v>
      </c>
      <c r="G1069" s="25">
        <v>500</v>
      </c>
      <c r="H1069" s="25"/>
    </row>
    <row r="1070" spans="1:8" ht="14">
      <c r="A1070" s="28" t="s">
        <v>3499</v>
      </c>
      <c r="B1070" s="26" t="s">
        <v>3173</v>
      </c>
      <c r="C1070" s="28" t="s">
        <v>3499</v>
      </c>
      <c r="D1070" s="25" t="s">
        <v>13</v>
      </c>
      <c r="E1070" s="25" t="s">
        <v>3238</v>
      </c>
      <c r="F1070" s="25" t="s">
        <v>3500</v>
      </c>
      <c r="G1070" s="25">
        <v>500</v>
      </c>
      <c r="H1070" s="25"/>
    </row>
    <row r="1071" spans="1:8" ht="14">
      <c r="A1071" s="28" t="s">
        <v>3501</v>
      </c>
      <c r="B1071" s="26" t="s">
        <v>3173</v>
      </c>
      <c r="C1071" s="28" t="s">
        <v>3501</v>
      </c>
      <c r="D1071" s="25" t="s">
        <v>13</v>
      </c>
      <c r="E1071" s="25" t="s">
        <v>3239</v>
      </c>
      <c r="F1071" s="25" t="s">
        <v>3502</v>
      </c>
      <c r="G1071" s="25">
        <v>500</v>
      </c>
      <c r="H1071" s="25"/>
    </row>
    <row r="1072" spans="1:8" ht="14">
      <c r="A1072" s="28" t="s">
        <v>3503</v>
      </c>
      <c r="B1072" s="26" t="s">
        <v>3173</v>
      </c>
      <c r="C1072" s="28" t="s">
        <v>3503</v>
      </c>
      <c r="D1072" s="25" t="s">
        <v>13</v>
      </c>
      <c r="E1072" s="25" t="s">
        <v>3240</v>
      </c>
      <c r="F1072" s="25" t="s">
        <v>3504</v>
      </c>
      <c r="G1072" s="25">
        <v>500</v>
      </c>
      <c r="H1072" s="25"/>
    </row>
    <row r="1073" spans="1:8" ht="14">
      <c r="A1073" s="28" t="s">
        <v>3505</v>
      </c>
      <c r="B1073" s="26" t="s">
        <v>3173</v>
      </c>
      <c r="C1073" s="28" t="s">
        <v>3505</v>
      </c>
      <c r="D1073" s="25" t="s">
        <v>13</v>
      </c>
      <c r="E1073" s="25" t="s">
        <v>3241</v>
      </c>
      <c r="F1073" s="25" t="s">
        <v>3506</v>
      </c>
      <c r="G1073" s="25">
        <v>500</v>
      </c>
      <c r="H1073" s="25"/>
    </row>
    <row r="1074" spans="1:8" ht="14">
      <c r="A1074" s="28" t="s">
        <v>3507</v>
      </c>
      <c r="B1074" s="26" t="s">
        <v>3173</v>
      </c>
      <c r="C1074" s="28" t="s">
        <v>3507</v>
      </c>
      <c r="D1074" s="25" t="s">
        <v>13</v>
      </c>
      <c r="E1074" s="25" t="s">
        <v>3242</v>
      </c>
      <c r="F1074" s="25" t="s">
        <v>3508</v>
      </c>
      <c r="G1074" s="25">
        <v>500</v>
      </c>
      <c r="H1074" s="25"/>
    </row>
    <row r="1075" spans="1:8" ht="14">
      <c r="A1075" s="28" t="s">
        <v>3509</v>
      </c>
      <c r="B1075" s="26" t="s">
        <v>3173</v>
      </c>
      <c r="C1075" s="28" t="s">
        <v>3509</v>
      </c>
      <c r="D1075" s="25" t="s">
        <v>13</v>
      </c>
      <c r="E1075" s="25" t="s">
        <v>3243</v>
      </c>
      <c r="F1075" s="25" t="s">
        <v>3510</v>
      </c>
      <c r="G1075" s="25">
        <v>500</v>
      </c>
      <c r="H1075" s="25"/>
    </row>
    <row r="1076" spans="1:8" ht="14">
      <c r="A1076" s="28" t="s">
        <v>3511</v>
      </c>
      <c r="B1076" s="26" t="s">
        <v>3173</v>
      </c>
      <c r="C1076" s="28" t="s">
        <v>3511</v>
      </c>
      <c r="D1076" s="25" t="s">
        <v>13</v>
      </c>
      <c r="E1076" s="25" t="s">
        <v>3244</v>
      </c>
      <c r="F1076" s="25" t="s">
        <v>3512</v>
      </c>
      <c r="G1076" s="25">
        <v>500</v>
      </c>
      <c r="H1076" s="25"/>
    </row>
    <row r="1077" spans="1:8" ht="14">
      <c r="A1077" s="28" t="s">
        <v>3513</v>
      </c>
      <c r="B1077" s="26" t="s">
        <v>3173</v>
      </c>
      <c r="C1077" s="28" t="s">
        <v>3513</v>
      </c>
      <c r="D1077" s="25" t="s">
        <v>13</v>
      </c>
      <c r="E1077" s="25" t="s">
        <v>3245</v>
      </c>
      <c r="F1077" s="25" t="s">
        <v>3514</v>
      </c>
      <c r="G1077" s="25">
        <v>500</v>
      </c>
      <c r="H1077" s="25"/>
    </row>
    <row r="1078" spans="1:8" ht="14">
      <c r="A1078" s="28" t="s">
        <v>3515</v>
      </c>
      <c r="B1078" s="26" t="s">
        <v>3173</v>
      </c>
      <c r="C1078" s="28" t="s">
        <v>3515</v>
      </c>
      <c r="D1078" s="25" t="s">
        <v>13</v>
      </c>
      <c r="E1078" s="25" t="s">
        <v>3246</v>
      </c>
      <c r="F1078" s="25" t="s">
        <v>3516</v>
      </c>
      <c r="G1078" s="25">
        <v>500</v>
      </c>
      <c r="H1078" s="25"/>
    </row>
    <row r="1079" spans="1:8" ht="14">
      <c r="A1079" s="28" t="s">
        <v>3517</v>
      </c>
      <c r="B1079" s="26" t="s">
        <v>3173</v>
      </c>
      <c r="C1079" s="28" t="s">
        <v>3517</v>
      </c>
      <c r="D1079" s="25" t="s">
        <v>13</v>
      </c>
      <c r="E1079" s="25" t="s">
        <v>3247</v>
      </c>
      <c r="F1079" s="25" t="s">
        <v>3518</v>
      </c>
      <c r="G1079" s="25">
        <v>500</v>
      </c>
      <c r="H1079" s="25"/>
    </row>
    <row r="1080" spans="1:8" ht="14">
      <c r="A1080" s="28" t="s">
        <v>3519</v>
      </c>
      <c r="B1080" s="26" t="s">
        <v>3173</v>
      </c>
      <c r="C1080" s="28" t="s">
        <v>3519</v>
      </c>
      <c r="D1080" s="25" t="s">
        <v>13</v>
      </c>
      <c r="E1080" s="25" t="s">
        <v>3248</v>
      </c>
      <c r="F1080" s="25" t="s">
        <v>3520</v>
      </c>
      <c r="G1080" s="25">
        <v>500</v>
      </c>
      <c r="H1080" s="25"/>
    </row>
    <row r="1081" spans="1:8" ht="14">
      <c r="A1081" s="28" t="s">
        <v>3521</v>
      </c>
      <c r="B1081" s="26" t="s">
        <v>3173</v>
      </c>
      <c r="C1081" s="28" t="s">
        <v>3521</v>
      </c>
      <c r="D1081" s="25" t="s">
        <v>13</v>
      </c>
      <c r="E1081" s="25" t="s">
        <v>3249</v>
      </c>
      <c r="F1081" s="25" t="s">
        <v>3522</v>
      </c>
      <c r="G1081" s="25">
        <v>500</v>
      </c>
      <c r="H1081" s="25"/>
    </row>
    <row r="1082" spans="1:8" ht="14">
      <c r="A1082" s="28" t="s">
        <v>3523</v>
      </c>
      <c r="B1082" s="26" t="s">
        <v>3173</v>
      </c>
      <c r="C1082" s="28" t="s">
        <v>3523</v>
      </c>
      <c r="D1082" s="25" t="s">
        <v>13</v>
      </c>
      <c r="E1082" s="25" t="s">
        <v>3250</v>
      </c>
      <c r="F1082" s="25" t="s">
        <v>3524</v>
      </c>
      <c r="G1082" s="25">
        <v>500</v>
      </c>
      <c r="H1082" s="25"/>
    </row>
    <row r="1083" spans="1:8" ht="14">
      <c r="A1083" s="28" t="s">
        <v>3525</v>
      </c>
      <c r="B1083" s="26" t="s">
        <v>3173</v>
      </c>
      <c r="C1083" s="28" t="s">
        <v>3525</v>
      </c>
      <c r="D1083" s="25" t="s">
        <v>13</v>
      </c>
      <c r="E1083" s="25" t="s">
        <v>3251</v>
      </c>
      <c r="F1083" s="25" t="s">
        <v>3526</v>
      </c>
      <c r="G1083" s="25">
        <v>500</v>
      </c>
      <c r="H1083" s="25"/>
    </row>
    <row r="1084" spans="1:8" ht="14">
      <c r="A1084" s="28" t="s">
        <v>3527</v>
      </c>
      <c r="B1084" s="26" t="s">
        <v>3173</v>
      </c>
      <c r="C1084" s="28" t="s">
        <v>3527</v>
      </c>
      <c r="D1084" s="25" t="s">
        <v>13</v>
      </c>
      <c r="E1084" s="25" t="s">
        <v>3769</v>
      </c>
      <c r="F1084" s="25" t="s">
        <v>3770</v>
      </c>
      <c r="G1084" s="25">
        <v>500</v>
      </c>
      <c r="H1084" s="25"/>
    </row>
    <row r="1085" spans="1:8" ht="14">
      <c r="A1085" s="28" t="s">
        <v>3528</v>
      </c>
      <c r="B1085" s="26" t="s">
        <v>3173</v>
      </c>
      <c r="C1085" s="28" t="s">
        <v>3528</v>
      </c>
      <c r="D1085" s="25" t="s">
        <v>13</v>
      </c>
      <c r="E1085" s="25" t="s">
        <v>3252</v>
      </c>
      <c r="F1085" s="25" t="s">
        <v>3529</v>
      </c>
      <c r="G1085" s="25">
        <v>500</v>
      </c>
      <c r="H1085" s="25"/>
    </row>
    <row r="1086" spans="1:8" ht="14">
      <c r="A1086" s="28" t="s">
        <v>3530</v>
      </c>
      <c r="B1086" s="26" t="s">
        <v>3173</v>
      </c>
      <c r="C1086" s="28" t="s">
        <v>3530</v>
      </c>
      <c r="D1086" s="25" t="s">
        <v>13</v>
      </c>
      <c r="E1086" s="25" t="s">
        <v>3253</v>
      </c>
      <c r="F1086" s="25" t="s">
        <v>3531</v>
      </c>
      <c r="G1086" s="25">
        <v>500</v>
      </c>
      <c r="H1086" s="25"/>
    </row>
    <row r="1087" spans="1:8" ht="14">
      <c r="A1087" s="28" t="s">
        <v>3532</v>
      </c>
      <c r="B1087" s="26" t="s">
        <v>3173</v>
      </c>
      <c r="C1087" s="28" t="s">
        <v>3532</v>
      </c>
      <c r="D1087" s="25" t="s">
        <v>13</v>
      </c>
      <c r="E1087" s="25" t="s">
        <v>3254</v>
      </c>
      <c r="F1087" s="25" t="s">
        <v>3533</v>
      </c>
      <c r="G1087" s="25">
        <v>500</v>
      </c>
      <c r="H1087" s="25"/>
    </row>
    <row r="1088" spans="1:8" ht="14">
      <c r="A1088" s="28" t="s">
        <v>3534</v>
      </c>
      <c r="B1088" s="26" t="s">
        <v>3173</v>
      </c>
      <c r="C1088" s="28" t="s">
        <v>3534</v>
      </c>
      <c r="D1088" s="25" t="s">
        <v>13</v>
      </c>
      <c r="E1088" s="25" t="s">
        <v>3255</v>
      </c>
      <c r="F1088" s="25" t="s">
        <v>3535</v>
      </c>
      <c r="G1088" s="25">
        <v>500</v>
      </c>
      <c r="H1088" s="25"/>
    </row>
    <row r="1089" spans="1:8" ht="14">
      <c r="A1089" s="28" t="s">
        <v>3536</v>
      </c>
      <c r="B1089" s="26" t="s">
        <v>3173</v>
      </c>
      <c r="C1089" s="28" t="s">
        <v>3536</v>
      </c>
      <c r="D1089" s="25" t="s">
        <v>13</v>
      </c>
      <c r="E1089" s="25" t="s">
        <v>3256</v>
      </c>
      <c r="F1089" s="25" t="s">
        <v>3537</v>
      </c>
      <c r="G1089" s="25">
        <v>500</v>
      </c>
      <c r="H1089" s="25"/>
    </row>
    <row r="1090" spans="1:8" ht="14">
      <c r="A1090" s="28" t="s">
        <v>3538</v>
      </c>
      <c r="B1090" s="26" t="s">
        <v>3173</v>
      </c>
      <c r="C1090" s="28" t="s">
        <v>3538</v>
      </c>
      <c r="D1090" s="25" t="s">
        <v>13</v>
      </c>
      <c r="E1090" s="25" t="s">
        <v>3539</v>
      </c>
      <c r="F1090" s="25" t="s">
        <v>3540</v>
      </c>
      <c r="G1090" s="25">
        <v>500</v>
      </c>
      <c r="H1090" s="25"/>
    </row>
    <row r="1091" spans="1:8" ht="14">
      <c r="A1091" s="28" t="s">
        <v>3541</v>
      </c>
      <c r="B1091" s="26" t="s">
        <v>3173</v>
      </c>
      <c r="C1091" s="28" t="s">
        <v>3541</v>
      </c>
      <c r="D1091" s="25" t="s">
        <v>13</v>
      </c>
      <c r="E1091" s="25" t="s">
        <v>3542</v>
      </c>
      <c r="F1091" s="25" t="s">
        <v>3543</v>
      </c>
      <c r="G1091" s="25">
        <v>500</v>
      </c>
      <c r="H1091" s="25"/>
    </row>
    <row r="1092" spans="1:8" ht="14">
      <c r="A1092" s="28" t="s">
        <v>3544</v>
      </c>
      <c r="B1092" s="26" t="s">
        <v>3173</v>
      </c>
      <c r="C1092" s="28" t="s">
        <v>3544</v>
      </c>
      <c r="D1092" s="25" t="s">
        <v>13</v>
      </c>
      <c r="E1092" s="25" t="s">
        <v>3257</v>
      </c>
      <c r="F1092" s="25" t="s">
        <v>3545</v>
      </c>
      <c r="G1092" s="25">
        <v>500</v>
      </c>
      <c r="H1092" s="25"/>
    </row>
    <row r="1093" spans="1:8" ht="14">
      <c r="A1093" s="28" t="s">
        <v>3546</v>
      </c>
      <c r="B1093" s="26" t="s">
        <v>3173</v>
      </c>
      <c r="C1093" s="28" t="s">
        <v>3546</v>
      </c>
      <c r="D1093" s="25" t="s">
        <v>13</v>
      </c>
      <c r="E1093" s="25" t="s">
        <v>3258</v>
      </c>
      <c r="F1093" s="25" t="s">
        <v>3547</v>
      </c>
      <c r="G1093" s="25">
        <v>500</v>
      </c>
      <c r="H1093" s="25"/>
    </row>
    <row r="1094" spans="1:8" ht="14">
      <c r="A1094" s="28" t="s">
        <v>3548</v>
      </c>
      <c r="B1094" s="26" t="s">
        <v>3173</v>
      </c>
      <c r="C1094" s="28" t="s">
        <v>3548</v>
      </c>
      <c r="D1094" s="25" t="s">
        <v>13</v>
      </c>
      <c r="E1094" s="25" t="s">
        <v>3259</v>
      </c>
      <c r="F1094" s="25" t="s">
        <v>3549</v>
      </c>
      <c r="G1094" s="25">
        <v>500</v>
      </c>
      <c r="H1094" s="25"/>
    </row>
    <row r="1095" spans="1:8" ht="14">
      <c r="A1095" s="28" t="s">
        <v>3550</v>
      </c>
      <c r="B1095" s="26" t="s">
        <v>3173</v>
      </c>
      <c r="C1095" s="28" t="s">
        <v>3550</v>
      </c>
      <c r="D1095" s="25" t="s">
        <v>13</v>
      </c>
      <c r="E1095" s="25" t="s">
        <v>3260</v>
      </c>
      <c r="F1095" s="25" t="s">
        <v>3551</v>
      </c>
      <c r="G1095" s="25">
        <v>500</v>
      </c>
      <c r="H1095" s="25"/>
    </row>
    <row r="1096" spans="1:8" ht="14">
      <c r="A1096" s="28" t="s">
        <v>3552</v>
      </c>
      <c r="B1096" s="26" t="s">
        <v>3173</v>
      </c>
      <c r="C1096" s="28" t="s">
        <v>3552</v>
      </c>
      <c r="D1096" s="25" t="s">
        <v>13</v>
      </c>
      <c r="E1096" s="25" t="s">
        <v>3261</v>
      </c>
      <c r="F1096" s="25" t="s">
        <v>3553</v>
      </c>
      <c r="G1096" s="25">
        <v>500</v>
      </c>
      <c r="H1096" s="25"/>
    </row>
    <row r="1097" spans="1:8" ht="14">
      <c r="A1097" s="28" t="s">
        <v>3554</v>
      </c>
      <c r="B1097" s="26" t="s">
        <v>3173</v>
      </c>
      <c r="C1097" s="28" t="s">
        <v>3554</v>
      </c>
      <c r="D1097" s="25" t="s">
        <v>13</v>
      </c>
      <c r="E1097" s="25" t="s">
        <v>3262</v>
      </c>
      <c r="F1097" s="25" t="s">
        <v>3555</v>
      </c>
      <c r="G1097" s="25">
        <v>500</v>
      </c>
      <c r="H1097" s="25"/>
    </row>
    <row r="1098" spans="1:8" ht="14">
      <c r="A1098" s="28" t="s">
        <v>3556</v>
      </c>
      <c r="B1098" s="26" t="s">
        <v>3173</v>
      </c>
      <c r="C1098" s="28" t="s">
        <v>3556</v>
      </c>
      <c r="D1098" s="25" t="s">
        <v>13</v>
      </c>
      <c r="E1098" s="25" t="s">
        <v>3263</v>
      </c>
      <c r="F1098" s="25" t="s">
        <v>3557</v>
      </c>
      <c r="G1098" s="25">
        <v>500</v>
      </c>
      <c r="H1098" s="25"/>
    </row>
    <row r="1099" spans="1:8" ht="14">
      <c r="A1099" s="28" t="s">
        <v>3558</v>
      </c>
      <c r="B1099" s="26" t="s">
        <v>3173</v>
      </c>
      <c r="C1099" s="28" t="s">
        <v>3558</v>
      </c>
      <c r="D1099" s="25" t="s">
        <v>13</v>
      </c>
      <c r="E1099" s="25" t="s">
        <v>3559</v>
      </c>
      <c r="F1099" s="25" t="s">
        <v>3560</v>
      </c>
      <c r="G1099" s="25">
        <v>500</v>
      </c>
      <c r="H1099" s="25"/>
    </row>
    <row r="1100" spans="1:8" ht="14">
      <c r="A1100" s="28" t="s">
        <v>3561</v>
      </c>
      <c r="B1100" s="26" t="s">
        <v>3173</v>
      </c>
      <c r="C1100" s="28" t="s">
        <v>3561</v>
      </c>
      <c r="D1100" s="25" t="s">
        <v>13</v>
      </c>
      <c r="E1100" s="25" t="s">
        <v>3264</v>
      </c>
      <c r="F1100" s="25" t="s">
        <v>3562</v>
      </c>
      <c r="G1100" s="25">
        <v>500</v>
      </c>
      <c r="H1100" s="25"/>
    </row>
    <row r="1101" spans="1:8" ht="14">
      <c r="A1101" s="28" t="s">
        <v>3563</v>
      </c>
      <c r="B1101" s="26" t="s">
        <v>3173</v>
      </c>
      <c r="C1101" s="28" t="s">
        <v>3563</v>
      </c>
      <c r="D1101" s="25" t="s">
        <v>13</v>
      </c>
      <c r="E1101" s="25" t="s">
        <v>3265</v>
      </c>
      <c r="F1101" s="25" t="s">
        <v>3564</v>
      </c>
      <c r="G1101" s="25">
        <v>500</v>
      </c>
      <c r="H1101" s="25"/>
    </row>
    <row r="1102" spans="1:8" ht="14">
      <c r="A1102" s="28" t="s">
        <v>3565</v>
      </c>
      <c r="B1102" s="26" t="s">
        <v>3173</v>
      </c>
      <c r="C1102" s="28" t="s">
        <v>3565</v>
      </c>
      <c r="D1102" s="25" t="s">
        <v>13</v>
      </c>
      <c r="E1102" s="25" t="s">
        <v>3266</v>
      </c>
      <c r="F1102" s="25" t="s">
        <v>3566</v>
      </c>
      <c r="G1102" s="25">
        <v>500</v>
      </c>
      <c r="H1102" s="25"/>
    </row>
    <row r="1103" spans="1:8" ht="14">
      <c r="A1103" s="28" t="s">
        <v>3567</v>
      </c>
      <c r="B1103" s="26" t="s">
        <v>3173</v>
      </c>
      <c r="C1103" s="28" t="s">
        <v>3567</v>
      </c>
      <c r="D1103" s="25" t="s">
        <v>13</v>
      </c>
      <c r="E1103" s="25" t="s">
        <v>3267</v>
      </c>
      <c r="F1103" s="25" t="s">
        <v>3568</v>
      </c>
      <c r="G1103" s="25">
        <v>500</v>
      </c>
      <c r="H1103" s="25"/>
    </row>
    <row r="1104" spans="1:8" ht="14">
      <c r="A1104" s="28" t="s">
        <v>3569</v>
      </c>
      <c r="B1104" s="26" t="s">
        <v>3173</v>
      </c>
      <c r="C1104" s="28" t="s">
        <v>3569</v>
      </c>
      <c r="D1104" s="25" t="s">
        <v>13</v>
      </c>
      <c r="E1104" s="25" t="s">
        <v>3268</v>
      </c>
      <c r="F1104" s="25" t="s">
        <v>3570</v>
      </c>
      <c r="G1104" s="25">
        <v>500</v>
      </c>
      <c r="H1104" s="25"/>
    </row>
    <row r="1105" spans="1:8" ht="14">
      <c r="A1105" s="28" t="s">
        <v>3571</v>
      </c>
      <c r="B1105" s="26" t="s">
        <v>3173</v>
      </c>
      <c r="C1105" s="28" t="s">
        <v>3571</v>
      </c>
      <c r="D1105" s="25" t="s">
        <v>13</v>
      </c>
      <c r="E1105" s="25" t="s">
        <v>3269</v>
      </c>
      <c r="F1105" s="25" t="s">
        <v>3572</v>
      </c>
      <c r="G1105" s="25">
        <v>500</v>
      </c>
      <c r="H1105" s="25"/>
    </row>
    <row r="1106" spans="1:8" ht="14">
      <c r="A1106" s="28" t="s">
        <v>3573</v>
      </c>
      <c r="B1106" s="26" t="s">
        <v>3173</v>
      </c>
      <c r="C1106" s="28" t="s">
        <v>3573</v>
      </c>
      <c r="D1106" s="25" t="s">
        <v>13</v>
      </c>
      <c r="E1106" s="25" t="s">
        <v>3270</v>
      </c>
      <c r="F1106" s="25" t="s">
        <v>3574</v>
      </c>
      <c r="G1106" s="25">
        <v>500</v>
      </c>
      <c r="H1106" s="25"/>
    </row>
    <row r="1107" spans="1:8" ht="14">
      <c r="A1107" s="28" t="s">
        <v>3575</v>
      </c>
      <c r="B1107" s="26" t="s">
        <v>3173</v>
      </c>
      <c r="C1107" s="28" t="s">
        <v>3575</v>
      </c>
      <c r="D1107" s="25" t="s">
        <v>13</v>
      </c>
      <c r="E1107" s="25" t="s">
        <v>3271</v>
      </c>
      <c r="F1107" s="25" t="s">
        <v>3576</v>
      </c>
      <c r="G1107" s="25">
        <v>500</v>
      </c>
      <c r="H1107" s="25"/>
    </row>
    <row r="1108" spans="1:8" ht="14">
      <c r="A1108" s="28" t="s">
        <v>3577</v>
      </c>
      <c r="B1108" s="26" t="s">
        <v>3173</v>
      </c>
      <c r="C1108" s="28" t="s">
        <v>3577</v>
      </c>
      <c r="D1108" s="25" t="s">
        <v>13</v>
      </c>
      <c r="E1108" s="25" t="s">
        <v>3272</v>
      </c>
      <c r="F1108" s="25" t="s">
        <v>3578</v>
      </c>
      <c r="G1108" s="25">
        <v>500</v>
      </c>
      <c r="H1108" s="25"/>
    </row>
    <row r="1109" spans="1:8" ht="14">
      <c r="A1109" s="28" t="s">
        <v>3579</v>
      </c>
      <c r="B1109" s="26" t="s">
        <v>3173</v>
      </c>
      <c r="C1109" s="28" t="s">
        <v>3579</v>
      </c>
      <c r="D1109" s="25" t="s">
        <v>13</v>
      </c>
      <c r="E1109" s="25" t="s">
        <v>3273</v>
      </c>
      <c r="F1109" s="25" t="s">
        <v>3580</v>
      </c>
      <c r="G1109" s="25">
        <v>500</v>
      </c>
      <c r="H1109" s="25"/>
    </row>
    <row r="1110" spans="1:8" ht="14">
      <c r="A1110" s="28" t="s">
        <v>3581</v>
      </c>
      <c r="B1110" s="26" t="s">
        <v>3173</v>
      </c>
      <c r="C1110" s="28" t="s">
        <v>3581</v>
      </c>
      <c r="D1110" s="25" t="s">
        <v>13</v>
      </c>
      <c r="E1110" s="25" t="s">
        <v>3274</v>
      </c>
      <c r="F1110" s="25" t="s">
        <v>3582</v>
      </c>
      <c r="G1110" s="25">
        <v>500</v>
      </c>
      <c r="H1110" s="25"/>
    </row>
    <row r="1111" spans="1:8" ht="14">
      <c r="A1111" s="28" t="s">
        <v>3583</v>
      </c>
      <c r="B1111" s="26" t="s">
        <v>3173</v>
      </c>
      <c r="C1111" s="28" t="s">
        <v>3583</v>
      </c>
      <c r="D1111" s="25" t="s">
        <v>13</v>
      </c>
      <c r="E1111" s="25" t="s">
        <v>3275</v>
      </c>
      <c r="F1111" s="25" t="s">
        <v>3584</v>
      </c>
      <c r="G1111" s="25">
        <v>500</v>
      </c>
      <c r="H1111" s="25"/>
    </row>
    <row r="1112" spans="1:8" ht="14">
      <c r="A1112" s="28" t="s">
        <v>3585</v>
      </c>
      <c r="B1112" s="26" t="s">
        <v>3173</v>
      </c>
      <c r="C1112" s="28" t="s">
        <v>3585</v>
      </c>
      <c r="D1112" s="25" t="s">
        <v>13</v>
      </c>
      <c r="E1112" s="25" t="s">
        <v>3276</v>
      </c>
      <c r="F1112" s="25" t="s">
        <v>3586</v>
      </c>
      <c r="G1112" s="25">
        <v>500</v>
      </c>
      <c r="H1112" s="25"/>
    </row>
    <row r="1113" spans="1:8" ht="14">
      <c r="A1113" s="28" t="s">
        <v>3587</v>
      </c>
      <c r="B1113" s="26" t="s">
        <v>3173</v>
      </c>
      <c r="C1113" s="28" t="s">
        <v>3587</v>
      </c>
      <c r="D1113" s="25" t="s">
        <v>13</v>
      </c>
      <c r="E1113" s="25" t="s">
        <v>3277</v>
      </c>
      <c r="F1113" s="25" t="s">
        <v>3588</v>
      </c>
      <c r="G1113" s="25">
        <v>500</v>
      </c>
      <c r="H1113" s="25"/>
    </row>
    <row r="1114" spans="1:8" ht="14">
      <c r="A1114" s="28" t="s">
        <v>3589</v>
      </c>
      <c r="B1114" s="26" t="s">
        <v>3173</v>
      </c>
      <c r="C1114" s="28" t="s">
        <v>3589</v>
      </c>
      <c r="D1114" s="25" t="s">
        <v>13</v>
      </c>
      <c r="E1114" s="25" t="s">
        <v>3278</v>
      </c>
      <c r="F1114" s="25" t="s">
        <v>3590</v>
      </c>
      <c r="G1114" s="25">
        <v>500</v>
      </c>
      <c r="H1114" s="25"/>
    </row>
    <row r="1115" spans="1:8" ht="14">
      <c r="A1115" s="28" t="s">
        <v>3591</v>
      </c>
      <c r="B1115" s="26" t="s">
        <v>3173</v>
      </c>
      <c r="C1115" s="28" t="s">
        <v>3591</v>
      </c>
      <c r="D1115" s="25" t="s">
        <v>13</v>
      </c>
      <c r="E1115" s="25" t="s">
        <v>3279</v>
      </c>
      <c r="F1115" s="25" t="s">
        <v>3592</v>
      </c>
      <c r="G1115" s="25">
        <v>500</v>
      </c>
      <c r="H1115" s="25"/>
    </row>
    <row r="1116" spans="1:8" ht="14">
      <c r="A1116" s="28" t="s">
        <v>3593</v>
      </c>
      <c r="B1116" s="26" t="s">
        <v>3173</v>
      </c>
      <c r="C1116" s="28" t="s">
        <v>3593</v>
      </c>
      <c r="D1116" s="25" t="s">
        <v>13</v>
      </c>
      <c r="E1116" s="25" t="s">
        <v>3280</v>
      </c>
      <c r="F1116" s="25" t="s">
        <v>3594</v>
      </c>
      <c r="G1116" s="25">
        <v>500</v>
      </c>
      <c r="H1116" s="25"/>
    </row>
    <row r="1117" spans="1:8" ht="14">
      <c r="A1117" s="28" t="s">
        <v>3595</v>
      </c>
      <c r="B1117" s="26" t="s">
        <v>3173</v>
      </c>
      <c r="C1117" s="28" t="s">
        <v>3595</v>
      </c>
      <c r="D1117" s="25" t="s">
        <v>13</v>
      </c>
      <c r="E1117" s="25" t="s">
        <v>3281</v>
      </c>
      <c r="F1117" s="25" t="s">
        <v>3596</v>
      </c>
      <c r="G1117" s="25">
        <v>500</v>
      </c>
      <c r="H1117" s="25"/>
    </row>
    <row r="1118" spans="1:8" ht="14">
      <c r="A1118" s="28" t="s">
        <v>3597</v>
      </c>
      <c r="B1118" s="26" t="s">
        <v>3173</v>
      </c>
      <c r="C1118" s="28" t="s">
        <v>3597</v>
      </c>
      <c r="D1118" s="25" t="s">
        <v>13</v>
      </c>
      <c r="E1118" s="25" t="s">
        <v>3282</v>
      </c>
      <c r="F1118" s="25" t="s">
        <v>3598</v>
      </c>
      <c r="G1118" s="25">
        <v>500</v>
      </c>
      <c r="H1118" s="25"/>
    </row>
    <row r="1119" spans="1:8" ht="14">
      <c r="A1119" s="28" t="s">
        <v>3599</v>
      </c>
      <c r="B1119" s="26" t="s">
        <v>3173</v>
      </c>
      <c r="C1119" s="28" t="s">
        <v>3599</v>
      </c>
      <c r="D1119" s="25" t="s">
        <v>13</v>
      </c>
      <c r="E1119" s="25" t="s">
        <v>3283</v>
      </c>
      <c r="F1119" s="25" t="s">
        <v>3600</v>
      </c>
      <c r="G1119" s="25">
        <v>500</v>
      </c>
      <c r="H1119" s="25"/>
    </row>
    <row r="1120" spans="1:8" ht="14">
      <c r="A1120" s="28" t="s">
        <v>3601</v>
      </c>
      <c r="B1120" s="26" t="s">
        <v>3173</v>
      </c>
      <c r="C1120" s="28" t="s">
        <v>3601</v>
      </c>
      <c r="D1120" s="25" t="s">
        <v>13</v>
      </c>
      <c r="E1120" s="25" t="s">
        <v>3602</v>
      </c>
      <c r="F1120" s="25" t="s">
        <v>3603</v>
      </c>
      <c r="G1120" s="25">
        <v>500</v>
      </c>
      <c r="H1120" s="25"/>
    </row>
    <row r="1121" spans="1:8" ht="14">
      <c r="A1121" s="28" t="s">
        <v>3604</v>
      </c>
      <c r="B1121" s="26" t="s">
        <v>3173</v>
      </c>
      <c r="C1121" s="28" t="s">
        <v>3604</v>
      </c>
      <c r="D1121" s="25" t="s">
        <v>13</v>
      </c>
      <c r="E1121" s="25" t="s">
        <v>3284</v>
      </c>
      <c r="F1121" s="25" t="s">
        <v>3605</v>
      </c>
      <c r="G1121" s="25">
        <v>500</v>
      </c>
      <c r="H1121" s="25"/>
    </row>
    <row r="1122" spans="1:8" ht="14">
      <c r="A1122" s="28" t="s">
        <v>3606</v>
      </c>
      <c r="B1122" s="26" t="s">
        <v>3173</v>
      </c>
      <c r="C1122" s="28" t="s">
        <v>3606</v>
      </c>
      <c r="D1122" s="25" t="s">
        <v>13</v>
      </c>
      <c r="E1122" s="25" t="s">
        <v>3285</v>
      </c>
      <c r="F1122" s="25" t="s">
        <v>3607</v>
      </c>
      <c r="G1122" s="25">
        <v>500</v>
      </c>
      <c r="H1122" s="25"/>
    </row>
    <row r="1123" spans="1:8" ht="14">
      <c r="A1123" s="28" t="s">
        <v>3608</v>
      </c>
      <c r="B1123" s="26" t="s">
        <v>3173</v>
      </c>
      <c r="C1123" s="28" t="s">
        <v>3608</v>
      </c>
      <c r="D1123" s="25" t="s">
        <v>13</v>
      </c>
      <c r="E1123" s="25" t="s">
        <v>3286</v>
      </c>
      <c r="F1123" s="25" t="s">
        <v>3609</v>
      </c>
      <c r="G1123" s="25">
        <v>500</v>
      </c>
      <c r="H1123" s="25"/>
    </row>
    <row r="1124" spans="1:8" ht="14">
      <c r="A1124" s="28" t="s">
        <v>3610</v>
      </c>
      <c r="B1124" s="26" t="s">
        <v>3173</v>
      </c>
      <c r="C1124" s="28" t="s">
        <v>3610</v>
      </c>
      <c r="D1124" s="25" t="s">
        <v>13</v>
      </c>
      <c r="E1124" s="25" t="s">
        <v>3611</v>
      </c>
      <c r="F1124" s="25" t="s">
        <v>3612</v>
      </c>
      <c r="G1124" s="25">
        <v>500</v>
      </c>
      <c r="H1124" s="25"/>
    </row>
    <row r="1125" spans="1:8" ht="14">
      <c r="A1125" s="28" t="s">
        <v>3613</v>
      </c>
      <c r="B1125" s="26" t="s">
        <v>3173</v>
      </c>
      <c r="C1125" s="28" t="s">
        <v>3613</v>
      </c>
      <c r="D1125" s="25" t="s">
        <v>13</v>
      </c>
      <c r="E1125" s="25" t="s">
        <v>3287</v>
      </c>
      <c r="F1125" s="25" t="s">
        <v>3614</v>
      </c>
      <c r="G1125" s="25">
        <v>500</v>
      </c>
      <c r="H1125" s="25"/>
    </row>
    <row r="1126" spans="1:8" ht="14">
      <c r="A1126" s="28" t="s">
        <v>3615</v>
      </c>
      <c r="B1126" s="26" t="s">
        <v>3173</v>
      </c>
      <c r="C1126" s="28" t="s">
        <v>3615</v>
      </c>
      <c r="D1126" s="25" t="s">
        <v>13</v>
      </c>
      <c r="E1126" s="25" t="s">
        <v>3288</v>
      </c>
      <c r="F1126" s="25" t="s">
        <v>3616</v>
      </c>
      <c r="G1126" s="25">
        <v>500</v>
      </c>
      <c r="H1126" s="25"/>
    </row>
    <row r="1127" spans="1:8" ht="14">
      <c r="A1127" s="28" t="s">
        <v>3617</v>
      </c>
      <c r="B1127" s="26" t="s">
        <v>3173</v>
      </c>
      <c r="C1127" s="28" t="s">
        <v>3617</v>
      </c>
      <c r="D1127" s="25" t="s">
        <v>13</v>
      </c>
      <c r="E1127" s="25" t="s">
        <v>3289</v>
      </c>
      <c r="F1127" s="25" t="s">
        <v>3618</v>
      </c>
      <c r="G1127" s="25">
        <v>500</v>
      </c>
      <c r="H1127" s="25"/>
    </row>
    <row r="1128" spans="1:8" ht="14">
      <c r="A1128" s="28" t="s">
        <v>3619</v>
      </c>
      <c r="B1128" s="26" t="s">
        <v>3173</v>
      </c>
      <c r="C1128" s="28" t="s">
        <v>3619</v>
      </c>
      <c r="D1128" s="25" t="s">
        <v>13</v>
      </c>
      <c r="E1128" s="25" t="s">
        <v>3290</v>
      </c>
      <c r="F1128" s="25" t="s">
        <v>3620</v>
      </c>
      <c r="G1128" s="25">
        <v>500</v>
      </c>
      <c r="H1128" s="25"/>
    </row>
    <row r="1129" spans="1:8" ht="14">
      <c r="A1129" s="28" t="s">
        <v>3621</v>
      </c>
      <c r="B1129" s="26" t="s">
        <v>3173</v>
      </c>
      <c r="C1129" s="28" t="s">
        <v>3621</v>
      </c>
      <c r="D1129" s="25" t="s">
        <v>13</v>
      </c>
      <c r="E1129" s="25" t="s">
        <v>3291</v>
      </c>
      <c r="F1129" s="25" t="s">
        <v>3622</v>
      </c>
      <c r="G1129" s="25">
        <v>500</v>
      </c>
      <c r="H1129" s="25"/>
    </row>
    <row r="1130" spans="1:8" ht="14">
      <c r="A1130" s="28" t="s">
        <v>3623</v>
      </c>
      <c r="B1130" s="26" t="s">
        <v>3173</v>
      </c>
      <c r="C1130" s="28" t="s">
        <v>3623</v>
      </c>
      <c r="D1130" s="25" t="s">
        <v>13</v>
      </c>
      <c r="E1130" s="25" t="s">
        <v>3292</v>
      </c>
      <c r="F1130" s="25" t="s">
        <v>3624</v>
      </c>
      <c r="G1130" s="25">
        <v>500</v>
      </c>
      <c r="H1130" s="25"/>
    </row>
    <row r="1131" spans="1:8" ht="14">
      <c r="A1131" s="28" t="s">
        <v>3625</v>
      </c>
      <c r="B1131" s="26" t="s">
        <v>3173</v>
      </c>
      <c r="C1131" s="28" t="s">
        <v>3625</v>
      </c>
      <c r="D1131" s="25" t="s">
        <v>13</v>
      </c>
      <c r="E1131" s="25" t="s">
        <v>3293</v>
      </c>
      <c r="F1131" s="25" t="s">
        <v>3626</v>
      </c>
      <c r="G1131" s="25">
        <v>500</v>
      </c>
      <c r="H1131" s="25"/>
    </row>
    <row r="1132" spans="1:8" ht="14">
      <c r="A1132" s="28" t="s">
        <v>3627</v>
      </c>
      <c r="B1132" s="26" t="s">
        <v>3173</v>
      </c>
      <c r="C1132" s="28" t="s">
        <v>3627</v>
      </c>
      <c r="D1132" s="25" t="s">
        <v>13</v>
      </c>
      <c r="E1132" s="25" t="s">
        <v>3294</v>
      </c>
      <c r="F1132" s="25" t="s">
        <v>3628</v>
      </c>
      <c r="G1132" s="25">
        <v>500</v>
      </c>
      <c r="H1132" s="25"/>
    </row>
    <row r="1133" spans="1:8" ht="14">
      <c r="A1133" s="28" t="s">
        <v>3629</v>
      </c>
      <c r="B1133" s="26" t="s">
        <v>3173</v>
      </c>
      <c r="C1133" s="28" t="s">
        <v>3629</v>
      </c>
      <c r="D1133" s="25" t="s">
        <v>13</v>
      </c>
      <c r="E1133" s="25" t="s">
        <v>3295</v>
      </c>
      <c r="F1133" s="25" t="s">
        <v>3630</v>
      </c>
      <c r="G1133" s="25">
        <v>500</v>
      </c>
      <c r="H1133" s="25"/>
    </row>
    <row r="1134" spans="1:8" ht="14">
      <c r="A1134" s="28" t="s">
        <v>3631</v>
      </c>
      <c r="B1134" s="26" t="s">
        <v>3173</v>
      </c>
      <c r="C1134" s="28" t="s">
        <v>3631</v>
      </c>
      <c r="D1134" s="25" t="s">
        <v>13</v>
      </c>
      <c r="E1134" s="25" t="s">
        <v>3296</v>
      </c>
      <c r="F1134" s="25" t="s">
        <v>3632</v>
      </c>
      <c r="G1134" s="25">
        <v>500</v>
      </c>
      <c r="H1134" s="25"/>
    </row>
    <row r="1135" spans="1:8" ht="14">
      <c r="A1135" s="28" t="s">
        <v>3633</v>
      </c>
      <c r="B1135" s="26" t="s">
        <v>3173</v>
      </c>
      <c r="C1135" s="28" t="s">
        <v>3633</v>
      </c>
      <c r="D1135" s="25" t="s">
        <v>13</v>
      </c>
      <c r="E1135" s="25" t="s">
        <v>3297</v>
      </c>
      <c r="F1135" s="25" t="s">
        <v>3634</v>
      </c>
      <c r="G1135" s="25">
        <v>500</v>
      </c>
      <c r="H1135" s="25"/>
    </row>
    <row r="1136" spans="1:8" ht="14">
      <c r="A1136" s="28" t="s">
        <v>3635</v>
      </c>
      <c r="B1136" s="26" t="s">
        <v>3173</v>
      </c>
      <c r="C1136" s="28" t="s">
        <v>3635</v>
      </c>
      <c r="D1136" s="25" t="s">
        <v>13</v>
      </c>
      <c r="E1136" s="25" t="s">
        <v>3298</v>
      </c>
      <c r="F1136" s="25" t="s">
        <v>3636</v>
      </c>
      <c r="G1136" s="25">
        <v>500</v>
      </c>
      <c r="H1136" s="25"/>
    </row>
    <row r="1137" spans="1:8" ht="14">
      <c r="A1137" s="28" t="s">
        <v>3637</v>
      </c>
      <c r="B1137" s="26" t="s">
        <v>3173</v>
      </c>
      <c r="C1137" s="28" t="s">
        <v>3637</v>
      </c>
      <c r="D1137" s="25" t="s">
        <v>13</v>
      </c>
      <c r="E1137" s="25" t="s">
        <v>3299</v>
      </c>
      <c r="F1137" s="25" t="s">
        <v>3638</v>
      </c>
      <c r="G1137" s="25">
        <v>500</v>
      </c>
      <c r="H1137" s="25"/>
    </row>
    <row r="1138" spans="1:8" ht="14">
      <c r="A1138" s="28" t="s">
        <v>3639</v>
      </c>
      <c r="B1138" s="26" t="s">
        <v>3173</v>
      </c>
      <c r="C1138" s="28" t="s">
        <v>3639</v>
      </c>
      <c r="D1138" s="25" t="s">
        <v>13</v>
      </c>
      <c r="E1138" s="25" t="s">
        <v>3300</v>
      </c>
      <c r="F1138" s="25" t="s">
        <v>3640</v>
      </c>
      <c r="G1138" s="25">
        <v>500</v>
      </c>
      <c r="H1138" s="25"/>
    </row>
    <row r="1139" spans="1:8" ht="14">
      <c r="A1139" s="28" t="s">
        <v>3641</v>
      </c>
      <c r="B1139" s="26" t="s">
        <v>3173</v>
      </c>
      <c r="C1139" s="28" t="s">
        <v>3641</v>
      </c>
      <c r="D1139" s="25" t="s">
        <v>13</v>
      </c>
      <c r="E1139" s="25" t="s">
        <v>3301</v>
      </c>
      <c r="F1139" s="25" t="s">
        <v>3642</v>
      </c>
      <c r="G1139" s="25">
        <v>500</v>
      </c>
      <c r="H1139" s="25"/>
    </row>
    <row r="1140" spans="1:8" ht="14">
      <c r="A1140" s="28" t="s">
        <v>3643</v>
      </c>
      <c r="B1140" s="26" t="s">
        <v>3173</v>
      </c>
      <c r="C1140" s="28" t="s">
        <v>3643</v>
      </c>
      <c r="D1140" s="25" t="s">
        <v>13</v>
      </c>
      <c r="E1140" s="25" t="s">
        <v>3302</v>
      </c>
      <c r="F1140" s="25" t="s">
        <v>3644</v>
      </c>
      <c r="G1140" s="25">
        <v>500</v>
      </c>
      <c r="H1140" s="25"/>
    </row>
    <row r="1141" spans="1:8" ht="14">
      <c r="A1141" s="28" t="s">
        <v>3645</v>
      </c>
      <c r="B1141" s="26" t="s">
        <v>3173</v>
      </c>
      <c r="C1141" s="28" t="s">
        <v>3645</v>
      </c>
      <c r="D1141" s="25" t="s">
        <v>13</v>
      </c>
      <c r="E1141" s="25" t="s">
        <v>3303</v>
      </c>
      <c r="F1141" s="25" t="s">
        <v>3646</v>
      </c>
      <c r="G1141" s="25">
        <v>500</v>
      </c>
      <c r="H1141" s="25"/>
    </row>
    <row r="1142" spans="1:8" ht="14">
      <c r="A1142" s="28" t="s">
        <v>3647</v>
      </c>
      <c r="B1142" s="26" t="s">
        <v>3173</v>
      </c>
      <c r="C1142" s="28" t="s">
        <v>3647</v>
      </c>
      <c r="D1142" s="25" t="s">
        <v>13</v>
      </c>
      <c r="E1142" s="25" t="s">
        <v>3304</v>
      </c>
      <c r="F1142" s="25" t="s">
        <v>3648</v>
      </c>
      <c r="G1142" s="25">
        <v>500</v>
      </c>
      <c r="H1142" s="25"/>
    </row>
    <row r="1143" spans="1:8" ht="14">
      <c r="A1143" s="28" t="s">
        <v>3649</v>
      </c>
      <c r="B1143" s="26" t="s">
        <v>3173</v>
      </c>
      <c r="C1143" s="28" t="s">
        <v>3649</v>
      </c>
      <c r="D1143" s="25" t="s">
        <v>13</v>
      </c>
      <c r="E1143" s="25" t="s">
        <v>3305</v>
      </c>
      <c r="F1143" s="25" t="s">
        <v>3650</v>
      </c>
      <c r="G1143" s="25">
        <v>500</v>
      </c>
      <c r="H1143" s="25"/>
    </row>
    <row r="1144" spans="1:8" ht="14">
      <c r="A1144" s="28" t="s">
        <v>3651</v>
      </c>
      <c r="B1144" s="26" t="s">
        <v>3173</v>
      </c>
      <c r="C1144" s="28" t="s">
        <v>3651</v>
      </c>
      <c r="D1144" s="25" t="s">
        <v>13</v>
      </c>
      <c r="E1144" s="25" t="s">
        <v>3306</v>
      </c>
      <c r="F1144" s="25" t="s">
        <v>3652</v>
      </c>
      <c r="G1144" s="25">
        <v>500</v>
      </c>
      <c r="H1144" s="25"/>
    </row>
    <row r="1145" spans="1:8" ht="14">
      <c r="A1145" s="28" t="s">
        <v>3653</v>
      </c>
      <c r="B1145" s="26" t="s">
        <v>3173</v>
      </c>
      <c r="C1145" s="28" t="s">
        <v>3653</v>
      </c>
      <c r="D1145" s="25" t="s">
        <v>13</v>
      </c>
      <c r="E1145" s="25" t="s">
        <v>3307</v>
      </c>
      <c r="F1145" s="25" t="s">
        <v>3654</v>
      </c>
      <c r="G1145" s="25">
        <v>500</v>
      </c>
      <c r="H1145" s="25"/>
    </row>
    <row r="1146" spans="1:8" ht="14">
      <c r="A1146" s="28" t="s">
        <v>3655</v>
      </c>
      <c r="B1146" s="26" t="s">
        <v>3173</v>
      </c>
      <c r="C1146" s="28" t="s">
        <v>3655</v>
      </c>
      <c r="D1146" s="25" t="s">
        <v>13</v>
      </c>
      <c r="E1146" s="25" t="s">
        <v>3308</v>
      </c>
      <c r="F1146" s="25" t="s">
        <v>3656</v>
      </c>
      <c r="G1146" s="25">
        <v>500</v>
      </c>
      <c r="H1146" s="25"/>
    </row>
    <row r="1147" spans="1:8" ht="14">
      <c r="A1147" s="28" t="s">
        <v>3657</v>
      </c>
      <c r="B1147" s="26" t="s">
        <v>3173</v>
      </c>
      <c r="C1147" s="28" t="s">
        <v>3657</v>
      </c>
      <c r="D1147" s="25" t="s">
        <v>13</v>
      </c>
      <c r="E1147" s="25" t="s">
        <v>3309</v>
      </c>
      <c r="F1147" s="25" t="s">
        <v>3658</v>
      </c>
      <c r="G1147" s="25">
        <v>500</v>
      </c>
      <c r="H1147" s="25"/>
    </row>
    <row r="1148" spans="1:8" ht="14">
      <c r="A1148" s="28" t="s">
        <v>3659</v>
      </c>
      <c r="B1148" s="26" t="s">
        <v>3173</v>
      </c>
      <c r="C1148" s="28" t="s">
        <v>3659</v>
      </c>
      <c r="D1148" s="25" t="s">
        <v>13</v>
      </c>
      <c r="E1148" s="25" t="s">
        <v>3310</v>
      </c>
      <c r="F1148" s="25" t="s">
        <v>3660</v>
      </c>
      <c r="G1148" s="25">
        <v>500</v>
      </c>
      <c r="H1148" s="25"/>
    </row>
    <row r="1149" spans="1:8" ht="14">
      <c r="A1149" s="28" t="s">
        <v>3661</v>
      </c>
      <c r="B1149" s="26" t="s">
        <v>3173</v>
      </c>
      <c r="C1149" s="28" t="s">
        <v>3661</v>
      </c>
      <c r="D1149" s="25" t="s">
        <v>13</v>
      </c>
      <c r="E1149" s="25" t="s">
        <v>3311</v>
      </c>
      <c r="F1149" s="25" t="s">
        <v>3662</v>
      </c>
      <c r="G1149" s="25">
        <v>500</v>
      </c>
      <c r="H1149" s="25"/>
    </row>
    <row r="1150" spans="1:8" ht="14">
      <c r="A1150" s="28" t="s">
        <v>3663</v>
      </c>
      <c r="B1150" s="26" t="s">
        <v>3173</v>
      </c>
      <c r="C1150" s="28" t="s">
        <v>3663</v>
      </c>
      <c r="D1150" s="25" t="s">
        <v>13</v>
      </c>
      <c r="E1150" s="25" t="s">
        <v>3312</v>
      </c>
      <c r="F1150" s="25" t="s">
        <v>3664</v>
      </c>
      <c r="G1150" s="25">
        <v>500</v>
      </c>
      <c r="H1150" s="25"/>
    </row>
    <row r="1151" spans="1:8" ht="14">
      <c r="A1151" s="28" t="s">
        <v>3665</v>
      </c>
      <c r="B1151" s="26" t="s">
        <v>3173</v>
      </c>
      <c r="C1151" s="28" t="s">
        <v>3665</v>
      </c>
      <c r="D1151" s="25" t="s">
        <v>13</v>
      </c>
      <c r="E1151" s="25" t="s">
        <v>3313</v>
      </c>
      <c r="F1151" s="25" t="s">
        <v>3666</v>
      </c>
      <c r="G1151" s="25">
        <v>500</v>
      </c>
      <c r="H1151" s="25"/>
    </row>
    <row r="1152" spans="1:8" ht="14">
      <c r="A1152" s="28" t="s">
        <v>3667</v>
      </c>
      <c r="B1152" s="26" t="s">
        <v>3173</v>
      </c>
      <c r="C1152" s="28" t="s">
        <v>3667</v>
      </c>
      <c r="D1152" s="25" t="s">
        <v>13</v>
      </c>
      <c r="E1152" s="25" t="s">
        <v>3314</v>
      </c>
      <c r="F1152" s="25" t="s">
        <v>3668</v>
      </c>
      <c r="G1152" s="25">
        <v>500</v>
      </c>
      <c r="H1152" s="25"/>
    </row>
    <row r="1153" spans="1:8" ht="14">
      <c r="A1153" s="28" t="s">
        <v>3669</v>
      </c>
      <c r="B1153" s="26" t="s">
        <v>3173</v>
      </c>
      <c r="C1153" s="28" t="s">
        <v>3669</v>
      </c>
      <c r="D1153" s="25" t="s">
        <v>13</v>
      </c>
      <c r="E1153" s="25" t="s">
        <v>3315</v>
      </c>
      <c r="F1153" s="25" t="s">
        <v>3670</v>
      </c>
      <c r="G1153" s="25">
        <v>500</v>
      </c>
      <c r="H1153" s="25"/>
    </row>
    <row r="1154" spans="1:8" ht="14">
      <c r="A1154" s="28" t="s">
        <v>3671</v>
      </c>
      <c r="B1154" s="26" t="s">
        <v>3173</v>
      </c>
      <c r="C1154" s="28" t="s">
        <v>3671</v>
      </c>
      <c r="D1154" s="25" t="s">
        <v>13</v>
      </c>
      <c r="E1154" s="25" t="s">
        <v>3316</v>
      </c>
      <c r="F1154" s="25" t="s">
        <v>3672</v>
      </c>
      <c r="G1154" s="25">
        <v>500</v>
      </c>
      <c r="H1154" s="25"/>
    </row>
    <row r="1155" spans="1:8" ht="14">
      <c r="A1155" s="28" t="s">
        <v>3673</v>
      </c>
      <c r="B1155" s="26" t="s">
        <v>3173</v>
      </c>
      <c r="C1155" s="28" t="s">
        <v>3673</v>
      </c>
      <c r="D1155" s="25" t="s">
        <v>13</v>
      </c>
      <c r="E1155" s="25" t="s">
        <v>3317</v>
      </c>
      <c r="F1155" s="25" t="s">
        <v>3674</v>
      </c>
      <c r="G1155" s="25">
        <v>500</v>
      </c>
      <c r="H1155" s="25"/>
    </row>
    <row r="1156" spans="1:8" ht="14">
      <c r="A1156" s="28" t="s">
        <v>3675</v>
      </c>
      <c r="B1156" s="26" t="s">
        <v>3173</v>
      </c>
      <c r="C1156" s="28" t="s">
        <v>3675</v>
      </c>
      <c r="D1156" s="25" t="s">
        <v>13</v>
      </c>
      <c r="E1156" s="25" t="s">
        <v>3318</v>
      </c>
      <c r="F1156" s="25" t="s">
        <v>3676</v>
      </c>
      <c r="G1156" s="25">
        <v>500</v>
      </c>
      <c r="H1156" s="25"/>
    </row>
    <row r="1157" spans="1:8" ht="14">
      <c r="A1157" s="28" t="s">
        <v>3677</v>
      </c>
      <c r="B1157" s="26" t="s">
        <v>3173</v>
      </c>
      <c r="C1157" s="28" t="s">
        <v>3677</v>
      </c>
      <c r="D1157" s="25" t="s">
        <v>13</v>
      </c>
      <c r="E1157" s="25" t="s">
        <v>3319</v>
      </c>
      <c r="F1157" s="25" t="s">
        <v>3678</v>
      </c>
      <c r="G1157" s="25">
        <v>500</v>
      </c>
      <c r="H1157" s="25"/>
    </row>
    <row r="1158" spans="1:8" ht="14">
      <c r="A1158" s="28" t="s">
        <v>3679</v>
      </c>
      <c r="B1158" s="26" t="s">
        <v>3173</v>
      </c>
      <c r="C1158" s="28" t="s">
        <v>3679</v>
      </c>
      <c r="D1158" s="25" t="s">
        <v>13</v>
      </c>
      <c r="E1158" s="25" t="s">
        <v>3680</v>
      </c>
      <c r="F1158" s="25" t="s">
        <v>3681</v>
      </c>
      <c r="G1158" s="25">
        <v>500</v>
      </c>
      <c r="H1158" s="25"/>
    </row>
    <row r="1159" spans="1:8" ht="14">
      <c r="A1159" s="28" t="s">
        <v>3682</v>
      </c>
      <c r="B1159" s="26" t="s">
        <v>3173</v>
      </c>
      <c r="C1159" s="28" t="s">
        <v>3682</v>
      </c>
      <c r="D1159" s="25" t="s">
        <v>13</v>
      </c>
      <c r="E1159" s="25" t="s">
        <v>3320</v>
      </c>
      <c r="F1159" s="25" t="s">
        <v>3683</v>
      </c>
      <c r="G1159" s="25">
        <v>500</v>
      </c>
      <c r="H1159" s="25"/>
    </row>
    <row r="1160" spans="1:8" ht="14">
      <c r="A1160" s="28" t="s">
        <v>3684</v>
      </c>
      <c r="B1160" s="26" t="s">
        <v>3173</v>
      </c>
      <c r="C1160" s="28" t="s">
        <v>3684</v>
      </c>
      <c r="D1160" s="25" t="s">
        <v>13</v>
      </c>
      <c r="E1160" s="25" t="s">
        <v>3685</v>
      </c>
      <c r="F1160" s="25" t="s">
        <v>3686</v>
      </c>
      <c r="G1160" s="25">
        <v>500</v>
      </c>
      <c r="H1160" s="25"/>
    </row>
    <row r="1161" spans="1:8" ht="14">
      <c r="A1161" s="28" t="s">
        <v>3687</v>
      </c>
      <c r="B1161" s="26" t="s">
        <v>3173</v>
      </c>
      <c r="C1161" s="28" t="s">
        <v>3687</v>
      </c>
      <c r="D1161" s="25" t="s">
        <v>13</v>
      </c>
      <c r="E1161" s="25" t="s">
        <v>3321</v>
      </c>
      <c r="F1161" s="25" t="s">
        <v>3688</v>
      </c>
      <c r="G1161" s="25">
        <v>500</v>
      </c>
      <c r="H1161" s="25"/>
    </row>
    <row r="1162" spans="1:8" ht="14">
      <c r="A1162" s="28" t="s">
        <v>3689</v>
      </c>
      <c r="B1162" s="26" t="s">
        <v>3173</v>
      </c>
      <c r="C1162" s="28" t="s">
        <v>3689</v>
      </c>
      <c r="D1162" s="25" t="s">
        <v>13</v>
      </c>
      <c r="E1162" s="25" t="s">
        <v>3690</v>
      </c>
      <c r="F1162" s="25" t="s">
        <v>3691</v>
      </c>
      <c r="G1162" s="25">
        <v>500</v>
      </c>
      <c r="H1162" s="25"/>
    </row>
    <row r="1163" spans="1:8" ht="14">
      <c r="A1163" s="28" t="s">
        <v>3692</v>
      </c>
      <c r="B1163" s="26" t="s">
        <v>3173</v>
      </c>
      <c r="C1163" s="28" t="s">
        <v>3692</v>
      </c>
      <c r="D1163" s="25" t="s">
        <v>13</v>
      </c>
      <c r="E1163" s="25" t="s">
        <v>3693</v>
      </c>
      <c r="F1163" s="25" t="s">
        <v>3694</v>
      </c>
      <c r="G1163" s="25">
        <v>500</v>
      </c>
      <c r="H1163" s="25"/>
    </row>
    <row r="1164" spans="1:8" ht="14">
      <c r="A1164" s="28" t="s">
        <v>3695</v>
      </c>
      <c r="B1164" s="26" t="s">
        <v>3173</v>
      </c>
      <c r="C1164" s="28" t="s">
        <v>3695</v>
      </c>
      <c r="D1164" s="25" t="s">
        <v>13</v>
      </c>
      <c r="E1164" s="25" t="s">
        <v>3322</v>
      </c>
      <c r="F1164" s="25" t="s">
        <v>3696</v>
      </c>
      <c r="G1164" s="25">
        <v>500</v>
      </c>
      <c r="H1164" s="25"/>
    </row>
    <row r="1165" spans="1:8" ht="14">
      <c r="A1165" s="28" t="s">
        <v>3697</v>
      </c>
      <c r="B1165" s="26" t="s">
        <v>3173</v>
      </c>
      <c r="C1165" s="28" t="s">
        <v>3697</v>
      </c>
      <c r="D1165" s="25" t="s">
        <v>13</v>
      </c>
      <c r="E1165" s="25" t="s">
        <v>3323</v>
      </c>
      <c r="F1165" s="25" t="s">
        <v>3698</v>
      </c>
      <c r="G1165" s="25">
        <v>500</v>
      </c>
      <c r="H1165" s="25"/>
    </row>
    <row r="1166" spans="1:8" ht="14">
      <c r="A1166" s="28" t="s">
        <v>3699</v>
      </c>
      <c r="B1166" s="26" t="s">
        <v>3173</v>
      </c>
      <c r="C1166" s="28" t="s">
        <v>3699</v>
      </c>
      <c r="D1166" s="25" t="s">
        <v>13</v>
      </c>
      <c r="E1166" s="25" t="s">
        <v>3324</v>
      </c>
      <c r="F1166" s="25" t="s">
        <v>3700</v>
      </c>
      <c r="G1166" s="25">
        <v>500</v>
      </c>
      <c r="H1166" s="25"/>
    </row>
    <row r="1167" spans="1:8" ht="14">
      <c r="A1167" s="28" t="s">
        <v>3701</v>
      </c>
      <c r="B1167" s="26" t="s">
        <v>3173</v>
      </c>
      <c r="C1167" s="28" t="s">
        <v>3701</v>
      </c>
      <c r="D1167" s="25" t="s">
        <v>13</v>
      </c>
      <c r="E1167" s="25" t="s">
        <v>3325</v>
      </c>
      <c r="F1167" s="25" t="s">
        <v>3702</v>
      </c>
      <c r="G1167" s="25">
        <v>500</v>
      </c>
      <c r="H1167" s="25"/>
    </row>
    <row r="1168" spans="1:8" ht="14">
      <c r="A1168" s="28" t="s">
        <v>3703</v>
      </c>
      <c r="B1168" s="26" t="s">
        <v>3173</v>
      </c>
      <c r="C1168" s="28" t="s">
        <v>3703</v>
      </c>
      <c r="D1168" s="25" t="s">
        <v>13</v>
      </c>
      <c r="E1168" s="25" t="s">
        <v>3326</v>
      </c>
      <c r="F1168" s="25" t="s">
        <v>3704</v>
      </c>
      <c r="G1168" s="25">
        <v>500</v>
      </c>
      <c r="H1168" s="25"/>
    </row>
    <row r="1169" spans="1:8" ht="14">
      <c r="A1169" s="28" t="s">
        <v>3705</v>
      </c>
      <c r="B1169" s="26" t="s">
        <v>3173</v>
      </c>
      <c r="C1169" s="28" t="s">
        <v>3705</v>
      </c>
      <c r="D1169" s="25" t="s">
        <v>13</v>
      </c>
      <c r="E1169" s="25" t="s">
        <v>3327</v>
      </c>
      <c r="F1169" s="25" t="s">
        <v>3706</v>
      </c>
      <c r="G1169" s="25">
        <v>500</v>
      </c>
      <c r="H1169" s="25"/>
    </row>
    <row r="1170" spans="1:8" ht="14">
      <c r="A1170" s="28" t="s">
        <v>3707</v>
      </c>
      <c r="B1170" s="26" t="s">
        <v>3173</v>
      </c>
      <c r="C1170" s="28" t="s">
        <v>3707</v>
      </c>
      <c r="D1170" s="25" t="s">
        <v>13</v>
      </c>
      <c r="E1170" s="25" t="s">
        <v>3328</v>
      </c>
      <c r="F1170" s="25" t="s">
        <v>3708</v>
      </c>
      <c r="G1170" s="25">
        <v>500</v>
      </c>
      <c r="H1170" s="25"/>
    </row>
    <row r="1171" spans="1:8" ht="14">
      <c r="A1171" s="28" t="s">
        <v>3709</v>
      </c>
      <c r="B1171" s="26" t="s">
        <v>3173</v>
      </c>
      <c r="C1171" s="28" t="s">
        <v>3709</v>
      </c>
      <c r="D1171" s="25" t="s">
        <v>13</v>
      </c>
      <c r="E1171" s="25" t="s">
        <v>3329</v>
      </c>
      <c r="F1171" s="25" t="s">
        <v>3710</v>
      </c>
      <c r="G1171" s="25">
        <v>500</v>
      </c>
      <c r="H1171" s="25"/>
    </row>
    <row r="1172" spans="1:8" ht="14">
      <c r="A1172" s="28" t="s">
        <v>3711</v>
      </c>
      <c r="B1172" s="26" t="s">
        <v>3173</v>
      </c>
      <c r="C1172" s="28" t="s">
        <v>3711</v>
      </c>
      <c r="D1172" s="25" t="s">
        <v>13</v>
      </c>
      <c r="E1172" s="25" t="s">
        <v>3330</v>
      </c>
      <c r="F1172" s="25" t="s">
        <v>3712</v>
      </c>
      <c r="G1172" s="25">
        <v>500</v>
      </c>
      <c r="H1172" s="25"/>
    </row>
    <row r="1173" spans="1:8" ht="14">
      <c r="A1173" s="28" t="s">
        <v>3713</v>
      </c>
      <c r="B1173" s="26" t="s">
        <v>3173</v>
      </c>
      <c r="C1173" s="28" t="s">
        <v>3713</v>
      </c>
      <c r="D1173" s="25" t="s">
        <v>13</v>
      </c>
      <c r="E1173" s="25" t="s">
        <v>3331</v>
      </c>
      <c r="F1173" s="25" t="s">
        <v>3714</v>
      </c>
      <c r="G1173" s="25">
        <v>500</v>
      </c>
      <c r="H1173" s="25"/>
    </row>
    <row r="1174" spans="1:8" ht="14">
      <c r="A1174" s="28" t="s">
        <v>3715</v>
      </c>
      <c r="B1174" s="26" t="s">
        <v>3173</v>
      </c>
      <c r="C1174" s="28" t="s">
        <v>3715</v>
      </c>
      <c r="D1174" s="25" t="s">
        <v>13</v>
      </c>
      <c r="E1174" s="25" t="s">
        <v>3332</v>
      </c>
      <c r="F1174" s="25" t="s">
        <v>3716</v>
      </c>
      <c r="G1174" s="25">
        <v>500</v>
      </c>
      <c r="H1174" s="25"/>
    </row>
    <row r="1175" spans="1:8" ht="14">
      <c r="A1175" s="28" t="s">
        <v>3717</v>
      </c>
      <c r="B1175" s="26" t="s">
        <v>3173</v>
      </c>
      <c r="C1175" s="28" t="s">
        <v>3717</v>
      </c>
      <c r="D1175" s="25" t="s">
        <v>13</v>
      </c>
      <c r="E1175" s="25" t="s">
        <v>3333</v>
      </c>
      <c r="F1175" s="25" t="s">
        <v>3718</v>
      </c>
      <c r="G1175" s="25">
        <v>500</v>
      </c>
      <c r="H1175" s="25"/>
    </row>
    <row r="1176" spans="1:8" ht="14">
      <c r="A1176" s="28" t="s">
        <v>3719</v>
      </c>
      <c r="B1176" s="26" t="s">
        <v>3173</v>
      </c>
      <c r="C1176" s="28" t="s">
        <v>3719</v>
      </c>
      <c r="D1176" s="25" t="s">
        <v>13</v>
      </c>
      <c r="E1176" s="25" t="s">
        <v>3334</v>
      </c>
      <c r="F1176" s="25" t="s">
        <v>3720</v>
      </c>
      <c r="G1176" s="25">
        <v>500</v>
      </c>
      <c r="H1176" s="25"/>
    </row>
    <row r="1177" spans="1:8" ht="14">
      <c r="A1177" s="28" t="s">
        <v>3721</v>
      </c>
      <c r="B1177" s="26" t="s">
        <v>3173</v>
      </c>
      <c r="C1177" s="28" t="s">
        <v>3721</v>
      </c>
      <c r="D1177" s="25" t="s">
        <v>13</v>
      </c>
      <c r="E1177" s="25" t="s">
        <v>3335</v>
      </c>
      <c r="F1177" s="25" t="s">
        <v>3722</v>
      </c>
      <c r="G1177" s="25">
        <v>500</v>
      </c>
      <c r="H1177" s="25"/>
    </row>
    <row r="1178" spans="1:8" ht="14">
      <c r="A1178" s="28" t="s">
        <v>3723</v>
      </c>
      <c r="B1178" s="26" t="s">
        <v>3173</v>
      </c>
      <c r="C1178" s="28" t="s">
        <v>3723</v>
      </c>
      <c r="D1178" s="25" t="s">
        <v>13</v>
      </c>
      <c r="E1178" s="25" t="s">
        <v>3336</v>
      </c>
      <c r="F1178" s="25" t="s">
        <v>3724</v>
      </c>
      <c r="G1178" s="25">
        <v>500</v>
      </c>
      <c r="H1178" s="25"/>
    </row>
    <row r="1179" spans="1:8" ht="14">
      <c r="A1179" s="28" t="s">
        <v>3725</v>
      </c>
      <c r="B1179" s="26" t="s">
        <v>3173</v>
      </c>
      <c r="C1179" s="28" t="s">
        <v>3725</v>
      </c>
      <c r="D1179" s="25" t="s">
        <v>13</v>
      </c>
      <c r="E1179" s="25" t="s">
        <v>3337</v>
      </c>
      <c r="F1179" s="25" t="s">
        <v>3726</v>
      </c>
      <c r="G1179" s="25">
        <v>500</v>
      </c>
      <c r="H1179" s="25"/>
    </row>
    <row r="1180" spans="1:8" ht="14">
      <c r="A1180" s="28" t="s">
        <v>3727</v>
      </c>
      <c r="B1180" s="26" t="s">
        <v>3173</v>
      </c>
      <c r="C1180" s="28" t="s">
        <v>3727</v>
      </c>
      <c r="D1180" s="25" t="s">
        <v>13</v>
      </c>
      <c r="E1180" s="25" t="s">
        <v>3338</v>
      </c>
      <c r="F1180" s="25" t="s">
        <v>3728</v>
      </c>
      <c r="G1180" s="25">
        <v>500</v>
      </c>
      <c r="H1180" s="25"/>
    </row>
    <row r="1181" spans="1:8" ht="14">
      <c r="A1181" s="28" t="s">
        <v>3729</v>
      </c>
      <c r="B1181" s="26" t="s">
        <v>3173</v>
      </c>
      <c r="C1181" s="28" t="s">
        <v>3729</v>
      </c>
      <c r="D1181" s="25" t="s">
        <v>13</v>
      </c>
      <c r="E1181" s="25" t="s">
        <v>3339</v>
      </c>
      <c r="F1181" s="25" t="s">
        <v>3730</v>
      </c>
      <c r="G1181" s="25">
        <v>500</v>
      </c>
      <c r="H1181" s="25"/>
    </row>
    <row r="1182" spans="1:8" ht="14">
      <c r="A1182" s="28" t="s">
        <v>3731</v>
      </c>
      <c r="B1182" s="26" t="s">
        <v>3173</v>
      </c>
      <c r="C1182" s="28" t="s">
        <v>3731</v>
      </c>
      <c r="D1182" s="25" t="s">
        <v>13</v>
      </c>
      <c r="E1182" s="25" t="s">
        <v>3340</v>
      </c>
      <c r="F1182" s="25" t="s">
        <v>3732</v>
      </c>
      <c r="G1182" s="25">
        <v>500</v>
      </c>
      <c r="H1182" s="25"/>
    </row>
    <row r="1183" spans="1:8" ht="14">
      <c r="A1183" s="28" t="s">
        <v>3733</v>
      </c>
      <c r="B1183" s="26" t="s">
        <v>3173</v>
      </c>
      <c r="C1183" s="28" t="s">
        <v>3733</v>
      </c>
      <c r="D1183" s="25" t="s">
        <v>13</v>
      </c>
      <c r="E1183" s="25" t="s">
        <v>3341</v>
      </c>
      <c r="F1183" s="25" t="s">
        <v>3734</v>
      </c>
      <c r="G1183" s="25">
        <v>500</v>
      </c>
      <c r="H1183" s="25"/>
    </row>
    <row r="1184" spans="1:8" ht="14">
      <c r="A1184" s="28" t="s">
        <v>3735</v>
      </c>
      <c r="B1184" s="26" t="s">
        <v>3173</v>
      </c>
      <c r="C1184" s="28" t="s">
        <v>3735</v>
      </c>
      <c r="D1184" s="25" t="s">
        <v>13</v>
      </c>
      <c r="E1184" s="25" t="s">
        <v>3342</v>
      </c>
      <c r="F1184" s="25" t="s">
        <v>3736</v>
      </c>
      <c r="G1184" s="25">
        <v>500</v>
      </c>
      <c r="H1184" s="25"/>
    </row>
    <row r="1185" spans="1:8" ht="14">
      <c r="A1185" s="28" t="s">
        <v>3737</v>
      </c>
      <c r="B1185" s="26" t="s">
        <v>3173</v>
      </c>
      <c r="C1185" s="28" t="s">
        <v>3737</v>
      </c>
      <c r="D1185" s="25" t="s">
        <v>13</v>
      </c>
      <c r="E1185" s="25" t="s">
        <v>3343</v>
      </c>
      <c r="F1185" s="25" t="s">
        <v>3738</v>
      </c>
      <c r="G1185" s="25">
        <v>500</v>
      </c>
      <c r="H1185" s="25"/>
    </row>
    <row r="1186" spans="1:8" ht="14">
      <c r="A1186" s="28" t="s">
        <v>3739</v>
      </c>
      <c r="B1186" s="26" t="s">
        <v>3173</v>
      </c>
      <c r="C1186" s="28" t="s">
        <v>3739</v>
      </c>
      <c r="D1186" s="25" t="s">
        <v>13</v>
      </c>
      <c r="E1186" s="25" t="s">
        <v>3344</v>
      </c>
      <c r="F1186" s="25" t="s">
        <v>3740</v>
      </c>
      <c r="G1186" s="25">
        <v>500</v>
      </c>
      <c r="H1186" s="25"/>
    </row>
    <row r="1187" spans="1:8" ht="14">
      <c r="A1187" s="28" t="s">
        <v>3741</v>
      </c>
      <c r="B1187" s="26" t="s">
        <v>3173</v>
      </c>
      <c r="C1187" s="28" t="s">
        <v>3741</v>
      </c>
      <c r="D1187" s="25" t="s">
        <v>13</v>
      </c>
      <c r="E1187" s="25" t="s">
        <v>3345</v>
      </c>
      <c r="F1187" s="25" t="s">
        <v>3742</v>
      </c>
      <c r="G1187" s="25">
        <v>500</v>
      </c>
      <c r="H1187" s="25"/>
    </row>
    <row r="1188" spans="1:8" ht="14">
      <c r="A1188" s="28" t="s">
        <v>3743</v>
      </c>
      <c r="B1188" s="26" t="s">
        <v>3173</v>
      </c>
      <c r="C1188" s="28" t="s">
        <v>3743</v>
      </c>
      <c r="D1188" s="25" t="s">
        <v>13</v>
      </c>
      <c r="E1188" s="25" t="s">
        <v>3346</v>
      </c>
      <c r="F1188" s="25" t="s">
        <v>3744</v>
      </c>
      <c r="G1188" s="25">
        <v>500</v>
      </c>
      <c r="H1188" s="25"/>
    </row>
    <row r="1189" spans="1:8" ht="14">
      <c r="A1189" s="28" t="s">
        <v>3745</v>
      </c>
      <c r="B1189" s="26" t="s">
        <v>3173</v>
      </c>
      <c r="C1189" s="28" t="s">
        <v>3745</v>
      </c>
      <c r="D1189" s="25" t="s">
        <v>13</v>
      </c>
      <c r="E1189" s="25" t="s">
        <v>3347</v>
      </c>
      <c r="F1189" s="25" t="s">
        <v>3746</v>
      </c>
      <c r="G1189" s="25">
        <v>500</v>
      </c>
      <c r="H1189" s="25"/>
    </row>
    <row r="1190" spans="1:8" ht="14">
      <c r="A1190" s="28" t="s">
        <v>3747</v>
      </c>
      <c r="B1190" s="26" t="s">
        <v>3173</v>
      </c>
      <c r="C1190" s="28" t="s">
        <v>3747</v>
      </c>
      <c r="D1190" s="25" t="s">
        <v>13</v>
      </c>
      <c r="E1190" s="25" t="s">
        <v>3348</v>
      </c>
      <c r="F1190" s="25" t="s">
        <v>3748</v>
      </c>
      <c r="G1190" s="25">
        <v>500</v>
      </c>
      <c r="H1190" s="25"/>
    </row>
    <row r="1191" spans="1:8" ht="14">
      <c r="A1191" s="28" t="s">
        <v>3749</v>
      </c>
      <c r="B1191" s="26" t="s">
        <v>3173</v>
      </c>
      <c r="C1191" s="28" t="s">
        <v>3749</v>
      </c>
      <c r="D1191" s="25" t="s">
        <v>13</v>
      </c>
      <c r="E1191" s="25" t="s">
        <v>3349</v>
      </c>
      <c r="F1191" s="25" t="s">
        <v>3750</v>
      </c>
      <c r="G1191" s="25">
        <v>500</v>
      </c>
      <c r="H1191" s="25"/>
    </row>
    <row r="1192" spans="1:8" ht="14">
      <c r="A1192" s="28" t="s">
        <v>3751</v>
      </c>
      <c r="B1192" s="26" t="s">
        <v>3173</v>
      </c>
      <c r="C1192" s="28" t="s">
        <v>3751</v>
      </c>
      <c r="D1192" s="25" t="s">
        <v>13</v>
      </c>
      <c r="E1192" s="25" t="s">
        <v>3350</v>
      </c>
      <c r="F1192" s="25" t="s">
        <v>3752</v>
      </c>
      <c r="G1192" s="25">
        <v>500</v>
      </c>
      <c r="H1192" s="25"/>
    </row>
    <row r="1193" spans="1:8" ht="14">
      <c r="A1193" s="28" t="s">
        <v>3753</v>
      </c>
      <c r="B1193" s="26" t="s">
        <v>3173</v>
      </c>
      <c r="C1193" s="28" t="s">
        <v>3753</v>
      </c>
      <c r="D1193" s="25" t="s">
        <v>13</v>
      </c>
      <c r="E1193" s="25" t="s">
        <v>3351</v>
      </c>
      <c r="F1193" s="25" t="s">
        <v>3754</v>
      </c>
      <c r="G1193" s="25">
        <v>500</v>
      </c>
      <c r="H1193" s="25"/>
    </row>
    <row r="1194" spans="1:8" ht="14">
      <c r="A1194" s="28" t="s">
        <v>3755</v>
      </c>
      <c r="B1194" s="26" t="s">
        <v>3173</v>
      </c>
      <c r="C1194" s="28" t="s">
        <v>3755</v>
      </c>
      <c r="D1194" s="25" t="s">
        <v>13</v>
      </c>
      <c r="E1194" s="25" t="s">
        <v>3352</v>
      </c>
      <c r="F1194" s="25" t="s">
        <v>3756</v>
      </c>
      <c r="G1194" s="25">
        <v>500</v>
      </c>
      <c r="H1194" s="25"/>
    </row>
    <row r="1195" spans="1:8" ht="14">
      <c r="A1195" s="28" t="s">
        <v>3757</v>
      </c>
      <c r="B1195" s="26" t="s">
        <v>3173</v>
      </c>
      <c r="C1195" s="28" t="s">
        <v>3757</v>
      </c>
      <c r="D1195" s="25" t="s">
        <v>13</v>
      </c>
      <c r="E1195" s="25" t="s">
        <v>3353</v>
      </c>
      <c r="F1195" s="25" t="s">
        <v>3758</v>
      </c>
      <c r="G1195" s="25">
        <v>500</v>
      </c>
      <c r="H1195" s="25"/>
    </row>
    <row r="1196" spans="1:8" ht="14">
      <c r="A1196" s="28" t="s">
        <v>3759</v>
      </c>
      <c r="B1196" s="26" t="s">
        <v>3173</v>
      </c>
      <c r="C1196" s="28" t="s">
        <v>3759</v>
      </c>
      <c r="D1196" s="25" t="s">
        <v>13</v>
      </c>
      <c r="E1196" s="25" t="s">
        <v>3354</v>
      </c>
      <c r="F1196" s="25" t="s">
        <v>3760</v>
      </c>
      <c r="G1196" s="25">
        <v>500</v>
      </c>
      <c r="H1196" s="25"/>
    </row>
    <row r="1197" spans="1:8" ht="14">
      <c r="A1197" s="28" t="s">
        <v>3761</v>
      </c>
      <c r="B1197" s="26" t="s">
        <v>3173</v>
      </c>
      <c r="C1197" s="28" t="s">
        <v>3761</v>
      </c>
      <c r="D1197" s="25" t="s">
        <v>13</v>
      </c>
      <c r="E1197" s="25" t="s">
        <v>3355</v>
      </c>
      <c r="F1197" s="25" t="s">
        <v>3762</v>
      </c>
      <c r="G1197" s="25">
        <v>500</v>
      </c>
      <c r="H1197" s="25"/>
    </row>
    <row r="1198" spans="1:8" ht="14">
      <c r="A1198" s="28" t="s">
        <v>3763</v>
      </c>
      <c r="B1198" s="26" t="s">
        <v>3173</v>
      </c>
      <c r="C1198" s="28" t="s">
        <v>3763</v>
      </c>
      <c r="D1198" s="25" t="s">
        <v>13</v>
      </c>
      <c r="E1198" s="25" t="s">
        <v>3356</v>
      </c>
      <c r="F1198" s="25" t="s">
        <v>3764</v>
      </c>
      <c r="G1198" s="25">
        <v>500</v>
      </c>
      <c r="H1198" s="25"/>
    </row>
    <row r="1199" spans="1:8" ht="14">
      <c r="A1199" s="28" t="s">
        <v>3765</v>
      </c>
      <c r="B1199" s="26" t="s">
        <v>3173</v>
      </c>
      <c r="C1199" s="28" t="s">
        <v>3765</v>
      </c>
      <c r="D1199" s="25" t="s">
        <v>13</v>
      </c>
      <c r="E1199" s="25" t="s">
        <v>3357</v>
      </c>
      <c r="F1199" s="25" t="s">
        <v>3766</v>
      </c>
      <c r="G1199" s="25">
        <v>500</v>
      </c>
      <c r="H1199" s="25"/>
    </row>
    <row r="1200" spans="1:8" ht="14">
      <c r="A1200" s="28" t="s">
        <v>3767</v>
      </c>
      <c r="B1200" s="26" t="s">
        <v>3173</v>
      </c>
      <c r="C1200" s="28" t="s">
        <v>3767</v>
      </c>
      <c r="D1200" s="25" t="s">
        <v>13</v>
      </c>
      <c r="E1200" s="25" t="s">
        <v>3358</v>
      </c>
      <c r="F1200" s="25" t="s">
        <v>3768</v>
      </c>
      <c r="G1200" s="25">
        <v>500</v>
      </c>
      <c r="H1200" s="25"/>
    </row>
    <row r="1201" spans="1:8" ht="14">
      <c r="A1201" s="28" t="s">
        <v>4368</v>
      </c>
      <c r="B1201" s="26" t="s">
        <v>3173</v>
      </c>
      <c r="C1201" s="28" t="s">
        <v>4368</v>
      </c>
      <c r="D1201" s="25" t="s">
        <v>13</v>
      </c>
      <c r="E1201" s="33" t="s">
        <v>4367</v>
      </c>
      <c r="F1201" s="33" t="s">
        <v>4367</v>
      </c>
      <c r="G1201" s="25">
        <v>500</v>
      </c>
      <c r="H1201" s="25"/>
    </row>
    <row r="1202" spans="1:8" ht="14">
      <c r="A1202" s="25" t="s">
        <v>101</v>
      </c>
      <c r="B1202" s="26" t="s">
        <v>3771</v>
      </c>
      <c r="C1202" s="25" t="s">
        <v>101</v>
      </c>
      <c r="D1202" s="25" t="s">
        <v>13</v>
      </c>
      <c r="E1202" s="25" t="s">
        <v>3774</v>
      </c>
      <c r="F1202" s="25" t="s">
        <v>3775</v>
      </c>
      <c r="G1202" s="25">
        <v>500</v>
      </c>
      <c r="H1202" s="25"/>
    </row>
    <row r="1203" spans="1:8" ht="14">
      <c r="A1203" s="25" t="s">
        <v>3773</v>
      </c>
      <c r="B1203" s="26" t="s">
        <v>3771</v>
      </c>
      <c r="C1203" s="25" t="s">
        <v>3773</v>
      </c>
      <c r="D1203" s="25" t="s">
        <v>13</v>
      </c>
      <c r="E1203" s="25" t="s">
        <v>1877</v>
      </c>
      <c r="F1203" s="25" t="s">
        <v>3776</v>
      </c>
      <c r="G1203" s="25">
        <v>500</v>
      </c>
      <c r="H1203" s="25"/>
    </row>
    <row r="1204" spans="1:8" ht="14">
      <c r="A1204" s="25" t="s">
        <v>3777</v>
      </c>
      <c r="B1204" s="26" t="s">
        <v>51</v>
      </c>
      <c r="C1204" s="25" t="s">
        <v>3777</v>
      </c>
      <c r="D1204" s="25" t="s">
        <v>13</v>
      </c>
      <c r="E1204" s="25" t="s">
        <v>3778</v>
      </c>
      <c r="F1204" s="25" t="s">
        <v>3779</v>
      </c>
      <c r="G1204" s="25">
        <v>500</v>
      </c>
      <c r="H1204" s="25"/>
    </row>
    <row r="1205" spans="1:8" ht="14">
      <c r="A1205" s="25" t="s">
        <v>3841</v>
      </c>
      <c r="B1205" s="26" t="s">
        <v>3872</v>
      </c>
      <c r="C1205" s="25" t="s">
        <v>3841</v>
      </c>
      <c r="D1205" s="25" t="s">
        <v>13</v>
      </c>
      <c r="E1205" s="25" t="s">
        <v>3782</v>
      </c>
      <c r="F1205" s="25" t="s">
        <v>3783</v>
      </c>
      <c r="G1205" s="25">
        <v>500</v>
      </c>
      <c r="H1205" s="25"/>
    </row>
    <row r="1206" spans="1:8" ht="14">
      <c r="A1206" s="25" t="s">
        <v>3842</v>
      </c>
      <c r="B1206" s="26" t="s">
        <v>3872</v>
      </c>
      <c r="C1206" s="25" t="s">
        <v>3842</v>
      </c>
      <c r="D1206" s="25" t="s">
        <v>13</v>
      </c>
      <c r="E1206" s="25" t="s">
        <v>3784</v>
      </c>
      <c r="F1206" s="25" t="s">
        <v>3785</v>
      </c>
      <c r="G1206" s="25">
        <v>500</v>
      </c>
      <c r="H1206" s="25"/>
    </row>
    <row r="1207" spans="1:8" ht="14">
      <c r="A1207" s="25" t="s">
        <v>3843</v>
      </c>
      <c r="B1207" s="26" t="s">
        <v>3872</v>
      </c>
      <c r="C1207" s="25" t="s">
        <v>3843</v>
      </c>
      <c r="D1207" s="25" t="s">
        <v>13</v>
      </c>
      <c r="E1207" s="25" t="s">
        <v>3786</v>
      </c>
      <c r="F1207" s="25" t="s">
        <v>3787</v>
      </c>
      <c r="G1207" s="25">
        <v>500</v>
      </c>
      <c r="H1207" s="25"/>
    </row>
    <row r="1208" spans="1:8" ht="14">
      <c r="A1208" s="25" t="s">
        <v>3851</v>
      </c>
      <c r="B1208" s="26" t="s">
        <v>3872</v>
      </c>
      <c r="C1208" s="25" t="s">
        <v>3851</v>
      </c>
      <c r="D1208" s="25" t="s">
        <v>13</v>
      </c>
      <c r="E1208" s="25" t="s">
        <v>3788</v>
      </c>
      <c r="F1208" s="25" t="s">
        <v>3789</v>
      </c>
      <c r="G1208" s="25">
        <v>500</v>
      </c>
      <c r="H1208" s="25"/>
    </row>
    <row r="1209" spans="1:8" ht="14">
      <c r="A1209" s="25" t="s">
        <v>3844</v>
      </c>
      <c r="B1209" s="26" t="s">
        <v>3872</v>
      </c>
      <c r="C1209" s="25" t="s">
        <v>3844</v>
      </c>
      <c r="D1209" s="25" t="s">
        <v>13</v>
      </c>
      <c r="E1209" s="25" t="s">
        <v>3790</v>
      </c>
      <c r="F1209" s="25" t="s">
        <v>3791</v>
      </c>
      <c r="G1209" s="25">
        <v>500</v>
      </c>
      <c r="H1209" s="25"/>
    </row>
    <row r="1210" spans="1:8" ht="14">
      <c r="A1210" s="25" t="s">
        <v>3845</v>
      </c>
      <c r="B1210" s="26" t="s">
        <v>3872</v>
      </c>
      <c r="C1210" s="25" t="s">
        <v>3845</v>
      </c>
      <c r="D1210" s="25" t="s">
        <v>13</v>
      </c>
      <c r="E1210" s="25" t="s">
        <v>3792</v>
      </c>
      <c r="F1210" s="25" t="s">
        <v>3793</v>
      </c>
      <c r="G1210" s="25">
        <v>500</v>
      </c>
      <c r="H1210" s="25"/>
    </row>
    <row r="1211" spans="1:8" ht="14">
      <c r="A1211" s="25" t="s">
        <v>3846</v>
      </c>
      <c r="B1211" s="26" t="s">
        <v>3872</v>
      </c>
      <c r="C1211" s="25" t="s">
        <v>3846</v>
      </c>
      <c r="D1211" s="25" t="s">
        <v>13</v>
      </c>
      <c r="E1211" s="25" t="s">
        <v>3794</v>
      </c>
      <c r="F1211" s="25" t="s">
        <v>3795</v>
      </c>
      <c r="G1211" s="25">
        <v>500</v>
      </c>
      <c r="H1211" s="25"/>
    </row>
    <row r="1212" spans="1:8" ht="14">
      <c r="A1212" s="25" t="s">
        <v>3847</v>
      </c>
      <c r="B1212" s="26" t="s">
        <v>3872</v>
      </c>
      <c r="C1212" s="25" t="s">
        <v>3847</v>
      </c>
      <c r="D1212" s="25" t="s">
        <v>13</v>
      </c>
      <c r="E1212" s="25" t="s">
        <v>3796</v>
      </c>
      <c r="F1212" s="25" t="s">
        <v>3797</v>
      </c>
      <c r="G1212" s="25">
        <v>500</v>
      </c>
      <c r="H1212" s="25"/>
    </row>
    <row r="1213" spans="1:8" ht="14">
      <c r="A1213" s="25" t="s">
        <v>3848</v>
      </c>
      <c r="B1213" s="26" t="s">
        <v>3872</v>
      </c>
      <c r="C1213" s="25" t="s">
        <v>3848</v>
      </c>
      <c r="D1213" s="25" t="s">
        <v>13</v>
      </c>
      <c r="E1213" s="25" t="s">
        <v>3798</v>
      </c>
      <c r="F1213" s="25" t="s">
        <v>3799</v>
      </c>
      <c r="G1213" s="25">
        <v>500</v>
      </c>
      <c r="H1213" s="25"/>
    </row>
    <row r="1214" spans="1:8" ht="14">
      <c r="A1214" s="25" t="s">
        <v>3849</v>
      </c>
      <c r="B1214" s="26" t="s">
        <v>3872</v>
      </c>
      <c r="C1214" s="25" t="s">
        <v>3849</v>
      </c>
      <c r="D1214" s="25" t="s">
        <v>13</v>
      </c>
      <c r="E1214" s="25" t="s">
        <v>3800</v>
      </c>
      <c r="F1214" s="25" t="s">
        <v>3801</v>
      </c>
      <c r="G1214" s="25">
        <v>500</v>
      </c>
      <c r="H1214" s="25"/>
    </row>
    <row r="1215" spans="1:8" ht="14">
      <c r="A1215" s="25" t="s">
        <v>3850</v>
      </c>
      <c r="B1215" s="26" t="s">
        <v>3872</v>
      </c>
      <c r="C1215" s="25" t="s">
        <v>3850</v>
      </c>
      <c r="D1215" s="25" t="s">
        <v>13</v>
      </c>
      <c r="E1215" s="25" t="s">
        <v>3802</v>
      </c>
      <c r="F1215" s="25" t="s">
        <v>3803</v>
      </c>
      <c r="G1215" s="25">
        <v>500</v>
      </c>
      <c r="H1215" s="25"/>
    </row>
    <row r="1216" spans="1:8" ht="14">
      <c r="A1216" s="25" t="s">
        <v>3852</v>
      </c>
      <c r="B1216" s="26" t="s">
        <v>3872</v>
      </c>
      <c r="C1216" s="25" t="s">
        <v>3852</v>
      </c>
      <c r="D1216" s="25" t="s">
        <v>13</v>
      </c>
      <c r="E1216" s="25" t="s">
        <v>3804</v>
      </c>
      <c r="F1216" s="25" t="s">
        <v>3805</v>
      </c>
      <c r="G1216" s="25">
        <v>500</v>
      </c>
      <c r="H1216" s="25"/>
    </row>
    <row r="1217" spans="1:8" ht="14">
      <c r="A1217" s="25" t="s">
        <v>3853</v>
      </c>
      <c r="B1217" s="26" t="s">
        <v>3872</v>
      </c>
      <c r="C1217" s="25" t="s">
        <v>3853</v>
      </c>
      <c r="D1217" s="25" t="s">
        <v>13</v>
      </c>
      <c r="E1217" s="25" t="s">
        <v>3806</v>
      </c>
      <c r="F1217" s="25" t="s">
        <v>3807</v>
      </c>
      <c r="G1217" s="25">
        <v>500</v>
      </c>
      <c r="H1217" s="25"/>
    </row>
    <row r="1218" spans="1:8" ht="14">
      <c r="A1218" s="25" t="s">
        <v>3854</v>
      </c>
      <c r="B1218" s="26" t="s">
        <v>3872</v>
      </c>
      <c r="C1218" s="25" t="s">
        <v>3854</v>
      </c>
      <c r="D1218" s="25" t="s">
        <v>13</v>
      </c>
      <c r="E1218" s="25" t="s">
        <v>3808</v>
      </c>
      <c r="F1218" s="25" t="s">
        <v>3809</v>
      </c>
      <c r="G1218" s="25">
        <v>500</v>
      </c>
      <c r="H1218" s="25"/>
    </row>
    <row r="1219" spans="1:8" ht="14">
      <c r="A1219" s="25" t="s">
        <v>3855</v>
      </c>
      <c r="B1219" s="26" t="s">
        <v>3872</v>
      </c>
      <c r="C1219" s="25" t="s">
        <v>3855</v>
      </c>
      <c r="D1219" s="25" t="s">
        <v>13</v>
      </c>
      <c r="E1219" s="25" t="s">
        <v>3810</v>
      </c>
      <c r="F1219" s="25" t="s">
        <v>3811</v>
      </c>
      <c r="G1219" s="25">
        <v>500</v>
      </c>
      <c r="H1219" s="25"/>
    </row>
    <row r="1220" spans="1:8" ht="14">
      <c r="A1220" s="25" t="s">
        <v>3856</v>
      </c>
      <c r="B1220" s="26" t="s">
        <v>3872</v>
      </c>
      <c r="C1220" s="25" t="s">
        <v>3856</v>
      </c>
      <c r="D1220" s="25" t="s">
        <v>13</v>
      </c>
      <c r="E1220" s="25" t="s">
        <v>3812</v>
      </c>
      <c r="F1220" s="25" t="s">
        <v>3813</v>
      </c>
      <c r="G1220" s="25">
        <v>500</v>
      </c>
      <c r="H1220" s="25"/>
    </row>
    <row r="1221" spans="1:8" ht="14">
      <c r="A1221" s="25" t="s">
        <v>3857</v>
      </c>
      <c r="B1221" s="26" t="s">
        <v>3872</v>
      </c>
      <c r="C1221" s="25" t="s">
        <v>3857</v>
      </c>
      <c r="D1221" s="25" t="s">
        <v>13</v>
      </c>
      <c r="E1221" s="25" t="s">
        <v>3814</v>
      </c>
      <c r="F1221" s="25" t="s">
        <v>3815</v>
      </c>
      <c r="G1221" s="25">
        <v>500</v>
      </c>
      <c r="H1221" s="25"/>
    </row>
    <row r="1222" spans="1:8" ht="14">
      <c r="A1222" s="25" t="s">
        <v>3858</v>
      </c>
      <c r="B1222" s="26" t="s">
        <v>3872</v>
      </c>
      <c r="C1222" s="25" t="s">
        <v>3858</v>
      </c>
      <c r="D1222" s="25" t="s">
        <v>13</v>
      </c>
      <c r="E1222" s="25" t="s">
        <v>3816</v>
      </c>
      <c r="F1222" s="25" t="s">
        <v>3817</v>
      </c>
      <c r="G1222" s="25">
        <v>500</v>
      </c>
      <c r="H1222" s="25"/>
    </row>
    <row r="1223" spans="1:8" ht="14">
      <c r="A1223" s="25" t="s">
        <v>3859</v>
      </c>
      <c r="B1223" s="26" t="s">
        <v>3872</v>
      </c>
      <c r="C1223" s="25" t="s">
        <v>3859</v>
      </c>
      <c r="D1223" s="25" t="s">
        <v>13</v>
      </c>
      <c r="E1223" s="25" t="s">
        <v>3818</v>
      </c>
      <c r="F1223" s="25" t="s">
        <v>3819</v>
      </c>
      <c r="G1223" s="25">
        <v>500</v>
      </c>
      <c r="H1223" s="25"/>
    </row>
    <row r="1224" spans="1:8" ht="14">
      <c r="A1224" s="25" t="s">
        <v>3860</v>
      </c>
      <c r="B1224" s="26" t="s">
        <v>3872</v>
      </c>
      <c r="C1224" s="25" t="s">
        <v>3860</v>
      </c>
      <c r="D1224" s="25" t="s">
        <v>13</v>
      </c>
      <c r="E1224" s="25" t="s">
        <v>3820</v>
      </c>
      <c r="F1224" s="25" t="s">
        <v>3821</v>
      </c>
      <c r="G1224" s="25">
        <v>500</v>
      </c>
      <c r="H1224" s="25"/>
    </row>
    <row r="1225" spans="1:8" ht="14">
      <c r="A1225" s="25" t="s">
        <v>3861</v>
      </c>
      <c r="B1225" s="26" t="s">
        <v>3872</v>
      </c>
      <c r="C1225" s="25" t="s">
        <v>3861</v>
      </c>
      <c r="D1225" s="25" t="s">
        <v>13</v>
      </c>
      <c r="E1225" s="25" t="s">
        <v>3822</v>
      </c>
      <c r="F1225" s="25" t="s">
        <v>3823</v>
      </c>
      <c r="G1225" s="25">
        <v>500</v>
      </c>
      <c r="H1225" s="25"/>
    </row>
    <row r="1226" spans="1:8" ht="14">
      <c r="A1226" s="25" t="s">
        <v>3862</v>
      </c>
      <c r="B1226" s="26" t="s">
        <v>3872</v>
      </c>
      <c r="C1226" s="25" t="s">
        <v>3862</v>
      </c>
      <c r="D1226" s="25" t="s">
        <v>13</v>
      </c>
      <c r="E1226" s="25" t="s">
        <v>3824</v>
      </c>
      <c r="F1226" s="25" t="s">
        <v>3825</v>
      </c>
      <c r="G1226" s="25">
        <v>500</v>
      </c>
      <c r="H1226" s="25"/>
    </row>
    <row r="1227" spans="1:8" ht="14">
      <c r="A1227" s="25" t="s">
        <v>3863</v>
      </c>
      <c r="B1227" s="26" t="s">
        <v>3872</v>
      </c>
      <c r="C1227" s="25" t="s">
        <v>3863</v>
      </c>
      <c r="D1227" s="25" t="s">
        <v>13</v>
      </c>
      <c r="E1227" s="25" t="s">
        <v>3826</v>
      </c>
      <c r="F1227" s="25" t="s">
        <v>3827</v>
      </c>
      <c r="G1227" s="25">
        <v>500</v>
      </c>
      <c r="H1227" s="25"/>
    </row>
    <row r="1228" spans="1:8" ht="14">
      <c r="A1228" s="25" t="s">
        <v>3864</v>
      </c>
      <c r="B1228" s="26" t="s">
        <v>3872</v>
      </c>
      <c r="C1228" s="25" t="s">
        <v>3864</v>
      </c>
      <c r="D1228" s="25" t="s">
        <v>13</v>
      </c>
      <c r="E1228" s="25" t="s">
        <v>3828</v>
      </c>
      <c r="F1228" s="25" t="s">
        <v>3829</v>
      </c>
      <c r="G1228" s="25">
        <v>500</v>
      </c>
      <c r="H1228" s="25"/>
    </row>
    <row r="1229" spans="1:8" ht="14">
      <c r="A1229" s="25" t="s">
        <v>3865</v>
      </c>
      <c r="B1229" s="26" t="s">
        <v>3872</v>
      </c>
      <c r="C1229" s="25" t="s">
        <v>3865</v>
      </c>
      <c r="D1229" s="25" t="s">
        <v>13</v>
      </c>
      <c r="E1229" s="25" t="s">
        <v>3830</v>
      </c>
      <c r="F1229" s="25" t="s">
        <v>3831</v>
      </c>
      <c r="G1229" s="25">
        <v>500</v>
      </c>
      <c r="H1229" s="25"/>
    </row>
    <row r="1230" spans="1:8" ht="14">
      <c r="A1230" s="25" t="s">
        <v>3866</v>
      </c>
      <c r="B1230" s="26" t="s">
        <v>3872</v>
      </c>
      <c r="C1230" s="25" t="s">
        <v>3866</v>
      </c>
      <c r="D1230" s="25" t="s">
        <v>13</v>
      </c>
      <c r="E1230" s="25" t="s">
        <v>3832</v>
      </c>
      <c r="F1230" s="25" t="s">
        <v>3833</v>
      </c>
      <c r="G1230" s="25">
        <v>500</v>
      </c>
      <c r="H1230" s="25"/>
    </row>
    <row r="1231" spans="1:8" ht="14">
      <c r="A1231" s="25" t="s">
        <v>3867</v>
      </c>
      <c r="B1231" s="26" t="s">
        <v>3872</v>
      </c>
      <c r="C1231" s="25" t="s">
        <v>3867</v>
      </c>
      <c r="D1231" s="25" t="s">
        <v>13</v>
      </c>
      <c r="E1231" s="25" t="s">
        <v>3834</v>
      </c>
      <c r="F1231" s="25" t="s">
        <v>3835</v>
      </c>
      <c r="G1231" s="25">
        <v>500</v>
      </c>
      <c r="H1231" s="25"/>
    </row>
    <row r="1232" spans="1:8" ht="14">
      <c r="A1232" s="25" t="s">
        <v>3868</v>
      </c>
      <c r="B1232" s="26" t="s">
        <v>3872</v>
      </c>
      <c r="C1232" s="25" t="s">
        <v>3868</v>
      </c>
      <c r="D1232" s="25" t="s">
        <v>13</v>
      </c>
      <c r="E1232" s="25" t="s">
        <v>3869</v>
      </c>
      <c r="F1232" s="25" t="s">
        <v>3836</v>
      </c>
      <c r="G1232" s="25">
        <v>500</v>
      </c>
      <c r="H1232" s="25"/>
    </row>
    <row r="1233" spans="1:1008" ht="14">
      <c r="A1233" s="25" t="s">
        <v>3870</v>
      </c>
      <c r="B1233" s="26" t="s">
        <v>3872</v>
      </c>
      <c r="C1233" s="25" t="s">
        <v>3870</v>
      </c>
      <c r="D1233" s="25" t="s">
        <v>13</v>
      </c>
      <c r="E1233" s="25" t="s">
        <v>3837</v>
      </c>
      <c r="F1233" s="25" t="s">
        <v>3838</v>
      </c>
      <c r="G1233" s="25">
        <v>500</v>
      </c>
      <c r="H1233" s="25"/>
    </row>
    <row r="1234" spans="1:1008" ht="14">
      <c r="A1234" s="25" t="s">
        <v>3871</v>
      </c>
      <c r="B1234" s="26" t="s">
        <v>3872</v>
      </c>
      <c r="C1234" s="25" t="s">
        <v>3871</v>
      </c>
      <c r="D1234" s="25" t="s">
        <v>13</v>
      </c>
      <c r="E1234" s="25" t="s">
        <v>3839</v>
      </c>
      <c r="F1234" s="25" t="s">
        <v>3840</v>
      </c>
      <c r="G1234" s="25">
        <v>500</v>
      </c>
      <c r="H1234" s="25"/>
    </row>
    <row r="1235" spans="1:1008" ht="14">
      <c r="A1235" s="25" t="s">
        <v>3882</v>
      </c>
      <c r="B1235" s="26" t="s">
        <v>3880</v>
      </c>
      <c r="C1235" s="25" t="s">
        <v>3882</v>
      </c>
      <c r="D1235" s="25" t="s">
        <v>3882</v>
      </c>
      <c r="E1235" s="25" t="s">
        <v>3883</v>
      </c>
      <c r="F1235" s="25" t="s">
        <v>3884</v>
      </c>
      <c r="G1235" s="25">
        <v>500</v>
      </c>
      <c r="H1235" s="25"/>
    </row>
    <row r="1236" spans="1:1008" ht="14">
      <c r="A1236" s="25" t="s">
        <v>3885</v>
      </c>
      <c r="B1236" s="26" t="s">
        <v>3880</v>
      </c>
      <c r="C1236" s="25" t="s">
        <v>3885</v>
      </c>
      <c r="D1236" s="25" t="s">
        <v>3886</v>
      </c>
      <c r="E1236" s="25" t="s">
        <v>3887</v>
      </c>
      <c r="F1236" s="25" t="s">
        <v>3888</v>
      </c>
      <c r="G1236" s="25">
        <v>500</v>
      </c>
      <c r="H1236" s="25"/>
    </row>
    <row r="1237" spans="1:1008" ht="14">
      <c r="A1237" s="25" t="s">
        <v>3889</v>
      </c>
      <c r="B1237" s="26" t="s">
        <v>3880</v>
      </c>
      <c r="C1237" s="25" t="s">
        <v>3889</v>
      </c>
      <c r="D1237" s="25" t="s">
        <v>3889</v>
      </c>
      <c r="E1237" s="25" t="s">
        <v>3890</v>
      </c>
      <c r="F1237" s="25" t="s">
        <v>3891</v>
      </c>
      <c r="G1237" s="25">
        <v>500</v>
      </c>
      <c r="H1237" s="25"/>
    </row>
    <row r="1238" spans="1:1008" ht="14">
      <c r="A1238" s="28" t="s">
        <v>4037</v>
      </c>
      <c r="B1238" s="34" t="s">
        <v>3990</v>
      </c>
      <c r="C1238" s="28" t="s">
        <v>4037</v>
      </c>
      <c r="D1238" s="25" t="s">
        <v>13</v>
      </c>
      <c r="E1238" s="28" t="s">
        <v>3902</v>
      </c>
      <c r="F1238" s="28" t="s">
        <v>3903</v>
      </c>
      <c r="G1238" s="28">
        <v>500</v>
      </c>
      <c r="H1238" s="25"/>
    </row>
    <row r="1239" spans="1:1008" ht="14">
      <c r="A1239" s="28" t="s">
        <v>4038</v>
      </c>
      <c r="B1239" s="34" t="s">
        <v>3990</v>
      </c>
      <c r="C1239" s="28" t="s">
        <v>4038</v>
      </c>
      <c r="D1239" s="25" t="s">
        <v>13</v>
      </c>
      <c r="E1239" s="28" t="s">
        <v>3904</v>
      </c>
      <c r="F1239" s="28" t="s">
        <v>3905</v>
      </c>
      <c r="G1239" s="28">
        <v>500</v>
      </c>
      <c r="H1239" s="25"/>
    </row>
    <row r="1240" spans="1:1008" ht="14">
      <c r="A1240" s="28" t="s">
        <v>4039</v>
      </c>
      <c r="B1240" s="34" t="s">
        <v>3990</v>
      </c>
      <c r="C1240" s="28" t="s">
        <v>4039</v>
      </c>
      <c r="D1240" s="25" t="s">
        <v>13</v>
      </c>
      <c r="E1240" s="28" t="s">
        <v>4040</v>
      </c>
      <c r="F1240" s="28" t="s">
        <v>3906</v>
      </c>
      <c r="G1240" s="28">
        <v>500</v>
      </c>
      <c r="H1240" s="25"/>
    </row>
    <row r="1241" spans="1:1008" ht="14">
      <c r="A1241" s="28" t="s">
        <v>3907</v>
      </c>
      <c r="B1241" s="26" t="s">
        <v>3990</v>
      </c>
      <c r="C1241" s="28" t="s">
        <v>3907</v>
      </c>
      <c r="D1241" s="25" t="s">
        <v>13</v>
      </c>
      <c r="E1241" s="28" t="s">
        <v>3907</v>
      </c>
      <c r="F1241" s="28" t="s">
        <v>3908</v>
      </c>
      <c r="G1241" s="28">
        <v>500</v>
      </c>
      <c r="H1241" s="25"/>
    </row>
    <row r="1242" spans="1:1008" ht="14">
      <c r="A1242" s="28" t="s">
        <v>4029</v>
      </c>
      <c r="B1242" s="26" t="s">
        <v>3990</v>
      </c>
      <c r="C1242" s="28" t="s">
        <v>3909</v>
      </c>
      <c r="D1242" s="25" t="s">
        <v>13</v>
      </c>
      <c r="E1242" s="28" t="s">
        <v>3909</v>
      </c>
      <c r="F1242" s="28" t="s">
        <v>3910</v>
      </c>
      <c r="G1242" s="28">
        <v>600</v>
      </c>
      <c r="H1242" s="25"/>
    </row>
    <row r="1243" spans="1:1008" ht="14">
      <c r="A1243" s="28" t="s">
        <v>4028</v>
      </c>
      <c r="B1243" s="26" t="s">
        <v>3990</v>
      </c>
      <c r="C1243" s="28" t="s">
        <v>3911</v>
      </c>
      <c r="D1243" s="25" t="s">
        <v>13</v>
      </c>
      <c r="E1243" s="28" t="s">
        <v>3911</v>
      </c>
      <c r="F1243" s="28" t="s">
        <v>3912</v>
      </c>
      <c r="G1243" s="28">
        <v>450</v>
      </c>
      <c r="H1243" s="25"/>
    </row>
    <row r="1244" spans="1:1008" ht="14">
      <c r="A1244" s="28" t="s">
        <v>4030</v>
      </c>
      <c r="B1244" s="26" t="s">
        <v>3991</v>
      </c>
      <c r="C1244" s="28" t="s">
        <v>4030</v>
      </c>
      <c r="D1244" s="25" t="s">
        <v>13</v>
      </c>
      <c r="E1244" s="28" t="s">
        <v>3914</v>
      </c>
      <c r="F1244" s="28" t="s">
        <v>3915</v>
      </c>
      <c r="G1244" s="28">
        <v>500</v>
      </c>
      <c r="H1244" s="25"/>
    </row>
    <row r="1245" spans="1:1008" ht="14">
      <c r="A1245" s="28" t="s">
        <v>4031</v>
      </c>
      <c r="B1245" s="26" t="s">
        <v>3991</v>
      </c>
      <c r="C1245" s="28" t="s">
        <v>4031</v>
      </c>
      <c r="D1245" s="25" t="s">
        <v>13</v>
      </c>
      <c r="E1245" s="28" t="s">
        <v>3916</v>
      </c>
      <c r="F1245" s="28" t="s">
        <v>3917</v>
      </c>
      <c r="G1245" s="28">
        <v>550</v>
      </c>
      <c r="H1245" s="25"/>
    </row>
    <row r="1246" spans="1:1008" ht="14">
      <c r="A1246" s="28" t="s">
        <v>4032</v>
      </c>
      <c r="B1246" s="26" t="s">
        <v>3991</v>
      </c>
      <c r="C1246" s="28" t="s">
        <v>4032</v>
      </c>
      <c r="D1246" s="25" t="s">
        <v>13</v>
      </c>
      <c r="E1246" s="28" t="s">
        <v>3918</v>
      </c>
      <c r="F1246" s="28" t="s">
        <v>3919</v>
      </c>
      <c r="G1246" s="28">
        <v>500</v>
      </c>
      <c r="H1246" s="25"/>
    </row>
    <row r="1247" spans="1:1008" ht="14">
      <c r="A1247" s="28" t="s">
        <v>3921</v>
      </c>
      <c r="B1247" s="26" t="s">
        <v>3992</v>
      </c>
      <c r="C1247" s="28" t="s">
        <v>3921</v>
      </c>
      <c r="D1247" s="25" t="s">
        <v>13</v>
      </c>
      <c r="E1247" s="28" t="s">
        <v>3921</v>
      </c>
      <c r="F1247" s="28" t="s">
        <v>3922</v>
      </c>
      <c r="G1247" s="28">
        <v>550</v>
      </c>
      <c r="H1247" s="28"/>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c r="BE1247"/>
      <c r="BF1247"/>
      <c r="BG1247"/>
      <c r="BH1247"/>
      <c r="BI1247"/>
      <c r="BJ1247"/>
      <c r="BK1247"/>
      <c r="BL1247"/>
      <c r="BM1247"/>
      <c r="BN1247"/>
      <c r="BO1247"/>
      <c r="BP1247"/>
      <c r="BQ1247"/>
      <c r="BR1247"/>
      <c r="BS1247"/>
      <c r="BT1247"/>
      <c r="BU1247"/>
      <c r="BV1247"/>
      <c r="BW1247"/>
      <c r="BX1247"/>
      <c r="BY1247"/>
      <c r="BZ1247"/>
      <c r="CA1247"/>
      <c r="CB1247"/>
      <c r="CC1247"/>
      <c r="CD1247"/>
      <c r="CE1247"/>
      <c r="CF1247"/>
      <c r="CG1247"/>
      <c r="CH1247"/>
      <c r="CI1247"/>
      <c r="CJ1247"/>
      <c r="CK1247"/>
      <c r="CL1247"/>
      <c r="CM1247"/>
      <c r="CN1247"/>
      <c r="CO1247"/>
      <c r="CP1247"/>
      <c r="CQ1247"/>
      <c r="CR1247"/>
      <c r="CS1247"/>
      <c r="CT1247"/>
      <c r="CU1247"/>
      <c r="CV1247"/>
      <c r="CW1247"/>
      <c r="CX1247"/>
      <c r="CY1247"/>
      <c r="CZ1247"/>
      <c r="DA1247"/>
      <c r="DB1247"/>
      <c r="DC1247"/>
      <c r="DD1247"/>
      <c r="DE1247"/>
      <c r="DF1247"/>
      <c r="DG1247"/>
      <c r="DH1247"/>
      <c r="DI1247"/>
      <c r="DJ1247"/>
      <c r="DK1247"/>
      <c r="DL1247"/>
      <c r="DM1247"/>
      <c r="DN1247"/>
      <c r="DO1247"/>
      <c r="DP1247"/>
      <c r="DQ1247"/>
      <c r="DR1247"/>
      <c r="DS1247"/>
      <c r="DT1247"/>
      <c r="DU1247"/>
      <c r="DV1247"/>
      <c r="DW1247"/>
      <c r="DX1247"/>
      <c r="DY1247"/>
      <c r="DZ1247"/>
      <c r="EA1247"/>
      <c r="EB1247"/>
      <c r="EC1247"/>
      <c r="ED1247"/>
      <c r="EE1247"/>
      <c r="EF1247"/>
      <c r="EG1247"/>
      <c r="EH1247"/>
      <c r="EI1247"/>
      <c r="EJ1247"/>
      <c r="EK1247"/>
      <c r="EL1247"/>
      <c r="EM1247"/>
      <c r="EN1247"/>
      <c r="EO1247"/>
      <c r="EP1247"/>
      <c r="EQ1247"/>
      <c r="ER1247"/>
      <c r="ES1247"/>
      <c r="ET1247"/>
      <c r="EU1247"/>
      <c r="EV1247"/>
      <c r="EW1247"/>
      <c r="EX1247"/>
      <c r="EY1247"/>
      <c r="EZ1247"/>
      <c r="FA1247"/>
      <c r="FB1247"/>
      <c r="FC1247"/>
      <c r="FD1247"/>
      <c r="FE1247"/>
      <c r="FF1247"/>
      <c r="FG1247"/>
      <c r="FH1247"/>
      <c r="FI1247"/>
      <c r="FJ1247"/>
      <c r="FK1247"/>
      <c r="FL1247"/>
      <c r="FM1247"/>
      <c r="FN1247"/>
      <c r="FO1247"/>
      <c r="FP1247"/>
      <c r="FQ1247"/>
      <c r="FR1247"/>
      <c r="FS1247"/>
      <c r="FT1247"/>
      <c r="FU1247"/>
      <c r="FV1247"/>
      <c r="FW1247"/>
      <c r="FX1247"/>
      <c r="FY1247"/>
      <c r="FZ1247"/>
      <c r="GA1247"/>
      <c r="GB1247"/>
      <c r="GC1247"/>
      <c r="GD1247"/>
      <c r="GE1247"/>
      <c r="GF1247"/>
      <c r="GG1247"/>
      <c r="GH1247"/>
      <c r="GI1247"/>
      <c r="GJ1247"/>
      <c r="GK1247"/>
      <c r="GL1247"/>
      <c r="GM1247"/>
      <c r="GN1247"/>
      <c r="GO1247"/>
      <c r="GP1247"/>
      <c r="GQ1247"/>
      <c r="GR1247"/>
      <c r="GS1247"/>
      <c r="GT1247"/>
      <c r="GU1247"/>
      <c r="GV1247"/>
      <c r="GW1247"/>
      <c r="GX1247"/>
      <c r="GY1247"/>
      <c r="GZ1247"/>
      <c r="HA1247"/>
      <c r="HB1247"/>
      <c r="HC1247"/>
      <c r="HD1247"/>
      <c r="HE1247"/>
      <c r="HF1247"/>
      <c r="HG1247"/>
      <c r="HH1247"/>
      <c r="HI1247"/>
      <c r="HJ1247"/>
      <c r="HK1247"/>
      <c r="HL1247"/>
      <c r="HM1247"/>
      <c r="HN1247"/>
      <c r="HO1247"/>
      <c r="HP1247"/>
      <c r="HQ1247"/>
      <c r="HR1247"/>
      <c r="HS1247"/>
      <c r="HT1247"/>
      <c r="HU1247"/>
      <c r="HV1247"/>
      <c r="HW1247"/>
      <c r="HX1247"/>
      <c r="HY1247"/>
      <c r="HZ1247"/>
      <c r="IA1247"/>
      <c r="IB1247"/>
      <c r="IC1247"/>
      <c r="ID1247"/>
      <c r="IE1247"/>
      <c r="IF1247"/>
      <c r="IG1247"/>
      <c r="IH1247"/>
      <c r="II1247"/>
      <c r="IJ1247"/>
      <c r="IK1247"/>
      <c r="IL1247"/>
      <c r="IM1247"/>
      <c r="IN1247"/>
      <c r="IO1247"/>
      <c r="IP1247"/>
      <c r="IQ1247"/>
      <c r="IR1247"/>
      <c r="IS1247"/>
      <c r="IT1247"/>
      <c r="IU1247"/>
      <c r="IV1247"/>
      <c r="IW1247"/>
      <c r="IX1247"/>
      <c r="IY1247"/>
      <c r="IZ1247"/>
      <c r="JA1247"/>
      <c r="JB1247"/>
      <c r="JC1247"/>
      <c r="JD1247"/>
      <c r="JE1247"/>
      <c r="JF1247"/>
      <c r="JG1247"/>
      <c r="JH1247"/>
      <c r="JI1247"/>
      <c r="JJ1247"/>
      <c r="JK1247"/>
      <c r="JL1247"/>
      <c r="JM1247"/>
      <c r="JN1247"/>
      <c r="JO1247"/>
      <c r="JP1247"/>
      <c r="JQ1247"/>
      <c r="JR1247"/>
      <c r="JS1247"/>
      <c r="JT1247"/>
      <c r="JU1247"/>
      <c r="JV1247"/>
      <c r="JW1247"/>
      <c r="JX1247"/>
      <c r="JY1247"/>
      <c r="JZ1247"/>
      <c r="KA1247"/>
      <c r="KB1247"/>
      <c r="KC1247"/>
      <c r="KD1247"/>
      <c r="KE1247"/>
      <c r="KF1247"/>
      <c r="KG1247"/>
      <c r="KH1247"/>
      <c r="KI1247"/>
      <c r="KJ1247"/>
      <c r="KK1247"/>
      <c r="KL1247"/>
      <c r="KM1247"/>
      <c r="KN1247"/>
      <c r="KO1247"/>
      <c r="KP1247"/>
      <c r="KQ1247"/>
      <c r="KR1247"/>
      <c r="KS1247"/>
      <c r="KT1247"/>
      <c r="KU1247"/>
      <c r="KV1247"/>
      <c r="KW1247"/>
      <c r="KX1247"/>
      <c r="KY1247"/>
      <c r="KZ1247"/>
      <c r="LA1247"/>
      <c r="LB1247"/>
      <c r="LC1247"/>
      <c r="LD1247"/>
      <c r="LE1247"/>
      <c r="LF1247"/>
      <c r="LG1247"/>
      <c r="LH1247"/>
      <c r="LI1247"/>
      <c r="LJ1247"/>
      <c r="LK1247"/>
      <c r="LL1247"/>
      <c r="LM1247"/>
      <c r="LN1247"/>
      <c r="LO1247"/>
      <c r="LP1247"/>
      <c r="LQ1247"/>
      <c r="LR1247"/>
      <c r="LS1247"/>
      <c r="LT1247"/>
      <c r="LU1247"/>
      <c r="LV1247"/>
      <c r="LW1247"/>
      <c r="LX1247"/>
      <c r="LY1247"/>
      <c r="LZ1247"/>
      <c r="MA1247"/>
      <c r="MB1247"/>
      <c r="MC1247"/>
      <c r="MD1247"/>
      <c r="ME1247"/>
      <c r="MF1247"/>
      <c r="MG1247"/>
      <c r="MH1247"/>
      <c r="MI1247"/>
      <c r="MJ1247"/>
      <c r="MK1247"/>
      <c r="ML1247"/>
      <c r="MM1247"/>
      <c r="MN1247"/>
      <c r="MO1247"/>
      <c r="MP1247"/>
      <c r="MQ1247"/>
      <c r="MR1247"/>
      <c r="MS1247"/>
      <c r="MT1247"/>
      <c r="MU1247"/>
      <c r="MV1247"/>
      <c r="MW1247"/>
      <c r="MX1247"/>
      <c r="MY1247"/>
      <c r="MZ1247"/>
      <c r="NA1247"/>
      <c r="NB1247"/>
      <c r="NC1247"/>
      <c r="ND1247"/>
      <c r="NE1247"/>
      <c r="NF1247"/>
      <c r="NG1247"/>
      <c r="NH1247"/>
      <c r="NI1247"/>
      <c r="NJ1247"/>
      <c r="NK1247"/>
      <c r="NL1247"/>
      <c r="NM1247"/>
      <c r="NN1247"/>
      <c r="NO1247"/>
      <c r="NP1247"/>
      <c r="NQ1247"/>
      <c r="NR1247"/>
      <c r="NS1247"/>
      <c r="NT1247"/>
      <c r="NU1247"/>
      <c r="NV1247"/>
      <c r="NW1247"/>
      <c r="NX1247"/>
      <c r="NY1247"/>
      <c r="NZ1247"/>
      <c r="OA1247"/>
      <c r="OB1247"/>
      <c r="OC1247"/>
      <c r="OD1247"/>
      <c r="OE1247"/>
      <c r="OF1247"/>
      <c r="OG1247"/>
      <c r="OH1247"/>
      <c r="OI1247"/>
      <c r="OJ1247"/>
      <c r="OK1247"/>
      <c r="OL1247"/>
      <c r="OM1247"/>
      <c r="ON1247"/>
      <c r="OO1247"/>
      <c r="OP1247"/>
      <c r="OQ1247"/>
      <c r="OR1247"/>
      <c r="OS1247"/>
      <c r="OT1247"/>
      <c r="OU1247"/>
      <c r="OV1247"/>
      <c r="OW1247"/>
      <c r="OX1247"/>
      <c r="OY1247"/>
      <c r="OZ1247"/>
      <c r="PA1247"/>
      <c r="PB1247"/>
      <c r="PC1247"/>
      <c r="PD1247"/>
      <c r="PE1247"/>
      <c r="PF1247"/>
      <c r="PG1247"/>
      <c r="PH1247"/>
      <c r="PI1247"/>
      <c r="PJ1247"/>
      <c r="PK1247"/>
      <c r="PL1247"/>
      <c r="PM1247"/>
      <c r="PN1247"/>
      <c r="PO1247"/>
      <c r="PP1247"/>
      <c r="PQ1247"/>
      <c r="PR1247"/>
      <c r="PS1247"/>
      <c r="PT1247"/>
      <c r="PU1247"/>
      <c r="PV1247"/>
      <c r="PW1247"/>
      <c r="PX1247"/>
      <c r="PY1247"/>
      <c r="PZ1247"/>
      <c r="QA1247"/>
      <c r="QB1247"/>
      <c r="QC1247"/>
      <c r="QD1247"/>
      <c r="QE1247"/>
      <c r="QF1247"/>
      <c r="QG1247"/>
      <c r="QH1247"/>
      <c r="QI1247"/>
      <c r="QJ1247"/>
      <c r="QK1247"/>
      <c r="QL1247"/>
      <c r="QM1247"/>
      <c r="QN1247"/>
      <c r="QO1247"/>
      <c r="QP1247"/>
      <c r="QQ1247"/>
      <c r="QR1247"/>
      <c r="QS1247"/>
      <c r="QT1247"/>
      <c r="QU1247"/>
      <c r="QV1247"/>
      <c r="QW1247"/>
      <c r="QX1247"/>
      <c r="QY1247"/>
      <c r="QZ1247"/>
      <c r="RA1247"/>
      <c r="RB1247"/>
      <c r="RC1247"/>
      <c r="RD1247"/>
      <c r="RE1247"/>
      <c r="RF1247"/>
      <c r="RG1247"/>
      <c r="RH1247"/>
      <c r="RI1247"/>
      <c r="RJ1247"/>
      <c r="RK1247"/>
      <c r="RL1247"/>
      <c r="RM1247"/>
      <c r="RN1247"/>
      <c r="RO1247"/>
      <c r="RP1247"/>
      <c r="RQ1247"/>
      <c r="RR1247"/>
      <c r="RS1247"/>
      <c r="RT1247"/>
      <c r="RU1247"/>
      <c r="RV1247"/>
      <c r="RW1247"/>
      <c r="RX1247"/>
      <c r="RY1247"/>
      <c r="RZ1247"/>
      <c r="SA1247"/>
      <c r="SB1247"/>
      <c r="SC1247"/>
      <c r="SD1247"/>
      <c r="SE1247"/>
      <c r="SF1247"/>
      <c r="SG1247"/>
      <c r="SH1247"/>
      <c r="SI1247"/>
      <c r="SJ1247"/>
      <c r="SK1247"/>
      <c r="SL1247"/>
      <c r="SM1247"/>
      <c r="SN1247"/>
      <c r="SO1247"/>
      <c r="SP1247"/>
      <c r="SQ1247"/>
      <c r="SR1247"/>
      <c r="SS1247"/>
      <c r="ST1247"/>
      <c r="SU1247"/>
      <c r="SV1247"/>
      <c r="SW1247"/>
      <c r="SX1247"/>
      <c r="SY1247"/>
      <c r="SZ1247"/>
      <c r="TA1247"/>
      <c r="TB1247"/>
      <c r="TC1247"/>
      <c r="TD1247"/>
      <c r="TE1247"/>
      <c r="TF1247"/>
      <c r="TG1247"/>
      <c r="TH1247"/>
      <c r="TI1247"/>
      <c r="TJ1247"/>
      <c r="TK1247"/>
      <c r="TL1247"/>
      <c r="TM1247"/>
      <c r="TN1247"/>
      <c r="TO1247"/>
      <c r="TP1247"/>
      <c r="TQ1247"/>
      <c r="TR1247"/>
      <c r="TS1247"/>
      <c r="TT1247"/>
      <c r="TU1247"/>
      <c r="TV1247"/>
      <c r="TW1247"/>
      <c r="TX1247"/>
      <c r="TY1247"/>
      <c r="TZ1247"/>
      <c r="UA1247"/>
      <c r="UB1247"/>
      <c r="UC1247"/>
      <c r="UD1247"/>
      <c r="UE1247"/>
      <c r="UF1247"/>
      <c r="UG1247"/>
      <c r="UH1247"/>
      <c r="UI1247"/>
      <c r="UJ1247"/>
      <c r="UK1247"/>
      <c r="UL1247"/>
      <c r="UM1247"/>
      <c r="UN1247"/>
      <c r="UO1247"/>
      <c r="UP1247"/>
      <c r="UQ1247"/>
      <c r="UR1247"/>
      <c r="US1247"/>
      <c r="UT1247"/>
      <c r="UU1247"/>
      <c r="UV1247"/>
      <c r="UW1247"/>
      <c r="UX1247"/>
      <c r="UY1247"/>
      <c r="UZ1247"/>
      <c r="VA1247"/>
      <c r="VB1247"/>
      <c r="VC1247"/>
      <c r="VD1247"/>
      <c r="VE1247"/>
      <c r="VF1247"/>
      <c r="VG1247"/>
      <c r="VH1247"/>
      <c r="VI1247"/>
      <c r="VJ1247"/>
      <c r="VK1247"/>
      <c r="VL1247"/>
      <c r="VM1247"/>
      <c r="VN1247"/>
      <c r="VO1247"/>
      <c r="VP1247"/>
      <c r="VQ1247"/>
      <c r="VR1247"/>
      <c r="VS1247"/>
      <c r="VT1247"/>
      <c r="VU1247"/>
      <c r="VV1247"/>
      <c r="VW1247"/>
      <c r="VX1247"/>
      <c r="VY1247"/>
      <c r="VZ1247"/>
      <c r="WA1247"/>
      <c r="WB1247"/>
      <c r="WC1247"/>
      <c r="WD1247"/>
      <c r="WE1247"/>
      <c r="WF1247"/>
      <c r="WG1247"/>
      <c r="WH1247"/>
      <c r="WI1247"/>
      <c r="WJ1247"/>
      <c r="WK1247"/>
      <c r="WL1247"/>
      <c r="WM1247"/>
      <c r="WN1247"/>
      <c r="WO1247"/>
      <c r="WP1247"/>
      <c r="WQ1247"/>
      <c r="WR1247"/>
      <c r="WS1247"/>
      <c r="WT1247"/>
      <c r="WU1247"/>
      <c r="WV1247"/>
      <c r="WW1247"/>
      <c r="WX1247"/>
      <c r="WY1247"/>
      <c r="WZ1247"/>
      <c r="XA1247"/>
      <c r="XB1247"/>
      <c r="XC1247"/>
      <c r="XD1247"/>
      <c r="XE1247"/>
      <c r="XF1247"/>
      <c r="XG1247"/>
      <c r="XH1247"/>
      <c r="XI1247"/>
      <c r="XJ1247"/>
      <c r="XK1247"/>
      <c r="XL1247"/>
      <c r="XM1247"/>
      <c r="XN1247"/>
      <c r="XO1247"/>
      <c r="XP1247"/>
      <c r="XQ1247"/>
      <c r="XR1247"/>
      <c r="XS1247"/>
      <c r="XT1247"/>
      <c r="XU1247"/>
      <c r="XV1247"/>
      <c r="XW1247"/>
      <c r="XX1247"/>
      <c r="XY1247"/>
      <c r="XZ1247"/>
      <c r="YA1247"/>
      <c r="YB1247"/>
      <c r="YC1247"/>
      <c r="YD1247"/>
      <c r="YE1247"/>
      <c r="YF1247"/>
      <c r="YG1247"/>
      <c r="YH1247"/>
      <c r="YI1247"/>
      <c r="YJ1247"/>
      <c r="YK1247"/>
      <c r="YL1247"/>
      <c r="YM1247"/>
      <c r="YN1247"/>
      <c r="YO1247"/>
      <c r="YP1247"/>
      <c r="YQ1247"/>
      <c r="YR1247"/>
      <c r="YS1247"/>
      <c r="YT1247"/>
      <c r="YU1247"/>
      <c r="YV1247"/>
      <c r="YW1247"/>
      <c r="YX1247"/>
      <c r="YY1247"/>
      <c r="YZ1247"/>
      <c r="ZA1247"/>
      <c r="ZB1247"/>
      <c r="ZC1247"/>
      <c r="ZD1247"/>
      <c r="ZE1247"/>
      <c r="ZF1247"/>
      <c r="ZG1247"/>
      <c r="ZH1247"/>
      <c r="ZI1247"/>
      <c r="ZJ1247"/>
      <c r="ZK1247"/>
      <c r="ZL1247"/>
      <c r="ZM1247"/>
      <c r="ZN1247"/>
      <c r="ZO1247"/>
      <c r="ZP1247"/>
      <c r="ZQ1247"/>
      <c r="ZR1247"/>
      <c r="ZS1247"/>
      <c r="ZT1247"/>
      <c r="ZU1247"/>
      <c r="ZV1247"/>
      <c r="ZW1247"/>
      <c r="ZX1247"/>
      <c r="ZY1247"/>
      <c r="ZZ1247"/>
      <c r="AAA1247"/>
      <c r="AAB1247"/>
      <c r="AAC1247"/>
      <c r="AAD1247"/>
      <c r="AAE1247"/>
      <c r="AAF1247"/>
      <c r="AAG1247"/>
      <c r="AAH1247"/>
      <c r="AAI1247"/>
      <c r="AAJ1247"/>
      <c r="AAK1247"/>
      <c r="AAL1247"/>
      <c r="AAM1247"/>
      <c r="AAN1247"/>
      <c r="AAO1247"/>
      <c r="AAP1247"/>
      <c r="AAQ1247"/>
      <c r="AAR1247"/>
      <c r="AAS1247"/>
      <c r="AAT1247"/>
      <c r="AAU1247"/>
      <c r="AAV1247"/>
      <c r="AAW1247"/>
      <c r="AAX1247"/>
      <c r="AAY1247"/>
      <c r="AAZ1247"/>
      <c r="ABA1247"/>
      <c r="ABB1247"/>
      <c r="ABC1247"/>
      <c r="ABD1247"/>
      <c r="ABE1247"/>
      <c r="ABF1247"/>
      <c r="ABG1247"/>
      <c r="ABH1247"/>
      <c r="ABI1247"/>
      <c r="ABJ1247"/>
      <c r="ABK1247"/>
      <c r="ABL1247"/>
      <c r="ABM1247"/>
      <c r="ABN1247"/>
      <c r="ABO1247"/>
      <c r="ABP1247"/>
      <c r="ABQ1247"/>
      <c r="ABR1247"/>
      <c r="ABS1247"/>
      <c r="ABT1247"/>
      <c r="ABU1247"/>
      <c r="ABV1247"/>
      <c r="ABW1247"/>
      <c r="ABX1247"/>
      <c r="ABY1247"/>
      <c r="ABZ1247"/>
      <c r="ACA1247"/>
      <c r="ACB1247"/>
      <c r="ACC1247"/>
      <c r="ACD1247"/>
      <c r="ACE1247"/>
      <c r="ACF1247"/>
      <c r="ACG1247"/>
      <c r="ACH1247"/>
      <c r="ACI1247"/>
      <c r="ACJ1247"/>
      <c r="ACK1247"/>
      <c r="ACL1247"/>
      <c r="ACM1247"/>
      <c r="ACN1247"/>
      <c r="ACO1247"/>
      <c r="ACP1247"/>
      <c r="ACQ1247"/>
      <c r="ACR1247"/>
      <c r="ACS1247"/>
      <c r="ACT1247"/>
      <c r="ACU1247"/>
      <c r="ACV1247"/>
      <c r="ACW1247"/>
      <c r="ACX1247"/>
      <c r="ACY1247"/>
      <c r="ACZ1247"/>
      <c r="ADA1247"/>
      <c r="ADB1247"/>
      <c r="ADC1247"/>
      <c r="ADD1247"/>
      <c r="ADE1247"/>
      <c r="ADF1247"/>
      <c r="ADG1247"/>
      <c r="ADH1247"/>
      <c r="ADI1247"/>
      <c r="ADJ1247"/>
      <c r="ADK1247"/>
      <c r="ADL1247"/>
      <c r="ADM1247"/>
      <c r="ADN1247"/>
      <c r="ADO1247"/>
      <c r="ADP1247"/>
      <c r="ADQ1247"/>
      <c r="ADR1247"/>
      <c r="ADS1247"/>
      <c r="ADT1247"/>
      <c r="ADU1247"/>
      <c r="ADV1247"/>
      <c r="ADW1247"/>
      <c r="ADX1247"/>
      <c r="ADY1247"/>
      <c r="ADZ1247"/>
      <c r="AEA1247"/>
      <c r="AEB1247"/>
      <c r="AEC1247"/>
      <c r="AED1247"/>
      <c r="AEE1247"/>
      <c r="AEF1247"/>
      <c r="AEG1247"/>
      <c r="AEH1247"/>
      <c r="AEI1247"/>
      <c r="AEJ1247"/>
      <c r="AEK1247"/>
      <c r="AEL1247"/>
      <c r="AEM1247"/>
      <c r="AEN1247"/>
      <c r="AEO1247"/>
      <c r="AEP1247"/>
      <c r="AEQ1247"/>
      <c r="AER1247"/>
      <c r="AES1247"/>
      <c r="AET1247"/>
      <c r="AEU1247"/>
      <c r="AEV1247"/>
      <c r="AEW1247"/>
      <c r="AEX1247"/>
      <c r="AEY1247"/>
      <c r="AEZ1247"/>
      <c r="AFA1247"/>
      <c r="AFB1247"/>
      <c r="AFC1247"/>
      <c r="AFD1247"/>
      <c r="AFE1247"/>
      <c r="AFF1247"/>
      <c r="AFG1247"/>
      <c r="AFH1247"/>
      <c r="AFI1247"/>
      <c r="AFJ1247"/>
      <c r="AFK1247"/>
      <c r="AFL1247"/>
      <c r="AFM1247"/>
      <c r="AFN1247"/>
      <c r="AFO1247"/>
      <c r="AFP1247"/>
      <c r="AFQ1247"/>
      <c r="AFR1247"/>
      <c r="AFS1247"/>
      <c r="AFT1247"/>
      <c r="AFU1247"/>
      <c r="AFV1247"/>
      <c r="AFW1247"/>
      <c r="AFX1247"/>
      <c r="AFY1247"/>
      <c r="AFZ1247"/>
      <c r="AGA1247"/>
      <c r="AGB1247"/>
      <c r="AGC1247"/>
      <c r="AGD1247"/>
      <c r="AGE1247"/>
      <c r="AGF1247"/>
      <c r="AGG1247"/>
      <c r="AGH1247"/>
      <c r="AGI1247"/>
      <c r="AGJ1247"/>
      <c r="AGK1247"/>
      <c r="AGL1247"/>
      <c r="AGM1247"/>
      <c r="AGN1247"/>
      <c r="AGO1247"/>
      <c r="AGP1247"/>
      <c r="AGQ1247"/>
      <c r="AGR1247"/>
      <c r="AGS1247"/>
      <c r="AGT1247"/>
      <c r="AGU1247"/>
      <c r="AGV1247"/>
      <c r="AGW1247"/>
      <c r="AGX1247"/>
      <c r="AGY1247"/>
      <c r="AGZ1247"/>
      <c r="AHA1247"/>
      <c r="AHB1247"/>
      <c r="AHC1247"/>
      <c r="AHD1247"/>
      <c r="AHE1247"/>
      <c r="AHF1247"/>
      <c r="AHG1247"/>
      <c r="AHH1247"/>
      <c r="AHI1247"/>
      <c r="AHJ1247"/>
      <c r="AHK1247"/>
      <c r="AHL1247"/>
      <c r="AHM1247"/>
      <c r="AHN1247"/>
      <c r="AHO1247"/>
      <c r="AHP1247"/>
      <c r="AHQ1247"/>
      <c r="AHR1247"/>
      <c r="AHS1247"/>
      <c r="AHT1247"/>
      <c r="AHU1247"/>
      <c r="AHV1247"/>
      <c r="AHW1247"/>
      <c r="AHX1247"/>
      <c r="AHY1247"/>
      <c r="AHZ1247"/>
      <c r="AIA1247"/>
      <c r="AIB1247"/>
      <c r="AIC1247"/>
      <c r="AID1247"/>
      <c r="AIE1247"/>
      <c r="AIF1247"/>
      <c r="AIG1247"/>
      <c r="AIH1247"/>
      <c r="AII1247"/>
      <c r="AIJ1247"/>
      <c r="AIK1247"/>
      <c r="AIL1247"/>
      <c r="AIM1247"/>
      <c r="AIN1247"/>
      <c r="AIO1247"/>
      <c r="AIP1247"/>
      <c r="AIQ1247"/>
      <c r="AIR1247"/>
      <c r="AIS1247"/>
      <c r="AIT1247"/>
      <c r="AIU1247"/>
      <c r="AIV1247"/>
      <c r="AIW1247"/>
      <c r="AIX1247"/>
      <c r="AIY1247"/>
      <c r="AIZ1247"/>
      <c r="AJA1247"/>
      <c r="AJB1247"/>
      <c r="AJC1247"/>
      <c r="AJD1247"/>
      <c r="AJE1247"/>
      <c r="AJF1247"/>
      <c r="AJG1247"/>
      <c r="AJH1247"/>
      <c r="AJI1247"/>
      <c r="AJJ1247"/>
      <c r="AJK1247"/>
      <c r="AJL1247"/>
      <c r="AJM1247"/>
      <c r="AJN1247"/>
      <c r="AJO1247"/>
      <c r="AJP1247"/>
      <c r="AJQ1247"/>
      <c r="AJR1247"/>
      <c r="AJS1247"/>
      <c r="AJT1247"/>
      <c r="AJU1247"/>
      <c r="AJV1247"/>
      <c r="AJW1247"/>
      <c r="AJX1247"/>
      <c r="AJY1247"/>
      <c r="AJZ1247"/>
      <c r="AKA1247"/>
      <c r="AKB1247"/>
      <c r="AKC1247"/>
      <c r="AKD1247"/>
      <c r="AKE1247"/>
      <c r="AKF1247"/>
      <c r="AKG1247"/>
      <c r="AKH1247"/>
      <c r="AKI1247"/>
      <c r="AKJ1247"/>
      <c r="AKK1247"/>
      <c r="AKL1247"/>
      <c r="AKM1247"/>
      <c r="AKN1247"/>
      <c r="AKO1247"/>
      <c r="AKP1247"/>
      <c r="AKQ1247"/>
      <c r="AKR1247"/>
      <c r="AKS1247"/>
      <c r="AKT1247"/>
      <c r="AKU1247"/>
      <c r="AKV1247"/>
      <c r="AKW1247"/>
      <c r="AKX1247"/>
      <c r="AKY1247"/>
      <c r="AKZ1247"/>
      <c r="ALA1247"/>
      <c r="ALB1247"/>
      <c r="ALC1247"/>
      <c r="ALD1247"/>
      <c r="ALE1247"/>
      <c r="ALF1247"/>
      <c r="ALG1247"/>
      <c r="ALH1247"/>
      <c r="ALI1247"/>
      <c r="ALJ1247"/>
      <c r="ALK1247"/>
      <c r="ALL1247"/>
      <c r="ALM1247"/>
      <c r="ALN1247"/>
      <c r="ALO1247"/>
      <c r="ALP1247"/>
      <c r="ALQ1247"/>
      <c r="ALR1247"/>
      <c r="ALS1247"/>
      <c r="ALT1247"/>
    </row>
    <row r="1248" spans="1:1008" ht="14">
      <c r="A1248" s="28" t="s">
        <v>3923</v>
      </c>
      <c r="B1248" s="26" t="s">
        <v>3992</v>
      </c>
      <c r="C1248" s="28" t="s">
        <v>3923</v>
      </c>
      <c r="D1248" s="25" t="s">
        <v>13</v>
      </c>
      <c r="E1248" s="28" t="s">
        <v>3923</v>
      </c>
      <c r="F1248" s="28" t="s">
        <v>3924</v>
      </c>
      <c r="G1248" s="28">
        <v>500</v>
      </c>
      <c r="H1248" s="2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c r="BF1248"/>
      <c r="BG1248"/>
      <c r="BH1248"/>
      <c r="BI1248"/>
      <c r="BJ1248"/>
      <c r="BK1248"/>
      <c r="BL1248"/>
      <c r="BM1248"/>
      <c r="BN1248"/>
      <c r="BO1248"/>
      <c r="BP1248"/>
      <c r="BQ1248"/>
      <c r="BR1248"/>
      <c r="BS1248"/>
      <c r="BT1248"/>
      <c r="BU1248"/>
      <c r="BV1248"/>
      <c r="BW1248"/>
      <c r="BX1248"/>
      <c r="BY1248"/>
      <c r="BZ1248"/>
      <c r="CA1248"/>
      <c r="CB1248"/>
      <c r="CC1248"/>
      <c r="CD1248"/>
      <c r="CE1248"/>
      <c r="CF1248"/>
      <c r="CG1248"/>
      <c r="CH1248"/>
      <c r="CI1248"/>
      <c r="CJ1248"/>
      <c r="CK1248"/>
      <c r="CL1248"/>
      <c r="CM1248"/>
      <c r="CN1248"/>
      <c r="CO1248"/>
      <c r="CP1248"/>
      <c r="CQ1248"/>
      <c r="CR1248"/>
      <c r="CS1248"/>
      <c r="CT1248"/>
      <c r="CU1248"/>
      <c r="CV1248"/>
      <c r="CW1248"/>
      <c r="CX1248"/>
      <c r="CY1248"/>
      <c r="CZ1248"/>
      <c r="DA1248"/>
      <c r="DB1248"/>
      <c r="DC1248"/>
      <c r="DD1248"/>
      <c r="DE1248"/>
      <c r="DF1248"/>
      <c r="DG1248"/>
      <c r="DH1248"/>
      <c r="DI1248"/>
      <c r="DJ1248"/>
      <c r="DK1248"/>
      <c r="DL1248"/>
      <c r="DM1248"/>
      <c r="DN1248"/>
      <c r="DO1248"/>
      <c r="DP1248"/>
      <c r="DQ1248"/>
      <c r="DR1248"/>
      <c r="DS1248"/>
      <c r="DT1248"/>
      <c r="DU1248"/>
      <c r="DV1248"/>
      <c r="DW1248"/>
      <c r="DX1248"/>
      <c r="DY1248"/>
      <c r="DZ1248"/>
      <c r="EA1248"/>
      <c r="EB1248"/>
      <c r="EC1248"/>
      <c r="ED1248"/>
      <c r="EE1248"/>
      <c r="EF1248"/>
      <c r="EG1248"/>
      <c r="EH1248"/>
      <c r="EI1248"/>
      <c r="EJ1248"/>
      <c r="EK1248"/>
      <c r="EL1248"/>
      <c r="EM1248"/>
      <c r="EN1248"/>
      <c r="EO1248"/>
      <c r="EP1248"/>
      <c r="EQ1248"/>
      <c r="ER1248"/>
      <c r="ES1248"/>
      <c r="ET1248"/>
      <c r="EU1248"/>
      <c r="EV1248"/>
      <c r="EW1248"/>
      <c r="EX1248"/>
      <c r="EY1248"/>
      <c r="EZ1248"/>
      <c r="FA1248"/>
      <c r="FB1248"/>
      <c r="FC1248"/>
      <c r="FD1248"/>
      <c r="FE1248"/>
      <c r="FF1248"/>
      <c r="FG1248"/>
      <c r="FH1248"/>
      <c r="FI1248"/>
      <c r="FJ1248"/>
      <c r="FK1248"/>
      <c r="FL1248"/>
      <c r="FM1248"/>
      <c r="FN1248"/>
      <c r="FO1248"/>
      <c r="FP1248"/>
      <c r="FQ1248"/>
      <c r="FR1248"/>
      <c r="FS1248"/>
      <c r="FT1248"/>
      <c r="FU1248"/>
      <c r="FV1248"/>
      <c r="FW1248"/>
      <c r="FX1248"/>
      <c r="FY1248"/>
      <c r="FZ1248"/>
      <c r="GA1248"/>
      <c r="GB1248"/>
      <c r="GC1248"/>
      <c r="GD1248"/>
      <c r="GE1248"/>
      <c r="GF1248"/>
      <c r="GG1248"/>
      <c r="GH1248"/>
      <c r="GI1248"/>
      <c r="GJ1248"/>
      <c r="GK1248"/>
      <c r="GL1248"/>
      <c r="GM1248"/>
      <c r="GN1248"/>
      <c r="GO1248"/>
      <c r="GP1248"/>
      <c r="GQ1248"/>
      <c r="GR1248"/>
      <c r="GS1248"/>
      <c r="GT1248"/>
      <c r="GU1248"/>
      <c r="GV1248"/>
      <c r="GW1248"/>
      <c r="GX1248"/>
      <c r="GY1248"/>
      <c r="GZ1248"/>
      <c r="HA1248"/>
      <c r="HB1248"/>
      <c r="HC1248"/>
      <c r="HD1248"/>
      <c r="HE1248"/>
      <c r="HF1248"/>
      <c r="HG1248"/>
      <c r="HH1248"/>
      <c r="HI1248"/>
      <c r="HJ1248"/>
      <c r="HK1248"/>
      <c r="HL1248"/>
      <c r="HM1248"/>
      <c r="HN1248"/>
      <c r="HO1248"/>
      <c r="HP1248"/>
      <c r="HQ1248"/>
      <c r="HR1248"/>
      <c r="HS1248"/>
      <c r="HT1248"/>
      <c r="HU1248"/>
      <c r="HV1248"/>
      <c r="HW1248"/>
      <c r="HX1248"/>
      <c r="HY1248"/>
      <c r="HZ1248"/>
      <c r="IA1248"/>
      <c r="IB1248"/>
      <c r="IC1248"/>
      <c r="ID1248"/>
      <c r="IE1248"/>
      <c r="IF1248"/>
      <c r="IG1248"/>
      <c r="IH1248"/>
      <c r="II1248"/>
      <c r="IJ1248"/>
      <c r="IK1248"/>
      <c r="IL1248"/>
      <c r="IM1248"/>
      <c r="IN1248"/>
      <c r="IO1248"/>
      <c r="IP1248"/>
      <c r="IQ1248"/>
      <c r="IR1248"/>
      <c r="IS1248"/>
      <c r="IT1248"/>
      <c r="IU1248"/>
      <c r="IV1248"/>
      <c r="IW1248"/>
      <c r="IX1248"/>
      <c r="IY1248"/>
      <c r="IZ1248"/>
      <c r="JA1248"/>
      <c r="JB1248"/>
      <c r="JC1248"/>
      <c r="JD1248"/>
      <c r="JE1248"/>
      <c r="JF1248"/>
      <c r="JG1248"/>
      <c r="JH1248"/>
      <c r="JI1248"/>
      <c r="JJ1248"/>
      <c r="JK1248"/>
      <c r="JL1248"/>
      <c r="JM1248"/>
      <c r="JN1248"/>
      <c r="JO1248"/>
      <c r="JP1248"/>
      <c r="JQ1248"/>
      <c r="JR1248"/>
      <c r="JS1248"/>
      <c r="JT1248"/>
      <c r="JU1248"/>
      <c r="JV1248"/>
      <c r="JW1248"/>
      <c r="JX1248"/>
      <c r="JY1248"/>
      <c r="JZ1248"/>
      <c r="KA1248"/>
      <c r="KB1248"/>
      <c r="KC1248"/>
      <c r="KD1248"/>
      <c r="KE1248"/>
      <c r="KF1248"/>
      <c r="KG1248"/>
      <c r="KH1248"/>
      <c r="KI1248"/>
      <c r="KJ1248"/>
      <c r="KK1248"/>
      <c r="KL1248"/>
      <c r="KM1248"/>
      <c r="KN1248"/>
      <c r="KO1248"/>
      <c r="KP1248"/>
      <c r="KQ1248"/>
      <c r="KR1248"/>
      <c r="KS1248"/>
      <c r="KT1248"/>
      <c r="KU1248"/>
      <c r="KV1248"/>
      <c r="KW1248"/>
      <c r="KX1248"/>
      <c r="KY1248"/>
      <c r="KZ1248"/>
      <c r="LA1248"/>
      <c r="LB1248"/>
      <c r="LC1248"/>
      <c r="LD1248"/>
      <c r="LE1248"/>
      <c r="LF1248"/>
      <c r="LG1248"/>
      <c r="LH1248"/>
      <c r="LI1248"/>
      <c r="LJ1248"/>
      <c r="LK1248"/>
      <c r="LL1248"/>
      <c r="LM1248"/>
      <c r="LN1248"/>
      <c r="LO1248"/>
      <c r="LP1248"/>
      <c r="LQ1248"/>
      <c r="LR1248"/>
      <c r="LS1248"/>
      <c r="LT1248"/>
      <c r="LU1248"/>
      <c r="LV1248"/>
      <c r="LW1248"/>
      <c r="LX1248"/>
      <c r="LY1248"/>
      <c r="LZ1248"/>
      <c r="MA1248"/>
      <c r="MB1248"/>
      <c r="MC1248"/>
      <c r="MD1248"/>
      <c r="ME1248"/>
      <c r="MF1248"/>
      <c r="MG1248"/>
      <c r="MH1248"/>
      <c r="MI1248"/>
      <c r="MJ1248"/>
      <c r="MK1248"/>
      <c r="ML1248"/>
      <c r="MM1248"/>
      <c r="MN1248"/>
      <c r="MO1248"/>
      <c r="MP1248"/>
      <c r="MQ1248"/>
      <c r="MR1248"/>
      <c r="MS1248"/>
      <c r="MT1248"/>
      <c r="MU1248"/>
      <c r="MV1248"/>
      <c r="MW1248"/>
      <c r="MX1248"/>
      <c r="MY1248"/>
      <c r="MZ1248"/>
      <c r="NA1248"/>
      <c r="NB1248"/>
      <c r="NC1248"/>
      <c r="ND1248"/>
      <c r="NE1248"/>
      <c r="NF1248"/>
      <c r="NG1248"/>
      <c r="NH1248"/>
      <c r="NI1248"/>
      <c r="NJ1248"/>
      <c r="NK1248"/>
      <c r="NL1248"/>
      <c r="NM1248"/>
      <c r="NN1248"/>
      <c r="NO1248"/>
      <c r="NP1248"/>
      <c r="NQ1248"/>
      <c r="NR1248"/>
      <c r="NS1248"/>
      <c r="NT1248"/>
      <c r="NU1248"/>
      <c r="NV1248"/>
      <c r="NW1248"/>
      <c r="NX1248"/>
      <c r="NY1248"/>
      <c r="NZ1248"/>
      <c r="OA1248"/>
      <c r="OB1248"/>
      <c r="OC1248"/>
      <c r="OD1248"/>
      <c r="OE1248"/>
      <c r="OF1248"/>
      <c r="OG1248"/>
      <c r="OH1248"/>
      <c r="OI1248"/>
      <c r="OJ1248"/>
      <c r="OK1248"/>
      <c r="OL1248"/>
      <c r="OM1248"/>
      <c r="ON1248"/>
      <c r="OO1248"/>
      <c r="OP1248"/>
      <c r="OQ1248"/>
      <c r="OR1248"/>
      <c r="OS1248"/>
      <c r="OT1248"/>
      <c r="OU1248"/>
      <c r="OV1248"/>
      <c r="OW1248"/>
      <c r="OX1248"/>
      <c r="OY1248"/>
      <c r="OZ1248"/>
      <c r="PA1248"/>
      <c r="PB1248"/>
      <c r="PC1248"/>
      <c r="PD1248"/>
      <c r="PE1248"/>
      <c r="PF1248"/>
      <c r="PG1248"/>
      <c r="PH1248"/>
      <c r="PI1248"/>
      <c r="PJ1248"/>
      <c r="PK1248"/>
      <c r="PL1248"/>
      <c r="PM1248"/>
      <c r="PN1248"/>
      <c r="PO1248"/>
      <c r="PP1248"/>
      <c r="PQ1248"/>
      <c r="PR1248"/>
      <c r="PS1248"/>
      <c r="PT1248"/>
      <c r="PU1248"/>
      <c r="PV1248"/>
      <c r="PW1248"/>
      <c r="PX1248"/>
      <c r="PY1248"/>
      <c r="PZ1248"/>
      <c r="QA1248"/>
      <c r="QB1248"/>
      <c r="QC1248"/>
      <c r="QD1248"/>
      <c r="QE1248"/>
      <c r="QF1248"/>
      <c r="QG1248"/>
      <c r="QH1248"/>
      <c r="QI1248"/>
      <c r="QJ1248"/>
      <c r="QK1248"/>
      <c r="QL1248"/>
      <c r="QM1248"/>
      <c r="QN1248"/>
      <c r="QO1248"/>
      <c r="QP1248"/>
      <c r="QQ1248"/>
      <c r="QR1248"/>
      <c r="QS1248"/>
      <c r="QT1248"/>
      <c r="QU1248"/>
      <c r="QV1248"/>
      <c r="QW1248"/>
      <c r="QX1248"/>
      <c r="QY1248"/>
      <c r="QZ1248"/>
      <c r="RA1248"/>
      <c r="RB1248"/>
      <c r="RC1248"/>
      <c r="RD1248"/>
      <c r="RE1248"/>
      <c r="RF1248"/>
      <c r="RG1248"/>
      <c r="RH1248"/>
      <c r="RI1248"/>
      <c r="RJ1248"/>
      <c r="RK1248"/>
      <c r="RL1248"/>
      <c r="RM1248"/>
      <c r="RN1248"/>
      <c r="RO1248"/>
      <c r="RP1248"/>
      <c r="RQ1248"/>
      <c r="RR1248"/>
      <c r="RS1248"/>
      <c r="RT1248"/>
      <c r="RU1248"/>
      <c r="RV1248"/>
      <c r="RW1248"/>
      <c r="RX1248"/>
      <c r="RY1248"/>
      <c r="RZ1248"/>
      <c r="SA1248"/>
      <c r="SB1248"/>
      <c r="SC1248"/>
      <c r="SD1248"/>
      <c r="SE1248"/>
      <c r="SF1248"/>
      <c r="SG1248"/>
      <c r="SH1248"/>
      <c r="SI1248"/>
      <c r="SJ1248"/>
      <c r="SK1248"/>
      <c r="SL1248"/>
      <c r="SM1248"/>
      <c r="SN1248"/>
      <c r="SO1248"/>
      <c r="SP1248"/>
      <c r="SQ1248"/>
      <c r="SR1248"/>
      <c r="SS1248"/>
      <c r="ST1248"/>
      <c r="SU1248"/>
      <c r="SV1248"/>
      <c r="SW1248"/>
      <c r="SX1248"/>
      <c r="SY1248"/>
      <c r="SZ1248"/>
      <c r="TA1248"/>
      <c r="TB1248"/>
      <c r="TC1248"/>
      <c r="TD1248"/>
      <c r="TE1248"/>
      <c r="TF1248"/>
      <c r="TG1248"/>
      <c r="TH1248"/>
      <c r="TI1248"/>
      <c r="TJ1248"/>
      <c r="TK1248"/>
      <c r="TL1248"/>
      <c r="TM1248"/>
      <c r="TN1248"/>
      <c r="TO1248"/>
      <c r="TP1248"/>
      <c r="TQ1248"/>
      <c r="TR1248"/>
      <c r="TS1248"/>
      <c r="TT1248"/>
      <c r="TU1248"/>
      <c r="TV1248"/>
      <c r="TW1248"/>
      <c r="TX1248"/>
      <c r="TY1248"/>
      <c r="TZ1248"/>
      <c r="UA1248"/>
      <c r="UB1248"/>
      <c r="UC1248"/>
      <c r="UD1248"/>
      <c r="UE1248"/>
      <c r="UF1248"/>
      <c r="UG1248"/>
      <c r="UH1248"/>
      <c r="UI1248"/>
      <c r="UJ1248"/>
      <c r="UK1248"/>
      <c r="UL1248"/>
      <c r="UM1248"/>
      <c r="UN1248"/>
      <c r="UO1248"/>
      <c r="UP1248"/>
      <c r="UQ1248"/>
      <c r="UR1248"/>
      <c r="US1248"/>
      <c r="UT1248"/>
      <c r="UU1248"/>
      <c r="UV1248"/>
      <c r="UW1248"/>
      <c r="UX1248"/>
      <c r="UY1248"/>
      <c r="UZ1248"/>
      <c r="VA1248"/>
      <c r="VB1248"/>
      <c r="VC1248"/>
      <c r="VD1248"/>
      <c r="VE1248"/>
      <c r="VF1248"/>
      <c r="VG1248"/>
      <c r="VH1248"/>
      <c r="VI1248"/>
      <c r="VJ1248"/>
      <c r="VK1248"/>
      <c r="VL1248"/>
      <c r="VM1248"/>
      <c r="VN1248"/>
      <c r="VO1248"/>
      <c r="VP1248"/>
      <c r="VQ1248"/>
      <c r="VR1248"/>
      <c r="VS1248"/>
      <c r="VT1248"/>
      <c r="VU1248"/>
      <c r="VV1248"/>
      <c r="VW1248"/>
      <c r="VX1248"/>
      <c r="VY1248"/>
      <c r="VZ1248"/>
      <c r="WA1248"/>
      <c r="WB1248"/>
      <c r="WC1248"/>
      <c r="WD1248"/>
      <c r="WE1248"/>
      <c r="WF1248"/>
      <c r="WG1248"/>
      <c r="WH1248"/>
      <c r="WI1248"/>
      <c r="WJ1248"/>
      <c r="WK1248"/>
      <c r="WL1248"/>
      <c r="WM1248"/>
      <c r="WN1248"/>
      <c r="WO1248"/>
      <c r="WP1248"/>
      <c r="WQ1248"/>
      <c r="WR1248"/>
      <c r="WS1248"/>
      <c r="WT1248"/>
      <c r="WU1248"/>
      <c r="WV1248"/>
      <c r="WW1248"/>
      <c r="WX1248"/>
      <c r="WY1248"/>
      <c r="WZ1248"/>
      <c r="XA1248"/>
      <c r="XB1248"/>
      <c r="XC1248"/>
      <c r="XD1248"/>
      <c r="XE1248"/>
      <c r="XF1248"/>
      <c r="XG1248"/>
      <c r="XH1248"/>
      <c r="XI1248"/>
      <c r="XJ1248"/>
      <c r="XK1248"/>
      <c r="XL1248"/>
      <c r="XM1248"/>
      <c r="XN1248"/>
      <c r="XO1248"/>
      <c r="XP1248"/>
      <c r="XQ1248"/>
      <c r="XR1248"/>
      <c r="XS1248"/>
      <c r="XT1248"/>
      <c r="XU1248"/>
      <c r="XV1248"/>
      <c r="XW1248"/>
      <c r="XX1248"/>
      <c r="XY1248"/>
      <c r="XZ1248"/>
      <c r="YA1248"/>
      <c r="YB1248"/>
      <c r="YC1248"/>
      <c r="YD1248"/>
      <c r="YE1248"/>
      <c r="YF1248"/>
      <c r="YG1248"/>
      <c r="YH1248"/>
      <c r="YI1248"/>
      <c r="YJ1248"/>
      <c r="YK1248"/>
      <c r="YL1248"/>
      <c r="YM1248"/>
      <c r="YN1248"/>
      <c r="YO1248"/>
      <c r="YP1248"/>
      <c r="YQ1248"/>
      <c r="YR1248"/>
      <c r="YS1248"/>
      <c r="YT1248"/>
      <c r="YU1248"/>
      <c r="YV1248"/>
      <c r="YW1248"/>
      <c r="YX1248"/>
      <c r="YY1248"/>
      <c r="YZ1248"/>
      <c r="ZA1248"/>
      <c r="ZB1248"/>
      <c r="ZC1248"/>
      <c r="ZD1248"/>
      <c r="ZE1248"/>
      <c r="ZF1248"/>
      <c r="ZG1248"/>
      <c r="ZH1248"/>
      <c r="ZI1248"/>
      <c r="ZJ1248"/>
      <c r="ZK1248"/>
      <c r="ZL1248"/>
      <c r="ZM1248"/>
      <c r="ZN1248"/>
      <c r="ZO1248"/>
      <c r="ZP1248"/>
      <c r="ZQ1248"/>
      <c r="ZR1248"/>
      <c r="ZS1248"/>
      <c r="ZT1248"/>
      <c r="ZU1248"/>
      <c r="ZV1248"/>
      <c r="ZW1248"/>
      <c r="ZX1248"/>
      <c r="ZY1248"/>
      <c r="ZZ1248"/>
      <c r="AAA1248"/>
      <c r="AAB1248"/>
      <c r="AAC1248"/>
      <c r="AAD1248"/>
      <c r="AAE1248"/>
      <c r="AAF1248"/>
      <c r="AAG1248"/>
      <c r="AAH1248"/>
      <c r="AAI1248"/>
      <c r="AAJ1248"/>
      <c r="AAK1248"/>
      <c r="AAL1248"/>
      <c r="AAM1248"/>
      <c r="AAN1248"/>
      <c r="AAO1248"/>
      <c r="AAP1248"/>
      <c r="AAQ1248"/>
      <c r="AAR1248"/>
      <c r="AAS1248"/>
      <c r="AAT1248"/>
      <c r="AAU1248"/>
      <c r="AAV1248"/>
      <c r="AAW1248"/>
      <c r="AAX1248"/>
      <c r="AAY1248"/>
      <c r="AAZ1248"/>
      <c r="ABA1248"/>
      <c r="ABB1248"/>
      <c r="ABC1248"/>
      <c r="ABD1248"/>
      <c r="ABE1248"/>
      <c r="ABF1248"/>
      <c r="ABG1248"/>
      <c r="ABH1248"/>
      <c r="ABI1248"/>
      <c r="ABJ1248"/>
      <c r="ABK1248"/>
      <c r="ABL1248"/>
      <c r="ABM1248"/>
      <c r="ABN1248"/>
      <c r="ABO1248"/>
      <c r="ABP1248"/>
      <c r="ABQ1248"/>
      <c r="ABR1248"/>
      <c r="ABS1248"/>
      <c r="ABT1248"/>
      <c r="ABU1248"/>
      <c r="ABV1248"/>
      <c r="ABW1248"/>
      <c r="ABX1248"/>
      <c r="ABY1248"/>
      <c r="ABZ1248"/>
      <c r="ACA1248"/>
      <c r="ACB1248"/>
      <c r="ACC1248"/>
      <c r="ACD1248"/>
      <c r="ACE1248"/>
      <c r="ACF1248"/>
      <c r="ACG1248"/>
      <c r="ACH1248"/>
      <c r="ACI1248"/>
      <c r="ACJ1248"/>
      <c r="ACK1248"/>
      <c r="ACL1248"/>
      <c r="ACM1248"/>
      <c r="ACN1248"/>
      <c r="ACO1248"/>
      <c r="ACP1248"/>
      <c r="ACQ1248"/>
      <c r="ACR1248"/>
      <c r="ACS1248"/>
      <c r="ACT1248"/>
      <c r="ACU1248"/>
      <c r="ACV1248"/>
      <c r="ACW1248"/>
      <c r="ACX1248"/>
      <c r="ACY1248"/>
      <c r="ACZ1248"/>
      <c r="ADA1248"/>
      <c r="ADB1248"/>
      <c r="ADC1248"/>
      <c r="ADD1248"/>
      <c r="ADE1248"/>
      <c r="ADF1248"/>
      <c r="ADG1248"/>
      <c r="ADH1248"/>
      <c r="ADI1248"/>
      <c r="ADJ1248"/>
      <c r="ADK1248"/>
      <c r="ADL1248"/>
      <c r="ADM1248"/>
      <c r="ADN1248"/>
      <c r="ADO1248"/>
      <c r="ADP1248"/>
      <c r="ADQ1248"/>
      <c r="ADR1248"/>
      <c r="ADS1248"/>
      <c r="ADT1248"/>
      <c r="ADU1248"/>
      <c r="ADV1248"/>
      <c r="ADW1248"/>
      <c r="ADX1248"/>
      <c r="ADY1248"/>
      <c r="ADZ1248"/>
      <c r="AEA1248"/>
      <c r="AEB1248"/>
      <c r="AEC1248"/>
      <c r="AED1248"/>
      <c r="AEE1248"/>
      <c r="AEF1248"/>
      <c r="AEG1248"/>
      <c r="AEH1248"/>
      <c r="AEI1248"/>
      <c r="AEJ1248"/>
      <c r="AEK1248"/>
      <c r="AEL1248"/>
      <c r="AEM1248"/>
      <c r="AEN1248"/>
      <c r="AEO1248"/>
      <c r="AEP1248"/>
      <c r="AEQ1248"/>
      <c r="AER1248"/>
      <c r="AES1248"/>
      <c r="AET1248"/>
      <c r="AEU1248"/>
      <c r="AEV1248"/>
      <c r="AEW1248"/>
      <c r="AEX1248"/>
      <c r="AEY1248"/>
      <c r="AEZ1248"/>
      <c r="AFA1248"/>
      <c r="AFB1248"/>
      <c r="AFC1248"/>
      <c r="AFD1248"/>
      <c r="AFE1248"/>
      <c r="AFF1248"/>
      <c r="AFG1248"/>
      <c r="AFH1248"/>
      <c r="AFI1248"/>
      <c r="AFJ1248"/>
      <c r="AFK1248"/>
      <c r="AFL1248"/>
      <c r="AFM1248"/>
      <c r="AFN1248"/>
      <c r="AFO1248"/>
      <c r="AFP1248"/>
      <c r="AFQ1248"/>
      <c r="AFR1248"/>
      <c r="AFS1248"/>
      <c r="AFT1248"/>
      <c r="AFU1248"/>
      <c r="AFV1248"/>
      <c r="AFW1248"/>
      <c r="AFX1248"/>
      <c r="AFY1248"/>
      <c r="AFZ1248"/>
      <c r="AGA1248"/>
      <c r="AGB1248"/>
      <c r="AGC1248"/>
      <c r="AGD1248"/>
      <c r="AGE1248"/>
      <c r="AGF1248"/>
      <c r="AGG1248"/>
      <c r="AGH1248"/>
      <c r="AGI1248"/>
      <c r="AGJ1248"/>
      <c r="AGK1248"/>
      <c r="AGL1248"/>
      <c r="AGM1248"/>
      <c r="AGN1248"/>
      <c r="AGO1248"/>
      <c r="AGP1248"/>
      <c r="AGQ1248"/>
      <c r="AGR1248"/>
      <c r="AGS1248"/>
      <c r="AGT1248"/>
      <c r="AGU1248"/>
      <c r="AGV1248"/>
      <c r="AGW1248"/>
      <c r="AGX1248"/>
      <c r="AGY1248"/>
      <c r="AGZ1248"/>
      <c r="AHA1248"/>
      <c r="AHB1248"/>
      <c r="AHC1248"/>
      <c r="AHD1248"/>
      <c r="AHE1248"/>
      <c r="AHF1248"/>
      <c r="AHG1248"/>
      <c r="AHH1248"/>
      <c r="AHI1248"/>
      <c r="AHJ1248"/>
      <c r="AHK1248"/>
      <c r="AHL1248"/>
      <c r="AHM1248"/>
      <c r="AHN1248"/>
      <c r="AHO1248"/>
      <c r="AHP1248"/>
      <c r="AHQ1248"/>
      <c r="AHR1248"/>
      <c r="AHS1248"/>
      <c r="AHT1248"/>
      <c r="AHU1248"/>
      <c r="AHV1248"/>
      <c r="AHW1248"/>
      <c r="AHX1248"/>
      <c r="AHY1248"/>
      <c r="AHZ1248"/>
      <c r="AIA1248"/>
      <c r="AIB1248"/>
      <c r="AIC1248"/>
      <c r="AID1248"/>
      <c r="AIE1248"/>
      <c r="AIF1248"/>
      <c r="AIG1248"/>
      <c r="AIH1248"/>
      <c r="AII1248"/>
      <c r="AIJ1248"/>
      <c r="AIK1248"/>
      <c r="AIL1248"/>
      <c r="AIM1248"/>
      <c r="AIN1248"/>
      <c r="AIO1248"/>
      <c r="AIP1248"/>
      <c r="AIQ1248"/>
      <c r="AIR1248"/>
      <c r="AIS1248"/>
      <c r="AIT1248"/>
      <c r="AIU1248"/>
      <c r="AIV1248"/>
      <c r="AIW1248"/>
      <c r="AIX1248"/>
      <c r="AIY1248"/>
      <c r="AIZ1248"/>
      <c r="AJA1248"/>
      <c r="AJB1248"/>
      <c r="AJC1248"/>
      <c r="AJD1248"/>
      <c r="AJE1248"/>
      <c r="AJF1248"/>
      <c r="AJG1248"/>
      <c r="AJH1248"/>
      <c r="AJI1248"/>
      <c r="AJJ1248"/>
      <c r="AJK1248"/>
      <c r="AJL1248"/>
      <c r="AJM1248"/>
      <c r="AJN1248"/>
      <c r="AJO1248"/>
      <c r="AJP1248"/>
      <c r="AJQ1248"/>
      <c r="AJR1248"/>
      <c r="AJS1248"/>
      <c r="AJT1248"/>
      <c r="AJU1248"/>
      <c r="AJV1248"/>
      <c r="AJW1248"/>
      <c r="AJX1248"/>
      <c r="AJY1248"/>
      <c r="AJZ1248"/>
      <c r="AKA1248"/>
      <c r="AKB1248"/>
      <c r="AKC1248"/>
      <c r="AKD1248"/>
      <c r="AKE1248"/>
      <c r="AKF1248"/>
      <c r="AKG1248"/>
      <c r="AKH1248"/>
      <c r="AKI1248"/>
      <c r="AKJ1248"/>
      <c r="AKK1248"/>
      <c r="AKL1248"/>
      <c r="AKM1248"/>
      <c r="AKN1248"/>
      <c r="AKO1248"/>
      <c r="AKP1248"/>
      <c r="AKQ1248"/>
      <c r="AKR1248"/>
      <c r="AKS1248"/>
      <c r="AKT1248"/>
      <c r="AKU1248"/>
      <c r="AKV1248"/>
      <c r="AKW1248"/>
      <c r="AKX1248"/>
      <c r="AKY1248"/>
      <c r="AKZ1248"/>
      <c r="ALA1248"/>
      <c r="ALB1248"/>
      <c r="ALC1248"/>
      <c r="ALD1248"/>
      <c r="ALE1248"/>
      <c r="ALF1248"/>
      <c r="ALG1248"/>
      <c r="ALH1248"/>
      <c r="ALI1248"/>
      <c r="ALJ1248"/>
      <c r="ALK1248"/>
      <c r="ALL1248"/>
      <c r="ALM1248"/>
      <c r="ALN1248"/>
      <c r="ALO1248"/>
      <c r="ALP1248"/>
      <c r="ALQ1248"/>
      <c r="ALR1248"/>
      <c r="ALS1248"/>
      <c r="ALT1248"/>
    </row>
    <row r="1249" spans="1:1008" ht="14">
      <c r="A1249" s="28" t="s">
        <v>3925</v>
      </c>
      <c r="B1249" s="26" t="s">
        <v>3992</v>
      </c>
      <c r="C1249" s="28" t="s">
        <v>3925</v>
      </c>
      <c r="D1249" s="25" t="s">
        <v>13</v>
      </c>
      <c r="E1249" s="28" t="s">
        <v>3925</v>
      </c>
      <c r="F1249" s="28" t="s">
        <v>3926</v>
      </c>
      <c r="G1249" s="28">
        <v>650</v>
      </c>
      <c r="H1249" s="28"/>
      <c r="I1249"/>
      <c r="J1249"/>
      <c r="K1249"/>
      <c r="L1249"/>
      <c r="M1249"/>
      <c r="N1249"/>
      <c r="O1249"/>
      <c r="P1249"/>
      <c r="Q1249"/>
      <c r="R1249"/>
      <c r="S1249"/>
      <c r="T1249"/>
      <c r="U1249"/>
      <c r="V1249"/>
      <c r="W1249"/>
      <c r="X1249"/>
      <c r="Y1249"/>
      <c r="Z1249"/>
      <c r="AA1249"/>
      <c r="AB1249"/>
      <c r="AC1249"/>
      <c r="AD1249"/>
      <c r="AE1249"/>
      <c r="AF1249"/>
      <c r="AG1249"/>
      <c r="AH1249"/>
      <c r="AI1249"/>
      <c r="AJ1249"/>
      <c r="AK1249"/>
      <c r="AL1249"/>
      <c r="AM1249"/>
      <c r="AN1249"/>
      <c r="AO1249"/>
      <c r="AP1249"/>
      <c r="AQ1249"/>
      <c r="AR1249"/>
      <c r="AS1249"/>
      <c r="AT1249"/>
      <c r="AU1249"/>
      <c r="AV1249"/>
      <c r="AW1249"/>
      <c r="AX1249"/>
      <c r="AY1249"/>
      <c r="AZ1249"/>
      <c r="BA1249"/>
      <c r="BB1249"/>
      <c r="BC1249"/>
      <c r="BD1249"/>
      <c r="BE1249"/>
      <c r="BF1249"/>
      <c r="BG1249"/>
      <c r="BH1249"/>
      <c r="BI1249"/>
      <c r="BJ1249"/>
      <c r="BK1249"/>
      <c r="BL1249"/>
      <c r="BM1249"/>
      <c r="BN1249"/>
      <c r="BO1249"/>
      <c r="BP1249"/>
      <c r="BQ1249"/>
      <c r="BR1249"/>
      <c r="BS1249"/>
      <c r="BT1249"/>
      <c r="BU1249"/>
      <c r="BV1249"/>
      <c r="BW1249"/>
      <c r="BX1249"/>
      <c r="BY1249"/>
      <c r="BZ1249"/>
      <c r="CA1249"/>
      <c r="CB1249"/>
      <c r="CC1249"/>
      <c r="CD1249"/>
      <c r="CE1249"/>
      <c r="CF1249"/>
      <c r="CG1249"/>
      <c r="CH1249"/>
      <c r="CI1249"/>
      <c r="CJ1249"/>
      <c r="CK1249"/>
      <c r="CL1249"/>
      <c r="CM1249"/>
      <c r="CN1249"/>
      <c r="CO1249"/>
      <c r="CP1249"/>
      <c r="CQ1249"/>
      <c r="CR1249"/>
      <c r="CS1249"/>
      <c r="CT1249"/>
      <c r="CU1249"/>
      <c r="CV1249"/>
      <c r="CW1249"/>
      <c r="CX1249"/>
      <c r="CY1249"/>
      <c r="CZ1249"/>
      <c r="DA1249"/>
      <c r="DB1249"/>
      <c r="DC1249"/>
      <c r="DD1249"/>
      <c r="DE1249"/>
      <c r="DF1249"/>
      <c r="DG1249"/>
      <c r="DH1249"/>
      <c r="DI1249"/>
      <c r="DJ1249"/>
      <c r="DK1249"/>
      <c r="DL1249"/>
      <c r="DM1249"/>
      <c r="DN1249"/>
      <c r="DO1249"/>
      <c r="DP1249"/>
      <c r="DQ1249"/>
      <c r="DR1249"/>
      <c r="DS1249"/>
      <c r="DT1249"/>
      <c r="DU1249"/>
      <c r="DV1249"/>
      <c r="DW1249"/>
      <c r="DX1249"/>
      <c r="DY1249"/>
      <c r="DZ1249"/>
      <c r="EA1249"/>
      <c r="EB1249"/>
      <c r="EC1249"/>
      <c r="ED1249"/>
      <c r="EE1249"/>
      <c r="EF1249"/>
      <c r="EG1249"/>
      <c r="EH1249"/>
      <c r="EI1249"/>
      <c r="EJ1249"/>
      <c r="EK1249"/>
      <c r="EL1249"/>
      <c r="EM1249"/>
      <c r="EN1249"/>
      <c r="EO1249"/>
      <c r="EP1249"/>
      <c r="EQ1249"/>
      <c r="ER1249"/>
      <c r="ES1249"/>
      <c r="ET1249"/>
      <c r="EU1249"/>
      <c r="EV1249"/>
      <c r="EW1249"/>
      <c r="EX1249"/>
      <c r="EY1249"/>
      <c r="EZ1249"/>
      <c r="FA1249"/>
      <c r="FB1249"/>
      <c r="FC1249"/>
      <c r="FD1249"/>
      <c r="FE1249"/>
      <c r="FF1249"/>
      <c r="FG1249"/>
      <c r="FH1249"/>
      <c r="FI1249"/>
      <c r="FJ1249"/>
      <c r="FK1249"/>
      <c r="FL1249"/>
      <c r="FM1249"/>
      <c r="FN1249"/>
      <c r="FO1249"/>
      <c r="FP1249"/>
      <c r="FQ1249"/>
      <c r="FR1249"/>
      <c r="FS1249"/>
      <c r="FT1249"/>
      <c r="FU1249"/>
      <c r="FV1249"/>
      <c r="FW1249"/>
      <c r="FX1249"/>
      <c r="FY1249"/>
      <c r="FZ1249"/>
      <c r="GA1249"/>
      <c r="GB1249"/>
      <c r="GC1249"/>
      <c r="GD1249"/>
      <c r="GE1249"/>
      <c r="GF1249"/>
      <c r="GG1249"/>
      <c r="GH1249"/>
      <c r="GI1249"/>
      <c r="GJ1249"/>
      <c r="GK1249"/>
      <c r="GL1249"/>
      <c r="GM1249"/>
      <c r="GN1249"/>
      <c r="GO1249"/>
      <c r="GP1249"/>
      <c r="GQ1249"/>
      <c r="GR1249"/>
      <c r="GS1249"/>
      <c r="GT1249"/>
      <c r="GU1249"/>
      <c r="GV1249"/>
      <c r="GW1249"/>
      <c r="GX1249"/>
      <c r="GY1249"/>
      <c r="GZ1249"/>
      <c r="HA1249"/>
      <c r="HB1249"/>
      <c r="HC1249"/>
      <c r="HD1249"/>
      <c r="HE1249"/>
      <c r="HF1249"/>
      <c r="HG1249"/>
      <c r="HH1249"/>
      <c r="HI1249"/>
      <c r="HJ1249"/>
      <c r="HK1249"/>
      <c r="HL1249"/>
      <c r="HM1249"/>
      <c r="HN1249"/>
      <c r="HO1249"/>
      <c r="HP1249"/>
      <c r="HQ1249"/>
      <c r="HR1249"/>
      <c r="HS1249"/>
      <c r="HT1249"/>
      <c r="HU1249"/>
      <c r="HV1249"/>
      <c r="HW1249"/>
      <c r="HX1249"/>
      <c r="HY1249"/>
      <c r="HZ1249"/>
      <c r="IA1249"/>
      <c r="IB1249"/>
      <c r="IC1249"/>
      <c r="ID1249"/>
      <c r="IE1249"/>
      <c r="IF1249"/>
      <c r="IG1249"/>
      <c r="IH1249"/>
      <c r="II1249"/>
      <c r="IJ1249"/>
      <c r="IK1249"/>
      <c r="IL1249"/>
      <c r="IM1249"/>
      <c r="IN1249"/>
      <c r="IO1249"/>
      <c r="IP1249"/>
      <c r="IQ1249"/>
      <c r="IR1249"/>
      <c r="IS1249"/>
      <c r="IT1249"/>
      <c r="IU1249"/>
      <c r="IV1249"/>
      <c r="IW1249"/>
      <c r="IX1249"/>
      <c r="IY1249"/>
      <c r="IZ1249"/>
      <c r="JA1249"/>
      <c r="JB1249"/>
      <c r="JC1249"/>
      <c r="JD1249"/>
      <c r="JE1249"/>
      <c r="JF1249"/>
      <c r="JG1249"/>
      <c r="JH1249"/>
      <c r="JI1249"/>
      <c r="JJ1249"/>
      <c r="JK1249"/>
      <c r="JL1249"/>
      <c r="JM1249"/>
      <c r="JN1249"/>
      <c r="JO1249"/>
      <c r="JP1249"/>
      <c r="JQ1249"/>
      <c r="JR1249"/>
      <c r="JS1249"/>
      <c r="JT1249"/>
      <c r="JU1249"/>
      <c r="JV1249"/>
      <c r="JW1249"/>
      <c r="JX1249"/>
      <c r="JY1249"/>
      <c r="JZ1249"/>
      <c r="KA1249"/>
      <c r="KB1249"/>
      <c r="KC1249"/>
      <c r="KD1249"/>
      <c r="KE1249"/>
      <c r="KF1249"/>
      <c r="KG1249"/>
      <c r="KH1249"/>
      <c r="KI1249"/>
      <c r="KJ1249"/>
      <c r="KK1249"/>
      <c r="KL1249"/>
      <c r="KM1249"/>
      <c r="KN1249"/>
      <c r="KO1249"/>
      <c r="KP1249"/>
      <c r="KQ1249"/>
      <c r="KR1249"/>
      <c r="KS1249"/>
      <c r="KT1249"/>
      <c r="KU1249"/>
      <c r="KV1249"/>
      <c r="KW1249"/>
      <c r="KX1249"/>
      <c r="KY1249"/>
      <c r="KZ1249"/>
      <c r="LA1249"/>
      <c r="LB1249"/>
      <c r="LC1249"/>
      <c r="LD1249"/>
      <c r="LE1249"/>
      <c r="LF1249"/>
      <c r="LG1249"/>
      <c r="LH1249"/>
      <c r="LI1249"/>
      <c r="LJ1249"/>
      <c r="LK1249"/>
      <c r="LL1249"/>
      <c r="LM1249"/>
      <c r="LN1249"/>
      <c r="LO1249"/>
      <c r="LP1249"/>
      <c r="LQ1249"/>
      <c r="LR1249"/>
      <c r="LS1249"/>
      <c r="LT1249"/>
      <c r="LU1249"/>
      <c r="LV1249"/>
      <c r="LW1249"/>
      <c r="LX1249"/>
      <c r="LY1249"/>
      <c r="LZ1249"/>
      <c r="MA1249"/>
      <c r="MB1249"/>
      <c r="MC1249"/>
      <c r="MD1249"/>
      <c r="ME1249"/>
      <c r="MF1249"/>
      <c r="MG1249"/>
      <c r="MH1249"/>
      <c r="MI1249"/>
      <c r="MJ1249"/>
      <c r="MK1249"/>
      <c r="ML1249"/>
      <c r="MM1249"/>
      <c r="MN1249"/>
      <c r="MO1249"/>
      <c r="MP1249"/>
      <c r="MQ1249"/>
      <c r="MR1249"/>
      <c r="MS1249"/>
      <c r="MT1249"/>
      <c r="MU1249"/>
      <c r="MV1249"/>
      <c r="MW1249"/>
      <c r="MX1249"/>
      <c r="MY1249"/>
      <c r="MZ1249"/>
      <c r="NA1249"/>
      <c r="NB1249"/>
      <c r="NC1249"/>
      <c r="ND1249"/>
      <c r="NE1249"/>
      <c r="NF1249"/>
      <c r="NG1249"/>
      <c r="NH1249"/>
      <c r="NI1249"/>
      <c r="NJ1249"/>
      <c r="NK1249"/>
      <c r="NL1249"/>
      <c r="NM1249"/>
      <c r="NN1249"/>
      <c r="NO1249"/>
      <c r="NP1249"/>
      <c r="NQ1249"/>
      <c r="NR1249"/>
      <c r="NS1249"/>
      <c r="NT1249"/>
      <c r="NU1249"/>
      <c r="NV1249"/>
      <c r="NW1249"/>
      <c r="NX1249"/>
      <c r="NY1249"/>
      <c r="NZ1249"/>
      <c r="OA1249"/>
      <c r="OB1249"/>
      <c r="OC1249"/>
      <c r="OD1249"/>
      <c r="OE1249"/>
      <c r="OF1249"/>
      <c r="OG1249"/>
      <c r="OH1249"/>
      <c r="OI1249"/>
      <c r="OJ1249"/>
      <c r="OK1249"/>
      <c r="OL1249"/>
      <c r="OM1249"/>
      <c r="ON1249"/>
      <c r="OO1249"/>
      <c r="OP1249"/>
      <c r="OQ1249"/>
      <c r="OR1249"/>
      <c r="OS1249"/>
      <c r="OT1249"/>
      <c r="OU1249"/>
      <c r="OV1249"/>
      <c r="OW1249"/>
      <c r="OX1249"/>
      <c r="OY1249"/>
      <c r="OZ1249"/>
      <c r="PA1249"/>
      <c r="PB1249"/>
      <c r="PC1249"/>
      <c r="PD1249"/>
      <c r="PE1249"/>
      <c r="PF1249"/>
      <c r="PG1249"/>
      <c r="PH1249"/>
      <c r="PI1249"/>
      <c r="PJ1249"/>
      <c r="PK1249"/>
      <c r="PL1249"/>
      <c r="PM1249"/>
      <c r="PN1249"/>
      <c r="PO1249"/>
      <c r="PP1249"/>
      <c r="PQ1249"/>
      <c r="PR1249"/>
      <c r="PS1249"/>
      <c r="PT1249"/>
      <c r="PU1249"/>
      <c r="PV1249"/>
      <c r="PW1249"/>
      <c r="PX1249"/>
      <c r="PY1249"/>
      <c r="PZ1249"/>
      <c r="QA1249"/>
      <c r="QB1249"/>
      <c r="QC1249"/>
      <c r="QD1249"/>
      <c r="QE1249"/>
      <c r="QF1249"/>
      <c r="QG1249"/>
      <c r="QH1249"/>
      <c r="QI1249"/>
      <c r="QJ1249"/>
      <c r="QK1249"/>
      <c r="QL1249"/>
      <c r="QM1249"/>
      <c r="QN1249"/>
      <c r="QO1249"/>
      <c r="QP1249"/>
      <c r="QQ1249"/>
      <c r="QR1249"/>
      <c r="QS1249"/>
      <c r="QT1249"/>
      <c r="QU1249"/>
      <c r="QV1249"/>
      <c r="QW1249"/>
      <c r="QX1249"/>
      <c r="QY1249"/>
      <c r="QZ1249"/>
      <c r="RA1249"/>
      <c r="RB1249"/>
      <c r="RC1249"/>
      <c r="RD1249"/>
      <c r="RE1249"/>
      <c r="RF1249"/>
      <c r="RG1249"/>
      <c r="RH1249"/>
      <c r="RI1249"/>
      <c r="RJ1249"/>
      <c r="RK1249"/>
      <c r="RL1249"/>
      <c r="RM1249"/>
      <c r="RN1249"/>
      <c r="RO1249"/>
      <c r="RP1249"/>
      <c r="RQ1249"/>
      <c r="RR1249"/>
      <c r="RS1249"/>
      <c r="RT1249"/>
      <c r="RU1249"/>
      <c r="RV1249"/>
      <c r="RW1249"/>
      <c r="RX1249"/>
      <c r="RY1249"/>
      <c r="RZ1249"/>
      <c r="SA1249"/>
      <c r="SB1249"/>
      <c r="SC1249"/>
      <c r="SD1249"/>
      <c r="SE1249"/>
      <c r="SF1249"/>
      <c r="SG1249"/>
      <c r="SH1249"/>
      <c r="SI1249"/>
      <c r="SJ1249"/>
      <c r="SK1249"/>
      <c r="SL1249"/>
      <c r="SM1249"/>
      <c r="SN1249"/>
      <c r="SO1249"/>
      <c r="SP1249"/>
      <c r="SQ1249"/>
      <c r="SR1249"/>
      <c r="SS1249"/>
      <c r="ST1249"/>
      <c r="SU1249"/>
      <c r="SV1249"/>
      <c r="SW1249"/>
      <c r="SX1249"/>
      <c r="SY1249"/>
      <c r="SZ1249"/>
      <c r="TA1249"/>
      <c r="TB1249"/>
      <c r="TC1249"/>
      <c r="TD1249"/>
      <c r="TE1249"/>
      <c r="TF1249"/>
      <c r="TG1249"/>
      <c r="TH1249"/>
      <c r="TI1249"/>
      <c r="TJ1249"/>
      <c r="TK1249"/>
      <c r="TL1249"/>
      <c r="TM1249"/>
      <c r="TN1249"/>
      <c r="TO1249"/>
      <c r="TP1249"/>
      <c r="TQ1249"/>
      <c r="TR1249"/>
      <c r="TS1249"/>
      <c r="TT1249"/>
      <c r="TU1249"/>
      <c r="TV1249"/>
      <c r="TW1249"/>
      <c r="TX1249"/>
      <c r="TY1249"/>
      <c r="TZ1249"/>
      <c r="UA1249"/>
      <c r="UB1249"/>
      <c r="UC1249"/>
      <c r="UD1249"/>
      <c r="UE1249"/>
      <c r="UF1249"/>
      <c r="UG1249"/>
      <c r="UH1249"/>
      <c r="UI1249"/>
      <c r="UJ1249"/>
      <c r="UK1249"/>
      <c r="UL1249"/>
      <c r="UM1249"/>
      <c r="UN1249"/>
      <c r="UO1249"/>
      <c r="UP1249"/>
      <c r="UQ1249"/>
      <c r="UR1249"/>
      <c r="US1249"/>
      <c r="UT1249"/>
      <c r="UU1249"/>
      <c r="UV1249"/>
      <c r="UW1249"/>
      <c r="UX1249"/>
      <c r="UY1249"/>
      <c r="UZ1249"/>
      <c r="VA1249"/>
      <c r="VB1249"/>
      <c r="VC1249"/>
      <c r="VD1249"/>
      <c r="VE1249"/>
      <c r="VF1249"/>
      <c r="VG1249"/>
      <c r="VH1249"/>
      <c r="VI1249"/>
      <c r="VJ1249"/>
      <c r="VK1249"/>
      <c r="VL1249"/>
      <c r="VM1249"/>
      <c r="VN1249"/>
      <c r="VO1249"/>
      <c r="VP1249"/>
      <c r="VQ1249"/>
      <c r="VR1249"/>
      <c r="VS1249"/>
      <c r="VT1249"/>
      <c r="VU1249"/>
      <c r="VV1249"/>
      <c r="VW1249"/>
      <c r="VX1249"/>
      <c r="VY1249"/>
      <c r="VZ1249"/>
      <c r="WA1249"/>
      <c r="WB1249"/>
      <c r="WC1249"/>
      <c r="WD1249"/>
      <c r="WE1249"/>
      <c r="WF1249"/>
      <c r="WG1249"/>
      <c r="WH1249"/>
      <c r="WI1249"/>
      <c r="WJ1249"/>
      <c r="WK1249"/>
      <c r="WL1249"/>
      <c r="WM1249"/>
      <c r="WN1249"/>
      <c r="WO1249"/>
      <c r="WP1249"/>
      <c r="WQ1249"/>
      <c r="WR1249"/>
      <c r="WS1249"/>
      <c r="WT1249"/>
      <c r="WU1249"/>
      <c r="WV1249"/>
      <c r="WW1249"/>
      <c r="WX1249"/>
      <c r="WY1249"/>
      <c r="WZ1249"/>
      <c r="XA1249"/>
      <c r="XB1249"/>
      <c r="XC1249"/>
      <c r="XD1249"/>
      <c r="XE1249"/>
      <c r="XF1249"/>
      <c r="XG1249"/>
      <c r="XH1249"/>
      <c r="XI1249"/>
      <c r="XJ1249"/>
      <c r="XK1249"/>
      <c r="XL1249"/>
      <c r="XM1249"/>
      <c r="XN1249"/>
      <c r="XO1249"/>
      <c r="XP1249"/>
      <c r="XQ1249"/>
      <c r="XR1249"/>
      <c r="XS1249"/>
      <c r="XT1249"/>
      <c r="XU1249"/>
      <c r="XV1249"/>
      <c r="XW1249"/>
      <c r="XX1249"/>
      <c r="XY1249"/>
      <c r="XZ1249"/>
      <c r="YA1249"/>
      <c r="YB1249"/>
      <c r="YC1249"/>
      <c r="YD1249"/>
      <c r="YE1249"/>
      <c r="YF1249"/>
      <c r="YG1249"/>
      <c r="YH1249"/>
      <c r="YI1249"/>
      <c r="YJ1249"/>
      <c r="YK1249"/>
      <c r="YL1249"/>
      <c r="YM1249"/>
      <c r="YN1249"/>
      <c r="YO1249"/>
      <c r="YP1249"/>
      <c r="YQ1249"/>
      <c r="YR1249"/>
      <c r="YS1249"/>
      <c r="YT1249"/>
      <c r="YU1249"/>
      <c r="YV1249"/>
      <c r="YW1249"/>
      <c r="YX1249"/>
      <c r="YY1249"/>
      <c r="YZ1249"/>
      <c r="ZA1249"/>
      <c r="ZB1249"/>
      <c r="ZC1249"/>
      <c r="ZD1249"/>
      <c r="ZE1249"/>
      <c r="ZF1249"/>
      <c r="ZG1249"/>
      <c r="ZH1249"/>
      <c r="ZI1249"/>
      <c r="ZJ1249"/>
      <c r="ZK1249"/>
      <c r="ZL1249"/>
      <c r="ZM1249"/>
      <c r="ZN1249"/>
      <c r="ZO1249"/>
      <c r="ZP1249"/>
      <c r="ZQ1249"/>
      <c r="ZR1249"/>
      <c r="ZS1249"/>
      <c r="ZT1249"/>
      <c r="ZU1249"/>
      <c r="ZV1249"/>
      <c r="ZW1249"/>
      <c r="ZX1249"/>
      <c r="ZY1249"/>
      <c r="ZZ1249"/>
      <c r="AAA1249"/>
      <c r="AAB1249"/>
      <c r="AAC1249"/>
      <c r="AAD1249"/>
      <c r="AAE1249"/>
      <c r="AAF1249"/>
      <c r="AAG1249"/>
      <c r="AAH1249"/>
      <c r="AAI1249"/>
      <c r="AAJ1249"/>
      <c r="AAK1249"/>
      <c r="AAL1249"/>
      <c r="AAM1249"/>
      <c r="AAN1249"/>
      <c r="AAO1249"/>
      <c r="AAP1249"/>
      <c r="AAQ1249"/>
      <c r="AAR1249"/>
      <c r="AAS1249"/>
      <c r="AAT1249"/>
      <c r="AAU1249"/>
      <c r="AAV1249"/>
      <c r="AAW1249"/>
      <c r="AAX1249"/>
      <c r="AAY1249"/>
      <c r="AAZ1249"/>
      <c r="ABA1249"/>
      <c r="ABB1249"/>
      <c r="ABC1249"/>
      <c r="ABD1249"/>
      <c r="ABE1249"/>
      <c r="ABF1249"/>
      <c r="ABG1249"/>
      <c r="ABH1249"/>
      <c r="ABI1249"/>
      <c r="ABJ1249"/>
      <c r="ABK1249"/>
      <c r="ABL1249"/>
      <c r="ABM1249"/>
      <c r="ABN1249"/>
      <c r="ABO1249"/>
      <c r="ABP1249"/>
      <c r="ABQ1249"/>
      <c r="ABR1249"/>
      <c r="ABS1249"/>
      <c r="ABT1249"/>
      <c r="ABU1249"/>
      <c r="ABV1249"/>
      <c r="ABW1249"/>
      <c r="ABX1249"/>
      <c r="ABY1249"/>
      <c r="ABZ1249"/>
      <c r="ACA1249"/>
      <c r="ACB1249"/>
      <c r="ACC1249"/>
      <c r="ACD1249"/>
      <c r="ACE1249"/>
      <c r="ACF1249"/>
      <c r="ACG1249"/>
      <c r="ACH1249"/>
      <c r="ACI1249"/>
      <c r="ACJ1249"/>
      <c r="ACK1249"/>
      <c r="ACL1249"/>
      <c r="ACM1249"/>
      <c r="ACN1249"/>
      <c r="ACO1249"/>
      <c r="ACP1249"/>
      <c r="ACQ1249"/>
      <c r="ACR1249"/>
      <c r="ACS1249"/>
      <c r="ACT1249"/>
      <c r="ACU1249"/>
      <c r="ACV1249"/>
      <c r="ACW1249"/>
      <c r="ACX1249"/>
      <c r="ACY1249"/>
      <c r="ACZ1249"/>
      <c r="ADA1249"/>
      <c r="ADB1249"/>
      <c r="ADC1249"/>
      <c r="ADD1249"/>
      <c r="ADE1249"/>
      <c r="ADF1249"/>
      <c r="ADG1249"/>
      <c r="ADH1249"/>
      <c r="ADI1249"/>
      <c r="ADJ1249"/>
      <c r="ADK1249"/>
      <c r="ADL1249"/>
      <c r="ADM1249"/>
      <c r="ADN1249"/>
      <c r="ADO1249"/>
      <c r="ADP1249"/>
      <c r="ADQ1249"/>
      <c r="ADR1249"/>
      <c r="ADS1249"/>
      <c r="ADT1249"/>
      <c r="ADU1249"/>
      <c r="ADV1249"/>
      <c r="ADW1249"/>
      <c r="ADX1249"/>
      <c r="ADY1249"/>
      <c r="ADZ1249"/>
      <c r="AEA1249"/>
      <c r="AEB1249"/>
      <c r="AEC1249"/>
      <c r="AED1249"/>
      <c r="AEE1249"/>
      <c r="AEF1249"/>
      <c r="AEG1249"/>
      <c r="AEH1249"/>
      <c r="AEI1249"/>
      <c r="AEJ1249"/>
      <c r="AEK1249"/>
      <c r="AEL1249"/>
      <c r="AEM1249"/>
      <c r="AEN1249"/>
      <c r="AEO1249"/>
      <c r="AEP1249"/>
      <c r="AEQ1249"/>
      <c r="AER1249"/>
      <c r="AES1249"/>
      <c r="AET1249"/>
      <c r="AEU1249"/>
      <c r="AEV1249"/>
      <c r="AEW1249"/>
      <c r="AEX1249"/>
      <c r="AEY1249"/>
      <c r="AEZ1249"/>
      <c r="AFA1249"/>
      <c r="AFB1249"/>
      <c r="AFC1249"/>
      <c r="AFD1249"/>
      <c r="AFE1249"/>
      <c r="AFF1249"/>
      <c r="AFG1249"/>
      <c r="AFH1249"/>
      <c r="AFI1249"/>
      <c r="AFJ1249"/>
      <c r="AFK1249"/>
      <c r="AFL1249"/>
      <c r="AFM1249"/>
      <c r="AFN1249"/>
      <c r="AFO1249"/>
      <c r="AFP1249"/>
      <c r="AFQ1249"/>
      <c r="AFR1249"/>
      <c r="AFS1249"/>
      <c r="AFT1249"/>
      <c r="AFU1249"/>
      <c r="AFV1249"/>
      <c r="AFW1249"/>
      <c r="AFX1249"/>
      <c r="AFY1249"/>
      <c r="AFZ1249"/>
      <c r="AGA1249"/>
      <c r="AGB1249"/>
      <c r="AGC1249"/>
      <c r="AGD1249"/>
      <c r="AGE1249"/>
      <c r="AGF1249"/>
      <c r="AGG1249"/>
      <c r="AGH1249"/>
      <c r="AGI1249"/>
      <c r="AGJ1249"/>
      <c r="AGK1249"/>
      <c r="AGL1249"/>
      <c r="AGM1249"/>
      <c r="AGN1249"/>
      <c r="AGO1249"/>
      <c r="AGP1249"/>
      <c r="AGQ1249"/>
      <c r="AGR1249"/>
      <c r="AGS1249"/>
      <c r="AGT1249"/>
      <c r="AGU1249"/>
      <c r="AGV1249"/>
      <c r="AGW1249"/>
      <c r="AGX1249"/>
      <c r="AGY1249"/>
      <c r="AGZ1249"/>
      <c r="AHA1249"/>
      <c r="AHB1249"/>
      <c r="AHC1249"/>
      <c r="AHD1249"/>
      <c r="AHE1249"/>
      <c r="AHF1249"/>
      <c r="AHG1249"/>
      <c r="AHH1249"/>
      <c r="AHI1249"/>
      <c r="AHJ1249"/>
      <c r="AHK1249"/>
      <c r="AHL1249"/>
      <c r="AHM1249"/>
      <c r="AHN1249"/>
      <c r="AHO1249"/>
      <c r="AHP1249"/>
      <c r="AHQ1249"/>
      <c r="AHR1249"/>
      <c r="AHS1249"/>
      <c r="AHT1249"/>
      <c r="AHU1249"/>
      <c r="AHV1249"/>
      <c r="AHW1249"/>
      <c r="AHX1249"/>
      <c r="AHY1249"/>
      <c r="AHZ1249"/>
      <c r="AIA1249"/>
      <c r="AIB1249"/>
      <c r="AIC1249"/>
      <c r="AID1249"/>
      <c r="AIE1249"/>
      <c r="AIF1249"/>
      <c r="AIG1249"/>
      <c r="AIH1249"/>
      <c r="AII1249"/>
      <c r="AIJ1249"/>
      <c r="AIK1249"/>
      <c r="AIL1249"/>
      <c r="AIM1249"/>
      <c r="AIN1249"/>
      <c r="AIO1249"/>
      <c r="AIP1249"/>
      <c r="AIQ1249"/>
      <c r="AIR1249"/>
      <c r="AIS1249"/>
      <c r="AIT1249"/>
      <c r="AIU1249"/>
      <c r="AIV1249"/>
      <c r="AIW1249"/>
      <c r="AIX1249"/>
      <c r="AIY1249"/>
      <c r="AIZ1249"/>
      <c r="AJA1249"/>
      <c r="AJB1249"/>
      <c r="AJC1249"/>
      <c r="AJD1249"/>
      <c r="AJE1249"/>
      <c r="AJF1249"/>
      <c r="AJG1249"/>
      <c r="AJH1249"/>
      <c r="AJI1249"/>
      <c r="AJJ1249"/>
      <c r="AJK1249"/>
      <c r="AJL1249"/>
      <c r="AJM1249"/>
      <c r="AJN1249"/>
      <c r="AJO1249"/>
      <c r="AJP1249"/>
      <c r="AJQ1249"/>
      <c r="AJR1249"/>
      <c r="AJS1249"/>
      <c r="AJT1249"/>
      <c r="AJU1249"/>
      <c r="AJV1249"/>
      <c r="AJW1249"/>
      <c r="AJX1249"/>
      <c r="AJY1249"/>
      <c r="AJZ1249"/>
      <c r="AKA1249"/>
      <c r="AKB1249"/>
      <c r="AKC1249"/>
      <c r="AKD1249"/>
      <c r="AKE1249"/>
      <c r="AKF1249"/>
      <c r="AKG1249"/>
      <c r="AKH1249"/>
      <c r="AKI1249"/>
      <c r="AKJ1249"/>
      <c r="AKK1249"/>
      <c r="AKL1249"/>
      <c r="AKM1249"/>
      <c r="AKN1249"/>
      <c r="AKO1249"/>
      <c r="AKP1249"/>
      <c r="AKQ1249"/>
      <c r="AKR1249"/>
      <c r="AKS1249"/>
      <c r="AKT1249"/>
      <c r="AKU1249"/>
      <c r="AKV1249"/>
      <c r="AKW1249"/>
      <c r="AKX1249"/>
      <c r="AKY1249"/>
      <c r="AKZ1249"/>
      <c r="ALA1249"/>
      <c r="ALB1249"/>
      <c r="ALC1249"/>
      <c r="ALD1249"/>
      <c r="ALE1249"/>
      <c r="ALF1249"/>
      <c r="ALG1249"/>
      <c r="ALH1249"/>
      <c r="ALI1249"/>
      <c r="ALJ1249"/>
      <c r="ALK1249"/>
      <c r="ALL1249"/>
      <c r="ALM1249"/>
      <c r="ALN1249"/>
      <c r="ALO1249"/>
      <c r="ALP1249"/>
      <c r="ALQ1249"/>
      <c r="ALR1249"/>
      <c r="ALS1249"/>
      <c r="ALT1249"/>
    </row>
    <row r="1250" spans="1:1008" ht="14">
      <c r="A1250" s="28" t="s">
        <v>3927</v>
      </c>
      <c r="B1250" s="26" t="s">
        <v>3992</v>
      </c>
      <c r="C1250" s="28" t="s">
        <v>3927</v>
      </c>
      <c r="D1250" s="25" t="s">
        <v>13</v>
      </c>
      <c r="E1250" s="28" t="s">
        <v>3927</v>
      </c>
      <c r="F1250" s="28" t="s">
        <v>3928</v>
      </c>
      <c r="G1250" s="28">
        <v>600</v>
      </c>
      <c r="H1250" s="28"/>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c r="AT1250"/>
      <c r="AU1250"/>
      <c r="AV1250"/>
      <c r="AW1250"/>
      <c r="AX1250"/>
      <c r="AY1250"/>
      <c r="AZ1250"/>
      <c r="BA1250"/>
      <c r="BB1250"/>
      <c r="BC1250"/>
      <c r="BD1250"/>
      <c r="BE1250"/>
      <c r="BF1250"/>
      <c r="BG1250"/>
      <c r="BH1250"/>
      <c r="BI1250"/>
      <c r="BJ1250"/>
      <c r="BK1250"/>
      <c r="BL1250"/>
      <c r="BM1250"/>
      <c r="BN1250"/>
      <c r="BO1250"/>
      <c r="BP1250"/>
      <c r="BQ1250"/>
      <c r="BR1250"/>
      <c r="BS1250"/>
      <c r="BT1250"/>
      <c r="BU1250"/>
      <c r="BV1250"/>
      <c r="BW1250"/>
      <c r="BX1250"/>
      <c r="BY1250"/>
      <c r="BZ1250"/>
      <c r="CA1250"/>
      <c r="CB1250"/>
      <c r="CC1250"/>
      <c r="CD1250"/>
      <c r="CE1250"/>
      <c r="CF1250"/>
      <c r="CG1250"/>
      <c r="CH1250"/>
      <c r="CI1250"/>
      <c r="CJ1250"/>
      <c r="CK1250"/>
      <c r="CL1250"/>
      <c r="CM1250"/>
      <c r="CN1250"/>
      <c r="CO1250"/>
      <c r="CP1250"/>
      <c r="CQ1250"/>
      <c r="CR1250"/>
      <c r="CS1250"/>
      <c r="CT1250"/>
      <c r="CU1250"/>
      <c r="CV1250"/>
      <c r="CW1250"/>
      <c r="CX1250"/>
      <c r="CY1250"/>
      <c r="CZ1250"/>
      <c r="DA1250"/>
      <c r="DB1250"/>
      <c r="DC1250"/>
      <c r="DD1250"/>
      <c r="DE1250"/>
      <c r="DF1250"/>
      <c r="DG1250"/>
      <c r="DH1250"/>
      <c r="DI1250"/>
      <c r="DJ1250"/>
      <c r="DK1250"/>
      <c r="DL1250"/>
      <c r="DM1250"/>
      <c r="DN1250"/>
      <c r="DO1250"/>
      <c r="DP1250"/>
      <c r="DQ1250"/>
      <c r="DR1250"/>
      <c r="DS1250"/>
      <c r="DT1250"/>
      <c r="DU1250"/>
      <c r="DV1250"/>
      <c r="DW1250"/>
      <c r="DX1250"/>
      <c r="DY1250"/>
      <c r="DZ1250"/>
      <c r="EA1250"/>
      <c r="EB1250"/>
      <c r="EC1250"/>
      <c r="ED1250"/>
      <c r="EE1250"/>
      <c r="EF1250"/>
      <c r="EG1250"/>
      <c r="EH1250"/>
      <c r="EI1250"/>
      <c r="EJ1250"/>
      <c r="EK1250"/>
      <c r="EL1250"/>
      <c r="EM1250"/>
      <c r="EN1250"/>
      <c r="EO1250"/>
      <c r="EP1250"/>
      <c r="EQ1250"/>
      <c r="ER1250"/>
      <c r="ES1250"/>
      <c r="ET1250"/>
      <c r="EU1250"/>
      <c r="EV1250"/>
      <c r="EW1250"/>
      <c r="EX1250"/>
      <c r="EY1250"/>
      <c r="EZ1250"/>
      <c r="FA1250"/>
      <c r="FB1250"/>
      <c r="FC1250"/>
      <c r="FD1250"/>
      <c r="FE1250"/>
      <c r="FF1250"/>
      <c r="FG1250"/>
      <c r="FH1250"/>
      <c r="FI1250"/>
      <c r="FJ1250"/>
      <c r="FK1250"/>
      <c r="FL1250"/>
      <c r="FM1250"/>
      <c r="FN1250"/>
      <c r="FO1250"/>
      <c r="FP1250"/>
      <c r="FQ1250"/>
      <c r="FR1250"/>
      <c r="FS1250"/>
      <c r="FT1250"/>
      <c r="FU1250"/>
      <c r="FV1250"/>
      <c r="FW1250"/>
      <c r="FX1250"/>
      <c r="FY1250"/>
      <c r="FZ1250"/>
      <c r="GA1250"/>
      <c r="GB1250"/>
      <c r="GC1250"/>
      <c r="GD1250"/>
      <c r="GE1250"/>
      <c r="GF1250"/>
      <c r="GG1250"/>
      <c r="GH1250"/>
      <c r="GI1250"/>
      <c r="GJ1250"/>
      <c r="GK1250"/>
      <c r="GL1250"/>
      <c r="GM1250"/>
      <c r="GN1250"/>
      <c r="GO1250"/>
      <c r="GP1250"/>
      <c r="GQ1250"/>
      <c r="GR1250"/>
      <c r="GS1250"/>
      <c r="GT1250"/>
      <c r="GU1250"/>
      <c r="GV1250"/>
      <c r="GW1250"/>
      <c r="GX1250"/>
      <c r="GY1250"/>
      <c r="GZ1250"/>
      <c r="HA1250"/>
      <c r="HB1250"/>
      <c r="HC1250"/>
      <c r="HD1250"/>
      <c r="HE1250"/>
      <c r="HF1250"/>
      <c r="HG1250"/>
      <c r="HH1250"/>
      <c r="HI1250"/>
      <c r="HJ1250"/>
      <c r="HK1250"/>
      <c r="HL1250"/>
      <c r="HM1250"/>
      <c r="HN1250"/>
      <c r="HO1250"/>
      <c r="HP1250"/>
      <c r="HQ1250"/>
      <c r="HR1250"/>
      <c r="HS1250"/>
      <c r="HT1250"/>
      <c r="HU1250"/>
      <c r="HV1250"/>
      <c r="HW1250"/>
      <c r="HX1250"/>
      <c r="HY1250"/>
      <c r="HZ1250"/>
      <c r="IA1250"/>
      <c r="IB1250"/>
      <c r="IC1250"/>
      <c r="ID1250"/>
      <c r="IE1250"/>
      <c r="IF1250"/>
      <c r="IG1250"/>
      <c r="IH1250"/>
      <c r="II1250"/>
      <c r="IJ1250"/>
      <c r="IK1250"/>
      <c r="IL1250"/>
      <c r="IM1250"/>
      <c r="IN1250"/>
      <c r="IO1250"/>
      <c r="IP1250"/>
      <c r="IQ1250"/>
      <c r="IR1250"/>
      <c r="IS1250"/>
      <c r="IT1250"/>
      <c r="IU1250"/>
      <c r="IV1250"/>
      <c r="IW1250"/>
      <c r="IX1250"/>
      <c r="IY1250"/>
      <c r="IZ1250"/>
      <c r="JA1250"/>
      <c r="JB1250"/>
      <c r="JC1250"/>
      <c r="JD1250"/>
      <c r="JE1250"/>
      <c r="JF1250"/>
      <c r="JG1250"/>
      <c r="JH1250"/>
      <c r="JI1250"/>
      <c r="JJ1250"/>
      <c r="JK1250"/>
      <c r="JL1250"/>
      <c r="JM1250"/>
      <c r="JN1250"/>
      <c r="JO1250"/>
      <c r="JP1250"/>
      <c r="JQ1250"/>
      <c r="JR1250"/>
      <c r="JS1250"/>
      <c r="JT1250"/>
      <c r="JU1250"/>
      <c r="JV1250"/>
      <c r="JW1250"/>
      <c r="JX1250"/>
      <c r="JY1250"/>
      <c r="JZ1250"/>
      <c r="KA1250"/>
      <c r="KB1250"/>
      <c r="KC1250"/>
      <c r="KD1250"/>
      <c r="KE1250"/>
      <c r="KF1250"/>
      <c r="KG1250"/>
      <c r="KH1250"/>
      <c r="KI1250"/>
      <c r="KJ1250"/>
      <c r="KK1250"/>
      <c r="KL1250"/>
      <c r="KM1250"/>
      <c r="KN1250"/>
      <c r="KO1250"/>
      <c r="KP1250"/>
      <c r="KQ1250"/>
      <c r="KR1250"/>
      <c r="KS1250"/>
      <c r="KT1250"/>
      <c r="KU1250"/>
      <c r="KV1250"/>
      <c r="KW1250"/>
      <c r="KX1250"/>
      <c r="KY1250"/>
      <c r="KZ1250"/>
      <c r="LA1250"/>
      <c r="LB1250"/>
      <c r="LC1250"/>
      <c r="LD1250"/>
      <c r="LE1250"/>
      <c r="LF1250"/>
      <c r="LG1250"/>
      <c r="LH1250"/>
      <c r="LI1250"/>
      <c r="LJ1250"/>
      <c r="LK1250"/>
      <c r="LL1250"/>
      <c r="LM1250"/>
      <c r="LN1250"/>
      <c r="LO1250"/>
      <c r="LP1250"/>
      <c r="LQ1250"/>
      <c r="LR1250"/>
      <c r="LS1250"/>
      <c r="LT1250"/>
      <c r="LU1250"/>
      <c r="LV1250"/>
      <c r="LW1250"/>
      <c r="LX1250"/>
      <c r="LY1250"/>
      <c r="LZ1250"/>
      <c r="MA1250"/>
      <c r="MB1250"/>
      <c r="MC1250"/>
      <c r="MD1250"/>
      <c r="ME1250"/>
      <c r="MF1250"/>
      <c r="MG1250"/>
      <c r="MH1250"/>
      <c r="MI1250"/>
      <c r="MJ1250"/>
      <c r="MK1250"/>
      <c r="ML1250"/>
      <c r="MM1250"/>
      <c r="MN1250"/>
      <c r="MO1250"/>
      <c r="MP1250"/>
      <c r="MQ1250"/>
      <c r="MR1250"/>
      <c r="MS1250"/>
      <c r="MT1250"/>
      <c r="MU1250"/>
      <c r="MV1250"/>
      <c r="MW1250"/>
      <c r="MX1250"/>
      <c r="MY1250"/>
      <c r="MZ1250"/>
      <c r="NA1250"/>
      <c r="NB1250"/>
      <c r="NC1250"/>
      <c r="ND1250"/>
      <c r="NE1250"/>
      <c r="NF1250"/>
      <c r="NG1250"/>
      <c r="NH1250"/>
      <c r="NI1250"/>
      <c r="NJ1250"/>
      <c r="NK1250"/>
      <c r="NL1250"/>
      <c r="NM1250"/>
      <c r="NN1250"/>
      <c r="NO1250"/>
      <c r="NP1250"/>
      <c r="NQ1250"/>
      <c r="NR1250"/>
      <c r="NS1250"/>
      <c r="NT1250"/>
      <c r="NU1250"/>
      <c r="NV1250"/>
      <c r="NW1250"/>
      <c r="NX1250"/>
      <c r="NY1250"/>
      <c r="NZ1250"/>
      <c r="OA1250"/>
      <c r="OB1250"/>
      <c r="OC1250"/>
      <c r="OD1250"/>
      <c r="OE1250"/>
      <c r="OF1250"/>
      <c r="OG1250"/>
      <c r="OH1250"/>
      <c r="OI1250"/>
      <c r="OJ1250"/>
      <c r="OK1250"/>
      <c r="OL1250"/>
      <c r="OM1250"/>
      <c r="ON1250"/>
      <c r="OO1250"/>
      <c r="OP1250"/>
      <c r="OQ1250"/>
      <c r="OR1250"/>
      <c r="OS1250"/>
      <c r="OT1250"/>
      <c r="OU1250"/>
      <c r="OV1250"/>
      <c r="OW1250"/>
      <c r="OX1250"/>
      <c r="OY1250"/>
      <c r="OZ1250"/>
      <c r="PA1250"/>
      <c r="PB1250"/>
      <c r="PC1250"/>
      <c r="PD1250"/>
      <c r="PE1250"/>
      <c r="PF1250"/>
      <c r="PG1250"/>
      <c r="PH1250"/>
      <c r="PI1250"/>
      <c r="PJ1250"/>
      <c r="PK1250"/>
      <c r="PL1250"/>
      <c r="PM1250"/>
      <c r="PN1250"/>
      <c r="PO1250"/>
      <c r="PP1250"/>
      <c r="PQ1250"/>
      <c r="PR1250"/>
      <c r="PS1250"/>
      <c r="PT1250"/>
      <c r="PU1250"/>
      <c r="PV1250"/>
      <c r="PW1250"/>
      <c r="PX1250"/>
      <c r="PY1250"/>
      <c r="PZ1250"/>
      <c r="QA1250"/>
      <c r="QB1250"/>
      <c r="QC1250"/>
      <c r="QD1250"/>
      <c r="QE1250"/>
      <c r="QF1250"/>
      <c r="QG1250"/>
      <c r="QH1250"/>
      <c r="QI1250"/>
      <c r="QJ1250"/>
      <c r="QK1250"/>
      <c r="QL1250"/>
      <c r="QM1250"/>
      <c r="QN1250"/>
      <c r="QO1250"/>
      <c r="QP1250"/>
      <c r="QQ1250"/>
      <c r="QR1250"/>
      <c r="QS1250"/>
      <c r="QT1250"/>
      <c r="QU1250"/>
      <c r="QV1250"/>
      <c r="QW1250"/>
      <c r="QX1250"/>
      <c r="QY1250"/>
      <c r="QZ1250"/>
      <c r="RA1250"/>
      <c r="RB1250"/>
      <c r="RC1250"/>
      <c r="RD1250"/>
      <c r="RE1250"/>
      <c r="RF1250"/>
      <c r="RG1250"/>
      <c r="RH1250"/>
      <c r="RI1250"/>
      <c r="RJ1250"/>
      <c r="RK1250"/>
      <c r="RL1250"/>
      <c r="RM1250"/>
      <c r="RN1250"/>
      <c r="RO1250"/>
      <c r="RP1250"/>
      <c r="RQ1250"/>
      <c r="RR1250"/>
      <c r="RS1250"/>
      <c r="RT1250"/>
      <c r="RU1250"/>
      <c r="RV1250"/>
      <c r="RW1250"/>
      <c r="RX1250"/>
      <c r="RY1250"/>
      <c r="RZ1250"/>
      <c r="SA1250"/>
      <c r="SB1250"/>
      <c r="SC1250"/>
      <c r="SD1250"/>
      <c r="SE1250"/>
      <c r="SF1250"/>
      <c r="SG1250"/>
      <c r="SH1250"/>
      <c r="SI1250"/>
      <c r="SJ1250"/>
      <c r="SK1250"/>
      <c r="SL1250"/>
      <c r="SM1250"/>
      <c r="SN1250"/>
      <c r="SO1250"/>
      <c r="SP1250"/>
      <c r="SQ1250"/>
      <c r="SR1250"/>
      <c r="SS1250"/>
      <c r="ST1250"/>
      <c r="SU1250"/>
      <c r="SV1250"/>
      <c r="SW1250"/>
      <c r="SX1250"/>
      <c r="SY1250"/>
      <c r="SZ1250"/>
      <c r="TA1250"/>
      <c r="TB1250"/>
      <c r="TC1250"/>
      <c r="TD1250"/>
      <c r="TE1250"/>
      <c r="TF1250"/>
      <c r="TG1250"/>
      <c r="TH1250"/>
      <c r="TI1250"/>
      <c r="TJ1250"/>
      <c r="TK1250"/>
      <c r="TL1250"/>
      <c r="TM1250"/>
      <c r="TN1250"/>
      <c r="TO1250"/>
      <c r="TP1250"/>
      <c r="TQ1250"/>
      <c r="TR1250"/>
      <c r="TS1250"/>
      <c r="TT1250"/>
      <c r="TU1250"/>
      <c r="TV1250"/>
      <c r="TW1250"/>
      <c r="TX1250"/>
      <c r="TY1250"/>
      <c r="TZ1250"/>
      <c r="UA1250"/>
      <c r="UB1250"/>
      <c r="UC1250"/>
      <c r="UD1250"/>
      <c r="UE1250"/>
      <c r="UF1250"/>
      <c r="UG1250"/>
      <c r="UH1250"/>
      <c r="UI1250"/>
      <c r="UJ1250"/>
      <c r="UK1250"/>
      <c r="UL1250"/>
      <c r="UM1250"/>
      <c r="UN1250"/>
      <c r="UO1250"/>
      <c r="UP1250"/>
      <c r="UQ1250"/>
      <c r="UR1250"/>
      <c r="US1250"/>
      <c r="UT1250"/>
      <c r="UU1250"/>
      <c r="UV1250"/>
      <c r="UW1250"/>
      <c r="UX1250"/>
      <c r="UY1250"/>
      <c r="UZ1250"/>
      <c r="VA1250"/>
      <c r="VB1250"/>
      <c r="VC1250"/>
      <c r="VD1250"/>
      <c r="VE1250"/>
      <c r="VF1250"/>
      <c r="VG1250"/>
      <c r="VH1250"/>
      <c r="VI1250"/>
      <c r="VJ1250"/>
      <c r="VK1250"/>
      <c r="VL1250"/>
      <c r="VM1250"/>
      <c r="VN1250"/>
      <c r="VO1250"/>
      <c r="VP1250"/>
      <c r="VQ1250"/>
      <c r="VR1250"/>
      <c r="VS1250"/>
      <c r="VT1250"/>
      <c r="VU1250"/>
      <c r="VV1250"/>
      <c r="VW1250"/>
      <c r="VX1250"/>
      <c r="VY1250"/>
      <c r="VZ1250"/>
      <c r="WA1250"/>
      <c r="WB1250"/>
      <c r="WC1250"/>
      <c r="WD1250"/>
      <c r="WE1250"/>
      <c r="WF1250"/>
      <c r="WG1250"/>
      <c r="WH1250"/>
      <c r="WI1250"/>
      <c r="WJ1250"/>
      <c r="WK1250"/>
      <c r="WL1250"/>
      <c r="WM1250"/>
      <c r="WN1250"/>
      <c r="WO1250"/>
      <c r="WP1250"/>
      <c r="WQ1250"/>
      <c r="WR1250"/>
      <c r="WS1250"/>
      <c r="WT1250"/>
      <c r="WU1250"/>
      <c r="WV1250"/>
      <c r="WW1250"/>
      <c r="WX1250"/>
      <c r="WY1250"/>
      <c r="WZ1250"/>
      <c r="XA1250"/>
      <c r="XB1250"/>
      <c r="XC1250"/>
      <c r="XD1250"/>
      <c r="XE1250"/>
      <c r="XF1250"/>
      <c r="XG1250"/>
      <c r="XH1250"/>
      <c r="XI1250"/>
      <c r="XJ1250"/>
      <c r="XK1250"/>
      <c r="XL1250"/>
      <c r="XM1250"/>
      <c r="XN1250"/>
      <c r="XO1250"/>
      <c r="XP1250"/>
      <c r="XQ1250"/>
      <c r="XR1250"/>
      <c r="XS1250"/>
      <c r="XT1250"/>
      <c r="XU1250"/>
      <c r="XV1250"/>
      <c r="XW1250"/>
      <c r="XX1250"/>
      <c r="XY1250"/>
      <c r="XZ1250"/>
      <c r="YA1250"/>
      <c r="YB1250"/>
      <c r="YC1250"/>
      <c r="YD1250"/>
      <c r="YE1250"/>
      <c r="YF1250"/>
      <c r="YG1250"/>
      <c r="YH1250"/>
      <c r="YI1250"/>
      <c r="YJ1250"/>
      <c r="YK1250"/>
      <c r="YL1250"/>
      <c r="YM1250"/>
      <c r="YN1250"/>
      <c r="YO1250"/>
      <c r="YP1250"/>
      <c r="YQ1250"/>
      <c r="YR1250"/>
      <c r="YS1250"/>
      <c r="YT1250"/>
      <c r="YU1250"/>
      <c r="YV1250"/>
      <c r="YW1250"/>
      <c r="YX1250"/>
      <c r="YY1250"/>
      <c r="YZ1250"/>
      <c r="ZA1250"/>
      <c r="ZB1250"/>
      <c r="ZC1250"/>
      <c r="ZD1250"/>
      <c r="ZE1250"/>
      <c r="ZF1250"/>
      <c r="ZG1250"/>
      <c r="ZH1250"/>
      <c r="ZI1250"/>
      <c r="ZJ1250"/>
      <c r="ZK1250"/>
      <c r="ZL1250"/>
      <c r="ZM1250"/>
      <c r="ZN1250"/>
      <c r="ZO1250"/>
      <c r="ZP1250"/>
      <c r="ZQ1250"/>
      <c r="ZR1250"/>
      <c r="ZS1250"/>
      <c r="ZT1250"/>
      <c r="ZU1250"/>
      <c r="ZV1250"/>
      <c r="ZW1250"/>
      <c r="ZX1250"/>
      <c r="ZY1250"/>
      <c r="ZZ1250"/>
      <c r="AAA1250"/>
      <c r="AAB1250"/>
      <c r="AAC1250"/>
      <c r="AAD1250"/>
      <c r="AAE1250"/>
      <c r="AAF1250"/>
      <c r="AAG1250"/>
      <c r="AAH1250"/>
      <c r="AAI1250"/>
      <c r="AAJ1250"/>
      <c r="AAK1250"/>
      <c r="AAL1250"/>
      <c r="AAM1250"/>
      <c r="AAN1250"/>
      <c r="AAO1250"/>
      <c r="AAP1250"/>
      <c r="AAQ1250"/>
      <c r="AAR1250"/>
      <c r="AAS1250"/>
      <c r="AAT1250"/>
      <c r="AAU1250"/>
      <c r="AAV1250"/>
      <c r="AAW1250"/>
      <c r="AAX1250"/>
      <c r="AAY1250"/>
      <c r="AAZ1250"/>
      <c r="ABA1250"/>
      <c r="ABB1250"/>
      <c r="ABC1250"/>
      <c r="ABD1250"/>
      <c r="ABE1250"/>
      <c r="ABF1250"/>
      <c r="ABG1250"/>
      <c r="ABH1250"/>
      <c r="ABI1250"/>
      <c r="ABJ1250"/>
      <c r="ABK1250"/>
      <c r="ABL1250"/>
      <c r="ABM1250"/>
      <c r="ABN1250"/>
      <c r="ABO1250"/>
      <c r="ABP1250"/>
      <c r="ABQ1250"/>
      <c r="ABR1250"/>
      <c r="ABS1250"/>
      <c r="ABT1250"/>
      <c r="ABU1250"/>
      <c r="ABV1250"/>
      <c r="ABW1250"/>
      <c r="ABX1250"/>
      <c r="ABY1250"/>
      <c r="ABZ1250"/>
      <c r="ACA1250"/>
      <c r="ACB1250"/>
      <c r="ACC1250"/>
      <c r="ACD1250"/>
      <c r="ACE1250"/>
      <c r="ACF1250"/>
      <c r="ACG1250"/>
      <c r="ACH1250"/>
      <c r="ACI1250"/>
      <c r="ACJ1250"/>
      <c r="ACK1250"/>
      <c r="ACL1250"/>
      <c r="ACM1250"/>
      <c r="ACN1250"/>
      <c r="ACO1250"/>
      <c r="ACP1250"/>
      <c r="ACQ1250"/>
      <c r="ACR1250"/>
      <c r="ACS1250"/>
      <c r="ACT1250"/>
      <c r="ACU1250"/>
      <c r="ACV1250"/>
      <c r="ACW1250"/>
      <c r="ACX1250"/>
      <c r="ACY1250"/>
      <c r="ACZ1250"/>
      <c r="ADA1250"/>
      <c r="ADB1250"/>
      <c r="ADC1250"/>
      <c r="ADD1250"/>
      <c r="ADE1250"/>
      <c r="ADF1250"/>
      <c r="ADG1250"/>
      <c r="ADH1250"/>
      <c r="ADI1250"/>
      <c r="ADJ1250"/>
      <c r="ADK1250"/>
      <c r="ADL1250"/>
      <c r="ADM1250"/>
      <c r="ADN1250"/>
      <c r="ADO1250"/>
      <c r="ADP1250"/>
      <c r="ADQ1250"/>
      <c r="ADR1250"/>
      <c r="ADS1250"/>
      <c r="ADT1250"/>
      <c r="ADU1250"/>
      <c r="ADV1250"/>
      <c r="ADW1250"/>
      <c r="ADX1250"/>
      <c r="ADY1250"/>
      <c r="ADZ1250"/>
      <c r="AEA1250"/>
      <c r="AEB1250"/>
      <c r="AEC1250"/>
      <c r="AED1250"/>
      <c r="AEE1250"/>
      <c r="AEF1250"/>
      <c r="AEG1250"/>
      <c r="AEH1250"/>
      <c r="AEI1250"/>
      <c r="AEJ1250"/>
      <c r="AEK1250"/>
      <c r="AEL1250"/>
      <c r="AEM1250"/>
      <c r="AEN1250"/>
      <c r="AEO1250"/>
      <c r="AEP1250"/>
      <c r="AEQ1250"/>
      <c r="AER1250"/>
      <c r="AES1250"/>
      <c r="AET1250"/>
      <c r="AEU1250"/>
      <c r="AEV1250"/>
      <c r="AEW1250"/>
      <c r="AEX1250"/>
      <c r="AEY1250"/>
      <c r="AEZ1250"/>
      <c r="AFA1250"/>
      <c r="AFB1250"/>
      <c r="AFC1250"/>
      <c r="AFD1250"/>
      <c r="AFE1250"/>
      <c r="AFF1250"/>
      <c r="AFG1250"/>
      <c r="AFH1250"/>
      <c r="AFI1250"/>
      <c r="AFJ1250"/>
      <c r="AFK1250"/>
      <c r="AFL1250"/>
      <c r="AFM1250"/>
      <c r="AFN1250"/>
      <c r="AFO1250"/>
      <c r="AFP1250"/>
      <c r="AFQ1250"/>
      <c r="AFR1250"/>
      <c r="AFS1250"/>
      <c r="AFT1250"/>
      <c r="AFU1250"/>
      <c r="AFV1250"/>
      <c r="AFW1250"/>
      <c r="AFX1250"/>
      <c r="AFY1250"/>
      <c r="AFZ1250"/>
      <c r="AGA1250"/>
      <c r="AGB1250"/>
      <c r="AGC1250"/>
      <c r="AGD1250"/>
      <c r="AGE1250"/>
      <c r="AGF1250"/>
      <c r="AGG1250"/>
      <c r="AGH1250"/>
      <c r="AGI1250"/>
      <c r="AGJ1250"/>
      <c r="AGK1250"/>
      <c r="AGL1250"/>
      <c r="AGM1250"/>
      <c r="AGN1250"/>
      <c r="AGO1250"/>
      <c r="AGP1250"/>
      <c r="AGQ1250"/>
      <c r="AGR1250"/>
      <c r="AGS1250"/>
      <c r="AGT1250"/>
      <c r="AGU1250"/>
      <c r="AGV1250"/>
      <c r="AGW1250"/>
      <c r="AGX1250"/>
      <c r="AGY1250"/>
      <c r="AGZ1250"/>
      <c r="AHA1250"/>
      <c r="AHB1250"/>
      <c r="AHC1250"/>
      <c r="AHD1250"/>
      <c r="AHE1250"/>
      <c r="AHF1250"/>
      <c r="AHG1250"/>
      <c r="AHH1250"/>
      <c r="AHI1250"/>
      <c r="AHJ1250"/>
      <c r="AHK1250"/>
      <c r="AHL1250"/>
      <c r="AHM1250"/>
      <c r="AHN1250"/>
      <c r="AHO1250"/>
      <c r="AHP1250"/>
      <c r="AHQ1250"/>
      <c r="AHR1250"/>
      <c r="AHS1250"/>
      <c r="AHT1250"/>
      <c r="AHU1250"/>
      <c r="AHV1250"/>
      <c r="AHW1250"/>
      <c r="AHX1250"/>
      <c r="AHY1250"/>
      <c r="AHZ1250"/>
      <c r="AIA1250"/>
      <c r="AIB1250"/>
      <c r="AIC1250"/>
      <c r="AID1250"/>
      <c r="AIE1250"/>
      <c r="AIF1250"/>
      <c r="AIG1250"/>
      <c r="AIH1250"/>
      <c r="AII1250"/>
      <c r="AIJ1250"/>
      <c r="AIK1250"/>
      <c r="AIL1250"/>
      <c r="AIM1250"/>
      <c r="AIN1250"/>
      <c r="AIO1250"/>
      <c r="AIP1250"/>
      <c r="AIQ1250"/>
      <c r="AIR1250"/>
      <c r="AIS1250"/>
      <c r="AIT1250"/>
      <c r="AIU1250"/>
      <c r="AIV1250"/>
      <c r="AIW1250"/>
      <c r="AIX1250"/>
      <c r="AIY1250"/>
      <c r="AIZ1250"/>
      <c r="AJA1250"/>
      <c r="AJB1250"/>
      <c r="AJC1250"/>
      <c r="AJD1250"/>
      <c r="AJE1250"/>
      <c r="AJF1250"/>
      <c r="AJG1250"/>
      <c r="AJH1250"/>
      <c r="AJI1250"/>
      <c r="AJJ1250"/>
      <c r="AJK1250"/>
      <c r="AJL1250"/>
      <c r="AJM1250"/>
      <c r="AJN1250"/>
      <c r="AJO1250"/>
      <c r="AJP1250"/>
      <c r="AJQ1250"/>
      <c r="AJR1250"/>
      <c r="AJS1250"/>
      <c r="AJT1250"/>
      <c r="AJU1250"/>
      <c r="AJV1250"/>
      <c r="AJW1250"/>
      <c r="AJX1250"/>
      <c r="AJY1250"/>
      <c r="AJZ1250"/>
      <c r="AKA1250"/>
      <c r="AKB1250"/>
      <c r="AKC1250"/>
      <c r="AKD1250"/>
      <c r="AKE1250"/>
      <c r="AKF1250"/>
      <c r="AKG1250"/>
      <c r="AKH1250"/>
      <c r="AKI1250"/>
      <c r="AKJ1250"/>
      <c r="AKK1250"/>
      <c r="AKL1250"/>
      <c r="AKM1250"/>
      <c r="AKN1250"/>
      <c r="AKO1250"/>
      <c r="AKP1250"/>
      <c r="AKQ1250"/>
      <c r="AKR1250"/>
      <c r="AKS1250"/>
      <c r="AKT1250"/>
      <c r="AKU1250"/>
      <c r="AKV1250"/>
      <c r="AKW1250"/>
      <c r="AKX1250"/>
      <c r="AKY1250"/>
      <c r="AKZ1250"/>
      <c r="ALA1250"/>
      <c r="ALB1250"/>
      <c r="ALC1250"/>
      <c r="ALD1250"/>
      <c r="ALE1250"/>
      <c r="ALF1250"/>
      <c r="ALG1250"/>
      <c r="ALH1250"/>
      <c r="ALI1250"/>
      <c r="ALJ1250"/>
      <c r="ALK1250"/>
      <c r="ALL1250"/>
      <c r="ALM1250"/>
      <c r="ALN1250"/>
      <c r="ALO1250"/>
      <c r="ALP1250"/>
      <c r="ALQ1250"/>
      <c r="ALR1250"/>
      <c r="ALS1250"/>
      <c r="ALT1250"/>
    </row>
    <row r="1251" spans="1:1008" ht="14">
      <c r="A1251" s="28" t="s">
        <v>3929</v>
      </c>
      <c r="B1251" s="26" t="s">
        <v>3992</v>
      </c>
      <c r="C1251" s="28" t="s">
        <v>3929</v>
      </c>
      <c r="D1251" s="25" t="s">
        <v>13</v>
      </c>
      <c r="E1251" s="28" t="s">
        <v>3929</v>
      </c>
      <c r="F1251" s="28" t="s">
        <v>3930</v>
      </c>
      <c r="G1251" s="28">
        <v>580</v>
      </c>
      <c r="H1251" s="28"/>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c r="AT1251"/>
      <c r="AU1251"/>
      <c r="AV1251"/>
      <c r="AW1251"/>
      <c r="AX1251"/>
      <c r="AY1251"/>
      <c r="AZ1251"/>
      <c r="BA1251"/>
      <c r="BB1251"/>
      <c r="BC1251"/>
      <c r="BD1251"/>
      <c r="BE1251"/>
      <c r="BF1251"/>
      <c r="BG1251"/>
      <c r="BH1251"/>
      <c r="BI1251"/>
      <c r="BJ1251"/>
      <c r="BK1251"/>
      <c r="BL1251"/>
      <c r="BM1251"/>
      <c r="BN1251"/>
      <c r="BO1251"/>
      <c r="BP1251"/>
      <c r="BQ1251"/>
      <c r="BR1251"/>
      <c r="BS1251"/>
      <c r="BT1251"/>
      <c r="BU1251"/>
      <c r="BV1251"/>
      <c r="BW1251"/>
      <c r="BX1251"/>
      <c r="BY1251"/>
      <c r="BZ1251"/>
      <c r="CA1251"/>
      <c r="CB1251"/>
      <c r="CC1251"/>
      <c r="CD1251"/>
      <c r="CE1251"/>
      <c r="CF1251"/>
      <c r="CG1251"/>
      <c r="CH1251"/>
      <c r="CI1251"/>
      <c r="CJ1251"/>
      <c r="CK1251"/>
      <c r="CL1251"/>
      <c r="CM1251"/>
      <c r="CN1251"/>
      <c r="CO1251"/>
      <c r="CP1251"/>
      <c r="CQ1251"/>
      <c r="CR1251"/>
      <c r="CS1251"/>
      <c r="CT1251"/>
      <c r="CU1251"/>
      <c r="CV1251"/>
      <c r="CW1251"/>
      <c r="CX1251"/>
      <c r="CY1251"/>
      <c r="CZ1251"/>
      <c r="DA1251"/>
      <c r="DB1251"/>
      <c r="DC1251"/>
      <c r="DD1251"/>
      <c r="DE1251"/>
      <c r="DF1251"/>
      <c r="DG1251"/>
      <c r="DH1251"/>
      <c r="DI1251"/>
      <c r="DJ1251"/>
      <c r="DK1251"/>
      <c r="DL1251"/>
      <c r="DM1251"/>
      <c r="DN1251"/>
      <c r="DO1251"/>
      <c r="DP1251"/>
      <c r="DQ1251"/>
      <c r="DR1251"/>
      <c r="DS1251"/>
      <c r="DT1251"/>
      <c r="DU1251"/>
      <c r="DV1251"/>
      <c r="DW1251"/>
      <c r="DX1251"/>
      <c r="DY1251"/>
      <c r="DZ1251"/>
      <c r="EA1251"/>
      <c r="EB1251"/>
      <c r="EC1251"/>
      <c r="ED1251"/>
      <c r="EE1251"/>
      <c r="EF1251"/>
      <c r="EG1251"/>
      <c r="EH1251"/>
      <c r="EI1251"/>
      <c r="EJ1251"/>
      <c r="EK1251"/>
      <c r="EL1251"/>
      <c r="EM1251"/>
      <c r="EN1251"/>
      <c r="EO1251"/>
      <c r="EP1251"/>
      <c r="EQ1251"/>
      <c r="ER1251"/>
      <c r="ES1251"/>
      <c r="ET1251"/>
      <c r="EU1251"/>
      <c r="EV1251"/>
      <c r="EW1251"/>
      <c r="EX1251"/>
      <c r="EY1251"/>
      <c r="EZ1251"/>
      <c r="FA1251"/>
      <c r="FB1251"/>
      <c r="FC1251"/>
      <c r="FD1251"/>
      <c r="FE1251"/>
      <c r="FF1251"/>
      <c r="FG1251"/>
      <c r="FH1251"/>
      <c r="FI1251"/>
      <c r="FJ1251"/>
      <c r="FK1251"/>
      <c r="FL1251"/>
      <c r="FM1251"/>
      <c r="FN1251"/>
      <c r="FO1251"/>
      <c r="FP1251"/>
      <c r="FQ1251"/>
      <c r="FR1251"/>
      <c r="FS1251"/>
      <c r="FT1251"/>
      <c r="FU1251"/>
      <c r="FV1251"/>
      <c r="FW1251"/>
      <c r="FX1251"/>
      <c r="FY1251"/>
      <c r="FZ1251"/>
      <c r="GA1251"/>
      <c r="GB1251"/>
      <c r="GC1251"/>
      <c r="GD1251"/>
      <c r="GE1251"/>
      <c r="GF1251"/>
      <c r="GG1251"/>
      <c r="GH1251"/>
      <c r="GI1251"/>
      <c r="GJ1251"/>
      <c r="GK1251"/>
      <c r="GL1251"/>
      <c r="GM1251"/>
      <c r="GN1251"/>
      <c r="GO1251"/>
      <c r="GP1251"/>
      <c r="GQ1251"/>
      <c r="GR1251"/>
      <c r="GS1251"/>
      <c r="GT1251"/>
      <c r="GU1251"/>
      <c r="GV1251"/>
      <c r="GW1251"/>
      <c r="GX1251"/>
      <c r="GY1251"/>
      <c r="GZ1251"/>
      <c r="HA1251"/>
      <c r="HB1251"/>
      <c r="HC1251"/>
      <c r="HD1251"/>
      <c r="HE1251"/>
      <c r="HF1251"/>
      <c r="HG1251"/>
      <c r="HH1251"/>
      <c r="HI1251"/>
      <c r="HJ1251"/>
      <c r="HK1251"/>
      <c r="HL1251"/>
      <c r="HM1251"/>
      <c r="HN1251"/>
      <c r="HO1251"/>
      <c r="HP1251"/>
      <c r="HQ1251"/>
      <c r="HR1251"/>
      <c r="HS1251"/>
      <c r="HT1251"/>
      <c r="HU1251"/>
      <c r="HV1251"/>
      <c r="HW1251"/>
      <c r="HX1251"/>
      <c r="HY1251"/>
      <c r="HZ1251"/>
      <c r="IA1251"/>
      <c r="IB1251"/>
      <c r="IC1251"/>
      <c r="ID1251"/>
      <c r="IE1251"/>
      <c r="IF1251"/>
      <c r="IG1251"/>
      <c r="IH1251"/>
      <c r="II1251"/>
      <c r="IJ1251"/>
      <c r="IK1251"/>
      <c r="IL1251"/>
      <c r="IM1251"/>
      <c r="IN1251"/>
      <c r="IO1251"/>
      <c r="IP1251"/>
      <c r="IQ1251"/>
      <c r="IR1251"/>
      <c r="IS1251"/>
      <c r="IT1251"/>
      <c r="IU1251"/>
      <c r="IV1251"/>
      <c r="IW1251"/>
      <c r="IX1251"/>
      <c r="IY1251"/>
      <c r="IZ1251"/>
      <c r="JA1251"/>
      <c r="JB1251"/>
      <c r="JC1251"/>
      <c r="JD1251"/>
      <c r="JE1251"/>
      <c r="JF1251"/>
      <c r="JG1251"/>
      <c r="JH1251"/>
      <c r="JI1251"/>
      <c r="JJ1251"/>
      <c r="JK1251"/>
      <c r="JL1251"/>
      <c r="JM1251"/>
      <c r="JN1251"/>
      <c r="JO1251"/>
      <c r="JP1251"/>
      <c r="JQ1251"/>
      <c r="JR1251"/>
      <c r="JS1251"/>
      <c r="JT1251"/>
      <c r="JU1251"/>
      <c r="JV1251"/>
      <c r="JW1251"/>
      <c r="JX1251"/>
      <c r="JY1251"/>
      <c r="JZ1251"/>
      <c r="KA1251"/>
      <c r="KB1251"/>
      <c r="KC1251"/>
      <c r="KD1251"/>
      <c r="KE1251"/>
      <c r="KF1251"/>
      <c r="KG1251"/>
      <c r="KH1251"/>
      <c r="KI1251"/>
      <c r="KJ1251"/>
      <c r="KK1251"/>
      <c r="KL1251"/>
      <c r="KM1251"/>
      <c r="KN1251"/>
      <c r="KO1251"/>
      <c r="KP1251"/>
      <c r="KQ1251"/>
      <c r="KR1251"/>
      <c r="KS1251"/>
      <c r="KT1251"/>
      <c r="KU1251"/>
      <c r="KV1251"/>
      <c r="KW1251"/>
      <c r="KX1251"/>
      <c r="KY1251"/>
      <c r="KZ1251"/>
      <c r="LA1251"/>
      <c r="LB1251"/>
      <c r="LC1251"/>
      <c r="LD1251"/>
      <c r="LE1251"/>
      <c r="LF1251"/>
      <c r="LG1251"/>
      <c r="LH1251"/>
      <c r="LI1251"/>
      <c r="LJ1251"/>
      <c r="LK1251"/>
      <c r="LL1251"/>
      <c r="LM1251"/>
      <c r="LN1251"/>
      <c r="LO1251"/>
      <c r="LP1251"/>
      <c r="LQ1251"/>
      <c r="LR1251"/>
      <c r="LS1251"/>
      <c r="LT1251"/>
      <c r="LU1251"/>
      <c r="LV1251"/>
      <c r="LW1251"/>
      <c r="LX1251"/>
      <c r="LY1251"/>
      <c r="LZ1251"/>
      <c r="MA1251"/>
      <c r="MB1251"/>
      <c r="MC1251"/>
      <c r="MD1251"/>
      <c r="ME1251"/>
      <c r="MF1251"/>
      <c r="MG1251"/>
      <c r="MH1251"/>
      <c r="MI1251"/>
      <c r="MJ1251"/>
      <c r="MK1251"/>
      <c r="ML1251"/>
      <c r="MM1251"/>
      <c r="MN1251"/>
      <c r="MO1251"/>
      <c r="MP1251"/>
      <c r="MQ1251"/>
      <c r="MR1251"/>
      <c r="MS1251"/>
      <c r="MT1251"/>
      <c r="MU1251"/>
      <c r="MV1251"/>
      <c r="MW1251"/>
      <c r="MX1251"/>
      <c r="MY1251"/>
      <c r="MZ1251"/>
      <c r="NA1251"/>
      <c r="NB1251"/>
      <c r="NC1251"/>
      <c r="ND1251"/>
      <c r="NE1251"/>
      <c r="NF1251"/>
      <c r="NG1251"/>
      <c r="NH1251"/>
      <c r="NI1251"/>
      <c r="NJ1251"/>
      <c r="NK1251"/>
      <c r="NL1251"/>
      <c r="NM1251"/>
      <c r="NN1251"/>
      <c r="NO1251"/>
      <c r="NP1251"/>
      <c r="NQ1251"/>
      <c r="NR1251"/>
      <c r="NS1251"/>
      <c r="NT1251"/>
      <c r="NU1251"/>
      <c r="NV1251"/>
      <c r="NW1251"/>
      <c r="NX1251"/>
      <c r="NY1251"/>
      <c r="NZ1251"/>
      <c r="OA1251"/>
      <c r="OB1251"/>
      <c r="OC1251"/>
      <c r="OD1251"/>
      <c r="OE1251"/>
      <c r="OF1251"/>
      <c r="OG1251"/>
      <c r="OH1251"/>
      <c r="OI1251"/>
      <c r="OJ1251"/>
      <c r="OK1251"/>
      <c r="OL1251"/>
      <c r="OM1251"/>
      <c r="ON1251"/>
      <c r="OO1251"/>
      <c r="OP1251"/>
      <c r="OQ1251"/>
      <c r="OR1251"/>
      <c r="OS1251"/>
      <c r="OT1251"/>
      <c r="OU1251"/>
      <c r="OV1251"/>
      <c r="OW1251"/>
      <c r="OX1251"/>
      <c r="OY1251"/>
      <c r="OZ1251"/>
      <c r="PA1251"/>
      <c r="PB1251"/>
      <c r="PC1251"/>
      <c r="PD1251"/>
      <c r="PE1251"/>
      <c r="PF1251"/>
      <c r="PG1251"/>
      <c r="PH1251"/>
      <c r="PI1251"/>
      <c r="PJ1251"/>
      <c r="PK1251"/>
      <c r="PL1251"/>
      <c r="PM1251"/>
      <c r="PN1251"/>
      <c r="PO1251"/>
      <c r="PP1251"/>
      <c r="PQ1251"/>
      <c r="PR1251"/>
      <c r="PS1251"/>
      <c r="PT1251"/>
      <c r="PU1251"/>
      <c r="PV1251"/>
      <c r="PW1251"/>
      <c r="PX1251"/>
      <c r="PY1251"/>
      <c r="PZ1251"/>
      <c r="QA1251"/>
      <c r="QB1251"/>
      <c r="QC1251"/>
      <c r="QD1251"/>
      <c r="QE1251"/>
      <c r="QF1251"/>
      <c r="QG1251"/>
      <c r="QH1251"/>
      <c r="QI1251"/>
      <c r="QJ1251"/>
      <c r="QK1251"/>
      <c r="QL1251"/>
      <c r="QM1251"/>
      <c r="QN1251"/>
      <c r="QO1251"/>
      <c r="QP1251"/>
      <c r="QQ1251"/>
      <c r="QR1251"/>
      <c r="QS1251"/>
      <c r="QT1251"/>
      <c r="QU1251"/>
      <c r="QV1251"/>
      <c r="QW1251"/>
      <c r="QX1251"/>
      <c r="QY1251"/>
      <c r="QZ1251"/>
      <c r="RA1251"/>
      <c r="RB1251"/>
      <c r="RC1251"/>
      <c r="RD1251"/>
      <c r="RE1251"/>
      <c r="RF1251"/>
      <c r="RG1251"/>
      <c r="RH1251"/>
      <c r="RI1251"/>
      <c r="RJ1251"/>
      <c r="RK1251"/>
      <c r="RL1251"/>
      <c r="RM1251"/>
      <c r="RN1251"/>
      <c r="RO1251"/>
      <c r="RP1251"/>
      <c r="RQ1251"/>
      <c r="RR1251"/>
      <c r="RS1251"/>
      <c r="RT1251"/>
      <c r="RU1251"/>
      <c r="RV1251"/>
      <c r="RW1251"/>
      <c r="RX1251"/>
      <c r="RY1251"/>
      <c r="RZ1251"/>
      <c r="SA1251"/>
      <c r="SB1251"/>
      <c r="SC1251"/>
      <c r="SD1251"/>
      <c r="SE1251"/>
      <c r="SF1251"/>
      <c r="SG1251"/>
      <c r="SH1251"/>
      <c r="SI1251"/>
      <c r="SJ1251"/>
      <c r="SK1251"/>
      <c r="SL1251"/>
      <c r="SM1251"/>
      <c r="SN1251"/>
      <c r="SO1251"/>
      <c r="SP1251"/>
      <c r="SQ1251"/>
      <c r="SR1251"/>
      <c r="SS1251"/>
      <c r="ST1251"/>
      <c r="SU1251"/>
      <c r="SV1251"/>
      <c r="SW1251"/>
      <c r="SX1251"/>
      <c r="SY1251"/>
      <c r="SZ1251"/>
      <c r="TA1251"/>
      <c r="TB1251"/>
      <c r="TC1251"/>
      <c r="TD1251"/>
      <c r="TE1251"/>
      <c r="TF1251"/>
      <c r="TG1251"/>
      <c r="TH1251"/>
      <c r="TI1251"/>
      <c r="TJ1251"/>
      <c r="TK1251"/>
      <c r="TL1251"/>
      <c r="TM1251"/>
      <c r="TN1251"/>
      <c r="TO1251"/>
      <c r="TP1251"/>
      <c r="TQ1251"/>
      <c r="TR1251"/>
      <c r="TS1251"/>
      <c r="TT1251"/>
      <c r="TU1251"/>
      <c r="TV1251"/>
      <c r="TW1251"/>
      <c r="TX1251"/>
      <c r="TY1251"/>
      <c r="TZ1251"/>
      <c r="UA1251"/>
      <c r="UB1251"/>
      <c r="UC1251"/>
      <c r="UD1251"/>
      <c r="UE1251"/>
      <c r="UF1251"/>
      <c r="UG1251"/>
      <c r="UH1251"/>
      <c r="UI1251"/>
      <c r="UJ1251"/>
      <c r="UK1251"/>
      <c r="UL1251"/>
      <c r="UM1251"/>
      <c r="UN1251"/>
      <c r="UO1251"/>
      <c r="UP1251"/>
      <c r="UQ1251"/>
      <c r="UR1251"/>
      <c r="US1251"/>
      <c r="UT1251"/>
      <c r="UU1251"/>
      <c r="UV1251"/>
      <c r="UW1251"/>
      <c r="UX1251"/>
      <c r="UY1251"/>
      <c r="UZ1251"/>
      <c r="VA1251"/>
      <c r="VB1251"/>
      <c r="VC1251"/>
      <c r="VD1251"/>
      <c r="VE1251"/>
      <c r="VF1251"/>
      <c r="VG1251"/>
      <c r="VH1251"/>
      <c r="VI1251"/>
      <c r="VJ1251"/>
      <c r="VK1251"/>
      <c r="VL1251"/>
      <c r="VM1251"/>
      <c r="VN1251"/>
      <c r="VO1251"/>
      <c r="VP1251"/>
      <c r="VQ1251"/>
      <c r="VR1251"/>
      <c r="VS1251"/>
      <c r="VT1251"/>
      <c r="VU1251"/>
      <c r="VV1251"/>
      <c r="VW1251"/>
      <c r="VX1251"/>
      <c r="VY1251"/>
      <c r="VZ1251"/>
      <c r="WA1251"/>
      <c r="WB1251"/>
      <c r="WC1251"/>
      <c r="WD1251"/>
      <c r="WE1251"/>
      <c r="WF1251"/>
      <c r="WG1251"/>
      <c r="WH1251"/>
      <c r="WI1251"/>
      <c r="WJ1251"/>
      <c r="WK1251"/>
      <c r="WL1251"/>
      <c r="WM1251"/>
      <c r="WN1251"/>
      <c r="WO1251"/>
      <c r="WP1251"/>
      <c r="WQ1251"/>
      <c r="WR1251"/>
      <c r="WS1251"/>
      <c r="WT1251"/>
      <c r="WU1251"/>
      <c r="WV1251"/>
      <c r="WW1251"/>
      <c r="WX1251"/>
      <c r="WY1251"/>
      <c r="WZ1251"/>
      <c r="XA1251"/>
      <c r="XB1251"/>
      <c r="XC1251"/>
      <c r="XD1251"/>
      <c r="XE1251"/>
      <c r="XF1251"/>
      <c r="XG1251"/>
      <c r="XH1251"/>
      <c r="XI1251"/>
      <c r="XJ1251"/>
      <c r="XK1251"/>
      <c r="XL1251"/>
      <c r="XM1251"/>
      <c r="XN1251"/>
      <c r="XO1251"/>
      <c r="XP1251"/>
      <c r="XQ1251"/>
      <c r="XR1251"/>
      <c r="XS1251"/>
      <c r="XT1251"/>
      <c r="XU1251"/>
      <c r="XV1251"/>
      <c r="XW1251"/>
      <c r="XX1251"/>
      <c r="XY1251"/>
      <c r="XZ1251"/>
      <c r="YA1251"/>
      <c r="YB1251"/>
      <c r="YC1251"/>
      <c r="YD1251"/>
      <c r="YE1251"/>
      <c r="YF1251"/>
      <c r="YG1251"/>
      <c r="YH1251"/>
      <c r="YI1251"/>
      <c r="YJ1251"/>
      <c r="YK1251"/>
      <c r="YL1251"/>
      <c r="YM1251"/>
      <c r="YN1251"/>
      <c r="YO1251"/>
      <c r="YP1251"/>
      <c r="YQ1251"/>
      <c r="YR1251"/>
      <c r="YS1251"/>
      <c r="YT1251"/>
      <c r="YU1251"/>
      <c r="YV1251"/>
      <c r="YW1251"/>
      <c r="YX1251"/>
      <c r="YY1251"/>
      <c r="YZ1251"/>
      <c r="ZA1251"/>
      <c r="ZB1251"/>
      <c r="ZC1251"/>
      <c r="ZD1251"/>
      <c r="ZE1251"/>
      <c r="ZF1251"/>
      <c r="ZG1251"/>
      <c r="ZH1251"/>
      <c r="ZI1251"/>
      <c r="ZJ1251"/>
      <c r="ZK1251"/>
      <c r="ZL1251"/>
      <c r="ZM1251"/>
      <c r="ZN1251"/>
      <c r="ZO1251"/>
      <c r="ZP1251"/>
      <c r="ZQ1251"/>
      <c r="ZR1251"/>
      <c r="ZS1251"/>
      <c r="ZT1251"/>
      <c r="ZU1251"/>
      <c r="ZV1251"/>
      <c r="ZW1251"/>
      <c r="ZX1251"/>
      <c r="ZY1251"/>
      <c r="ZZ1251"/>
      <c r="AAA1251"/>
      <c r="AAB1251"/>
      <c r="AAC1251"/>
      <c r="AAD1251"/>
      <c r="AAE1251"/>
      <c r="AAF1251"/>
      <c r="AAG1251"/>
      <c r="AAH1251"/>
      <c r="AAI1251"/>
      <c r="AAJ1251"/>
      <c r="AAK1251"/>
      <c r="AAL1251"/>
      <c r="AAM1251"/>
      <c r="AAN1251"/>
      <c r="AAO1251"/>
      <c r="AAP1251"/>
      <c r="AAQ1251"/>
      <c r="AAR1251"/>
      <c r="AAS1251"/>
      <c r="AAT1251"/>
      <c r="AAU1251"/>
      <c r="AAV1251"/>
      <c r="AAW1251"/>
      <c r="AAX1251"/>
      <c r="AAY1251"/>
      <c r="AAZ1251"/>
      <c r="ABA1251"/>
      <c r="ABB1251"/>
      <c r="ABC1251"/>
      <c r="ABD1251"/>
      <c r="ABE1251"/>
      <c r="ABF1251"/>
      <c r="ABG1251"/>
      <c r="ABH1251"/>
      <c r="ABI1251"/>
      <c r="ABJ1251"/>
      <c r="ABK1251"/>
      <c r="ABL1251"/>
      <c r="ABM1251"/>
      <c r="ABN1251"/>
      <c r="ABO1251"/>
      <c r="ABP1251"/>
      <c r="ABQ1251"/>
      <c r="ABR1251"/>
      <c r="ABS1251"/>
      <c r="ABT1251"/>
      <c r="ABU1251"/>
      <c r="ABV1251"/>
      <c r="ABW1251"/>
      <c r="ABX1251"/>
      <c r="ABY1251"/>
      <c r="ABZ1251"/>
      <c r="ACA1251"/>
      <c r="ACB1251"/>
      <c r="ACC1251"/>
      <c r="ACD1251"/>
      <c r="ACE1251"/>
      <c r="ACF1251"/>
      <c r="ACG1251"/>
      <c r="ACH1251"/>
      <c r="ACI1251"/>
      <c r="ACJ1251"/>
      <c r="ACK1251"/>
      <c r="ACL1251"/>
      <c r="ACM1251"/>
      <c r="ACN1251"/>
      <c r="ACO1251"/>
      <c r="ACP1251"/>
      <c r="ACQ1251"/>
      <c r="ACR1251"/>
      <c r="ACS1251"/>
      <c r="ACT1251"/>
      <c r="ACU1251"/>
      <c r="ACV1251"/>
      <c r="ACW1251"/>
      <c r="ACX1251"/>
      <c r="ACY1251"/>
      <c r="ACZ1251"/>
      <c r="ADA1251"/>
      <c r="ADB1251"/>
      <c r="ADC1251"/>
      <c r="ADD1251"/>
      <c r="ADE1251"/>
      <c r="ADF1251"/>
      <c r="ADG1251"/>
      <c r="ADH1251"/>
      <c r="ADI1251"/>
      <c r="ADJ1251"/>
      <c r="ADK1251"/>
      <c r="ADL1251"/>
      <c r="ADM1251"/>
      <c r="ADN1251"/>
      <c r="ADO1251"/>
      <c r="ADP1251"/>
      <c r="ADQ1251"/>
      <c r="ADR1251"/>
      <c r="ADS1251"/>
      <c r="ADT1251"/>
      <c r="ADU1251"/>
      <c r="ADV1251"/>
      <c r="ADW1251"/>
      <c r="ADX1251"/>
      <c r="ADY1251"/>
      <c r="ADZ1251"/>
      <c r="AEA1251"/>
      <c r="AEB1251"/>
      <c r="AEC1251"/>
      <c r="AED1251"/>
      <c r="AEE1251"/>
      <c r="AEF1251"/>
      <c r="AEG1251"/>
      <c r="AEH1251"/>
      <c r="AEI1251"/>
      <c r="AEJ1251"/>
      <c r="AEK1251"/>
      <c r="AEL1251"/>
      <c r="AEM1251"/>
      <c r="AEN1251"/>
      <c r="AEO1251"/>
      <c r="AEP1251"/>
      <c r="AEQ1251"/>
      <c r="AER1251"/>
      <c r="AES1251"/>
      <c r="AET1251"/>
      <c r="AEU1251"/>
      <c r="AEV1251"/>
      <c r="AEW1251"/>
      <c r="AEX1251"/>
      <c r="AEY1251"/>
      <c r="AEZ1251"/>
      <c r="AFA1251"/>
      <c r="AFB1251"/>
      <c r="AFC1251"/>
      <c r="AFD1251"/>
      <c r="AFE1251"/>
      <c r="AFF1251"/>
      <c r="AFG1251"/>
      <c r="AFH1251"/>
      <c r="AFI1251"/>
      <c r="AFJ1251"/>
      <c r="AFK1251"/>
      <c r="AFL1251"/>
      <c r="AFM1251"/>
      <c r="AFN1251"/>
      <c r="AFO1251"/>
      <c r="AFP1251"/>
      <c r="AFQ1251"/>
      <c r="AFR1251"/>
      <c r="AFS1251"/>
      <c r="AFT1251"/>
      <c r="AFU1251"/>
      <c r="AFV1251"/>
      <c r="AFW1251"/>
      <c r="AFX1251"/>
      <c r="AFY1251"/>
      <c r="AFZ1251"/>
      <c r="AGA1251"/>
      <c r="AGB1251"/>
      <c r="AGC1251"/>
      <c r="AGD1251"/>
      <c r="AGE1251"/>
      <c r="AGF1251"/>
      <c r="AGG1251"/>
      <c r="AGH1251"/>
      <c r="AGI1251"/>
      <c r="AGJ1251"/>
      <c r="AGK1251"/>
      <c r="AGL1251"/>
      <c r="AGM1251"/>
      <c r="AGN1251"/>
      <c r="AGO1251"/>
      <c r="AGP1251"/>
      <c r="AGQ1251"/>
      <c r="AGR1251"/>
      <c r="AGS1251"/>
      <c r="AGT1251"/>
      <c r="AGU1251"/>
      <c r="AGV1251"/>
      <c r="AGW1251"/>
      <c r="AGX1251"/>
      <c r="AGY1251"/>
      <c r="AGZ1251"/>
      <c r="AHA1251"/>
      <c r="AHB1251"/>
      <c r="AHC1251"/>
      <c r="AHD1251"/>
      <c r="AHE1251"/>
      <c r="AHF1251"/>
      <c r="AHG1251"/>
      <c r="AHH1251"/>
      <c r="AHI1251"/>
      <c r="AHJ1251"/>
      <c r="AHK1251"/>
      <c r="AHL1251"/>
      <c r="AHM1251"/>
      <c r="AHN1251"/>
      <c r="AHO1251"/>
      <c r="AHP1251"/>
      <c r="AHQ1251"/>
      <c r="AHR1251"/>
      <c r="AHS1251"/>
      <c r="AHT1251"/>
      <c r="AHU1251"/>
      <c r="AHV1251"/>
      <c r="AHW1251"/>
      <c r="AHX1251"/>
      <c r="AHY1251"/>
      <c r="AHZ1251"/>
      <c r="AIA1251"/>
      <c r="AIB1251"/>
      <c r="AIC1251"/>
      <c r="AID1251"/>
      <c r="AIE1251"/>
      <c r="AIF1251"/>
      <c r="AIG1251"/>
      <c r="AIH1251"/>
      <c r="AII1251"/>
      <c r="AIJ1251"/>
      <c r="AIK1251"/>
      <c r="AIL1251"/>
      <c r="AIM1251"/>
      <c r="AIN1251"/>
      <c r="AIO1251"/>
      <c r="AIP1251"/>
      <c r="AIQ1251"/>
      <c r="AIR1251"/>
      <c r="AIS1251"/>
      <c r="AIT1251"/>
      <c r="AIU1251"/>
      <c r="AIV1251"/>
      <c r="AIW1251"/>
      <c r="AIX1251"/>
      <c r="AIY1251"/>
      <c r="AIZ1251"/>
      <c r="AJA1251"/>
      <c r="AJB1251"/>
      <c r="AJC1251"/>
      <c r="AJD1251"/>
      <c r="AJE1251"/>
      <c r="AJF1251"/>
      <c r="AJG1251"/>
      <c r="AJH1251"/>
      <c r="AJI1251"/>
      <c r="AJJ1251"/>
      <c r="AJK1251"/>
      <c r="AJL1251"/>
      <c r="AJM1251"/>
      <c r="AJN1251"/>
      <c r="AJO1251"/>
      <c r="AJP1251"/>
      <c r="AJQ1251"/>
      <c r="AJR1251"/>
      <c r="AJS1251"/>
      <c r="AJT1251"/>
      <c r="AJU1251"/>
      <c r="AJV1251"/>
      <c r="AJW1251"/>
      <c r="AJX1251"/>
      <c r="AJY1251"/>
      <c r="AJZ1251"/>
      <c r="AKA1251"/>
      <c r="AKB1251"/>
      <c r="AKC1251"/>
      <c r="AKD1251"/>
      <c r="AKE1251"/>
      <c r="AKF1251"/>
      <c r="AKG1251"/>
      <c r="AKH1251"/>
      <c r="AKI1251"/>
      <c r="AKJ1251"/>
      <c r="AKK1251"/>
      <c r="AKL1251"/>
      <c r="AKM1251"/>
      <c r="AKN1251"/>
      <c r="AKO1251"/>
      <c r="AKP1251"/>
      <c r="AKQ1251"/>
      <c r="AKR1251"/>
      <c r="AKS1251"/>
      <c r="AKT1251"/>
      <c r="AKU1251"/>
      <c r="AKV1251"/>
      <c r="AKW1251"/>
      <c r="AKX1251"/>
      <c r="AKY1251"/>
      <c r="AKZ1251"/>
      <c r="ALA1251"/>
      <c r="ALB1251"/>
      <c r="ALC1251"/>
      <c r="ALD1251"/>
      <c r="ALE1251"/>
      <c r="ALF1251"/>
      <c r="ALG1251"/>
      <c r="ALH1251"/>
      <c r="ALI1251"/>
      <c r="ALJ1251"/>
      <c r="ALK1251"/>
      <c r="ALL1251"/>
      <c r="ALM1251"/>
      <c r="ALN1251"/>
      <c r="ALO1251"/>
      <c r="ALP1251"/>
      <c r="ALQ1251"/>
      <c r="ALR1251"/>
      <c r="ALS1251"/>
      <c r="ALT1251"/>
    </row>
    <row r="1252" spans="1:1008" ht="14">
      <c r="A1252" s="28" t="s">
        <v>3931</v>
      </c>
      <c r="B1252" s="26" t="s">
        <v>3992</v>
      </c>
      <c r="C1252" s="28" t="s">
        <v>3931</v>
      </c>
      <c r="D1252" s="25" t="s">
        <v>13</v>
      </c>
      <c r="E1252" s="28" t="s">
        <v>3931</v>
      </c>
      <c r="F1252" s="28" t="s">
        <v>3932</v>
      </c>
      <c r="G1252" s="28">
        <v>500</v>
      </c>
      <c r="H1252" s="28"/>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c r="AT1252"/>
      <c r="AU1252"/>
      <c r="AV1252"/>
      <c r="AW1252"/>
      <c r="AX1252"/>
      <c r="AY1252"/>
      <c r="AZ1252"/>
      <c r="BA1252"/>
      <c r="BB1252"/>
      <c r="BC1252"/>
      <c r="BD1252"/>
      <c r="BE1252"/>
      <c r="BF1252"/>
      <c r="BG1252"/>
      <c r="BH1252"/>
      <c r="BI1252"/>
      <c r="BJ1252"/>
      <c r="BK1252"/>
      <c r="BL1252"/>
      <c r="BM1252"/>
      <c r="BN1252"/>
      <c r="BO1252"/>
      <c r="BP1252"/>
      <c r="BQ1252"/>
      <c r="BR1252"/>
      <c r="BS1252"/>
      <c r="BT1252"/>
      <c r="BU1252"/>
      <c r="BV1252"/>
      <c r="BW1252"/>
      <c r="BX1252"/>
      <c r="BY1252"/>
      <c r="BZ1252"/>
      <c r="CA1252"/>
      <c r="CB1252"/>
      <c r="CC1252"/>
      <c r="CD1252"/>
      <c r="CE1252"/>
      <c r="CF1252"/>
      <c r="CG1252"/>
      <c r="CH1252"/>
      <c r="CI1252"/>
      <c r="CJ1252"/>
      <c r="CK1252"/>
      <c r="CL1252"/>
      <c r="CM1252"/>
      <c r="CN1252"/>
      <c r="CO1252"/>
      <c r="CP1252"/>
      <c r="CQ1252"/>
      <c r="CR1252"/>
      <c r="CS1252"/>
      <c r="CT1252"/>
      <c r="CU1252"/>
      <c r="CV1252"/>
      <c r="CW1252"/>
      <c r="CX1252"/>
      <c r="CY1252"/>
      <c r="CZ1252"/>
      <c r="DA1252"/>
      <c r="DB1252"/>
      <c r="DC1252"/>
      <c r="DD1252"/>
      <c r="DE1252"/>
      <c r="DF1252"/>
      <c r="DG1252"/>
      <c r="DH1252"/>
      <c r="DI1252"/>
      <c r="DJ1252"/>
      <c r="DK1252"/>
      <c r="DL1252"/>
      <c r="DM1252"/>
      <c r="DN1252"/>
      <c r="DO1252"/>
      <c r="DP1252"/>
      <c r="DQ1252"/>
      <c r="DR1252"/>
      <c r="DS1252"/>
      <c r="DT1252"/>
      <c r="DU1252"/>
      <c r="DV1252"/>
      <c r="DW1252"/>
      <c r="DX1252"/>
      <c r="DY1252"/>
      <c r="DZ1252"/>
      <c r="EA1252"/>
      <c r="EB1252"/>
      <c r="EC1252"/>
      <c r="ED1252"/>
      <c r="EE1252"/>
      <c r="EF1252"/>
      <c r="EG1252"/>
      <c r="EH1252"/>
      <c r="EI1252"/>
      <c r="EJ1252"/>
      <c r="EK1252"/>
      <c r="EL1252"/>
      <c r="EM1252"/>
      <c r="EN1252"/>
      <c r="EO1252"/>
      <c r="EP1252"/>
      <c r="EQ1252"/>
      <c r="ER1252"/>
      <c r="ES1252"/>
      <c r="ET1252"/>
      <c r="EU1252"/>
      <c r="EV1252"/>
      <c r="EW1252"/>
      <c r="EX1252"/>
      <c r="EY1252"/>
      <c r="EZ1252"/>
      <c r="FA1252"/>
      <c r="FB1252"/>
      <c r="FC1252"/>
      <c r="FD1252"/>
      <c r="FE1252"/>
      <c r="FF1252"/>
      <c r="FG1252"/>
      <c r="FH1252"/>
      <c r="FI1252"/>
      <c r="FJ1252"/>
      <c r="FK1252"/>
      <c r="FL1252"/>
      <c r="FM1252"/>
      <c r="FN1252"/>
      <c r="FO1252"/>
      <c r="FP1252"/>
      <c r="FQ1252"/>
      <c r="FR1252"/>
      <c r="FS1252"/>
      <c r="FT1252"/>
      <c r="FU1252"/>
      <c r="FV1252"/>
      <c r="FW1252"/>
      <c r="FX1252"/>
      <c r="FY1252"/>
      <c r="FZ1252"/>
      <c r="GA1252"/>
      <c r="GB1252"/>
      <c r="GC1252"/>
      <c r="GD1252"/>
      <c r="GE1252"/>
      <c r="GF1252"/>
      <c r="GG1252"/>
      <c r="GH1252"/>
      <c r="GI1252"/>
      <c r="GJ1252"/>
      <c r="GK1252"/>
      <c r="GL1252"/>
      <c r="GM1252"/>
      <c r="GN1252"/>
      <c r="GO1252"/>
      <c r="GP1252"/>
      <c r="GQ1252"/>
      <c r="GR1252"/>
      <c r="GS1252"/>
      <c r="GT1252"/>
      <c r="GU1252"/>
      <c r="GV1252"/>
      <c r="GW1252"/>
      <c r="GX1252"/>
      <c r="GY1252"/>
      <c r="GZ1252"/>
      <c r="HA1252"/>
      <c r="HB1252"/>
      <c r="HC1252"/>
      <c r="HD1252"/>
      <c r="HE1252"/>
      <c r="HF1252"/>
      <c r="HG1252"/>
      <c r="HH1252"/>
      <c r="HI1252"/>
      <c r="HJ1252"/>
      <c r="HK1252"/>
      <c r="HL1252"/>
      <c r="HM1252"/>
      <c r="HN1252"/>
      <c r="HO1252"/>
      <c r="HP1252"/>
      <c r="HQ1252"/>
      <c r="HR1252"/>
      <c r="HS1252"/>
      <c r="HT1252"/>
      <c r="HU1252"/>
      <c r="HV1252"/>
      <c r="HW1252"/>
      <c r="HX1252"/>
      <c r="HY1252"/>
      <c r="HZ1252"/>
      <c r="IA1252"/>
      <c r="IB1252"/>
      <c r="IC1252"/>
      <c r="ID1252"/>
      <c r="IE1252"/>
      <c r="IF1252"/>
      <c r="IG1252"/>
      <c r="IH1252"/>
      <c r="II1252"/>
      <c r="IJ1252"/>
      <c r="IK1252"/>
      <c r="IL1252"/>
      <c r="IM1252"/>
      <c r="IN1252"/>
      <c r="IO1252"/>
      <c r="IP1252"/>
      <c r="IQ1252"/>
      <c r="IR1252"/>
      <c r="IS1252"/>
      <c r="IT1252"/>
      <c r="IU1252"/>
      <c r="IV1252"/>
      <c r="IW1252"/>
      <c r="IX1252"/>
      <c r="IY1252"/>
      <c r="IZ1252"/>
      <c r="JA1252"/>
      <c r="JB1252"/>
      <c r="JC1252"/>
      <c r="JD1252"/>
      <c r="JE1252"/>
      <c r="JF1252"/>
      <c r="JG1252"/>
      <c r="JH1252"/>
      <c r="JI1252"/>
      <c r="JJ1252"/>
      <c r="JK1252"/>
      <c r="JL1252"/>
      <c r="JM1252"/>
      <c r="JN1252"/>
      <c r="JO1252"/>
      <c r="JP1252"/>
      <c r="JQ1252"/>
      <c r="JR1252"/>
      <c r="JS1252"/>
      <c r="JT1252"/>
      <c r="JU1252"/>
      <c r="JV1252"/>
      <c r="JW1252"/>
      <c r="JX1252"/>
      <c r="JY1252"/>
      <c r="JZ1252"/>
      <c r="KA1252"/>
      <c r="KB1252"/>
      <c r="KC1252"/>
      <c r="KD1252"/>
      <c r="KE1252"/>
      <c r="KF1252"/>
      <c r="KG1252"/>
      <c r="KH1252"/>
      <c r="KI1252"/>
      <c r="KJ1252"/>
      <c r="KK1252"/>
      <c r="KL1252"/>
      <c r="KM1252"/>
      <c r="KN1252"/>
      <c r="KO1252"/>
      <c r="KP1252"/>
      <c r="KQ1252"/>
      <c r="KR1252"/>
      <c r="KS1252"/>
      <c r="KT1252"/>
      <c r="KU1252"/>
      <c r="KV1252"/>
      <c r="KW1252"/>
      <c r="KX1252"/>
      <c r="KY1252"/>
      <c r="KZ1252"/>
      <c r="LA1252"/>
      <c r="LB1252"/>
      <c r="LC1252"/>
      <c r="LD1252"/>
      <c r="LE1252"/>
      <c r="LF1252"/>
      <c r="LG1252"/>
      <c r="LH1252"/>
      <c r="LI1252"/>
      <c r="LJ1252"/>
      <c r="LK1252"/>
      <c r="LL1252"/>
      <c r="LM1252"/>
      <c r="LN1252"/>
      <c r="LO1252"/>
      <c r="LP1252"/>
      <c r="LQ1252"/>
      <c r="LR1252"/>
      <c r="LS1252"/>
      <c r="LT1252"/>
      <c r="LU1252"/>
      <c r="LV1252"/>
      <c r="LW1252"/>
      <c r="LX1252"/>
      <c r="LY1252"/>
      <c r="LZ1252"/>
      <c r="MA1252"/>
      <c r="MB1252"/>
      <c r="MC1252"/>
      <c r="MD1252"/>
      <c r="ME1252"/>
      <c r="MF1252"/>
      <c r="MG1252"/>
      <c r="MH1252"/>
      <c r="MI1252"/>
      <c r="MJ1252"/>
      <c r="MK1252"/>
      <c r="ML1252"/>
      <c r="MM1252"/>
      <c r="MN1252"/>
      <c r="MO1252"/>
      <c r="MP1252"/>
      <c r="MQ1252"/>
      <c r="MR1252"/>
      <c r="MS1252"/>
      <c r="MT1252"/>
      <c r="MU1252"/>
      <c r="MV1252"/>
      <c r="MW1252"/>
      <c r="MX1252"/>
      <c r="MY1252"/>
      <c r="MZ1252"/>
      <c r="NA1252"/>
      <c r="NB1252"/>
      <c r="NC1252"/>
      <c r="ND1252"/>
      <c r="NE1252"/>
      <c r="NF1252"/>
      <c r="NG1252"/>
      <c r="NH1252"/>
      <c r="NI1252"/>
      <c r="NJ1252"/>
      <c r="NK1252"/>
      <c r="NL1252"/>
      <c r="NM1252"/>
      <c r="NN1252"/>
      <c r="NO1252"/>
      <c r="NP1252"/>
      <c r="NQ1252"/>
      <c r="NR1252"/>
      <c r="NS1252"/>
      <c r="NT1252"/>
      <c r="NU1252"/>
      <c r="NV1252"/>
      <c r="NW1252"/>
      <c r="NX1252"/>
      <c r="NY1252"/>
      <c r="NZ1252"/>
      <c r="OA1252"/>
      <c r="OB1252"/>
      <c r="OC1252"/>
      <c r="OD1252"/>
      <c r="OE1252"/>
      <c r="OF1252"/>
      <c r="OG1252"/>
      <c r="OH1252"/>
      <c r="OI1252"/>
      <c r="OJ1252"/>
      <c r="OK1252"/>
      <c r="OL1252"/>
      <c r="OM1252"/>
      <c r="ON1252"/>
      <c r="OO1252"/>
      <c r="OP1252"/>
      <c r="OQ1252"/>
      <c r="OR1252"/>
      <c r="OS1252"/>
      <c r="OT1252"/>
      <c r="OU1252"/>
      <c r="OV1252"/>
      <c r="OW1252"/>
      <c r="OX1252"/>
      <c r="OY1252"/>
      <c r="OZ1252"/>
      <c r="PA1252"/>
      <c r="PB1252"/>
      <c r="PC1252"/>
      <c r="PD1252"/>
      <c r="PE1252"/>
      <c r="PF1252"/>
      <c r="PG1252"/>
      <c r="PH1252"/>
      <c r="PI1252"/>
      <c r="PJ1252"/>
      <c r="PK1252"/>
      <c r="PL1252"/>
      <c r="PM1252"/>
      <c r="PN1252"/>
      <c r="PO1252"/>
      <c r="PP1252"/>
      <c r="PQ1252"/>
      <c r="PR1252"/>
      <c r="PS1252"/>
      <c r="PT1252"/>
      <c r="PU1252"/>
      <c r="PV1252"/>
      <c r="PW1252"/>
      <c r="PX1252"/>
      <c r="PY1252"/>
      <c r="PZ1252"/>
      <c r="QA1252"/>
      <c r="QB1252"/>
      <c r="QC1252"/>
      <c r="QD1252"/>
      <c r="QE1252"/>
      <c r="QF1252"/>
      <c r="QG1252"/>
      <c r="QH1252"/>
      <c r="QI1252"/>
      <c r="QJ1252"/>
      <c r="QK1252"/>
      <c r="QL1252"/>
      <c r="QM1252"/>
      <c r="QN1252"/>
      <c r="QO1252"/>
      <c r="QP1252"/>
      <c r="QQ1252"/>
      <c r="QR1252"/>
      <c r="QS1252"/>
      <c r="QT1252"/>
      <c r="QU1252"/>
      <c r="QV1252"/>
      <c r="QW1252"/>
      <c r="QX1252"/>
      <c r="QY1252"/>
      <c r="QZ1252"/>
      <c r="RA1252"/>
      <c r="RB1252"/>
      <c r="RC1252"/>
      <c r="RD1252"/>
      <c r="RE1252"/>
      <c r="RF1252"/>
      <c r="RG1252"/>
      <c r="RH1252"/>
      <c r="RI1252"/>
      <c r="RJ1252"/>
      <c r="RK1252"/>
      <c r="RL1252"/>
      <c r="RM1252"/>
      <c r="RN1252"/>
      <c r="RO1252"/>
      <c r="RP1252"/>
      <c r="RQ1252"/>
      <c r="RR1252"/>
      <c r="RS1252"/>
      <c r="RT1252"/>
      <c r="RU1252"/>
      <c r="RV1252"/>
      <c r="RW1252"/>
      <c r="RX1252"/>
      <c r="RY1252"/>
      <c r="RZ1252"/>
      <c r="SA1252"/>
      <c r="SB1252"/>
      <c r="SC1252"/>
      <c r="SD1252"/>
      <c r="SE1252"/>
      <c r="SF1252"/>
      <c r="SG1252"/>
      <c r="SH1252"/>
      <c r="SI1252"/>
      <c r="SJ1252"/>
      <c r="SK1252"/>
      <c r="SL1252"/>
      <c r="SM1252"/>
      <c r="SN1252"/>
      <c r="SO1252"/>
      <c r="SP1252"/>
      <c r="SQ1252"/>
      <c r="SR1252"/>
      <c r="SS1252"/>
      <c r="ST1252"/>
      <c r="SU1252"/>
      <c r="SV1252"/>
      <c r="SW1252"/>
      <c r="SX1252"/>
      <c r="SY1252"/>
      <c r="SZ1252"/>
      <c r="TA1252"/>
      <c r="TB1252"/>
      <c r="TC1252"/>
      <c r="TD1252"/>
      <c r="TE1252"/>
      <c r="TF1252"/>
      <c r="TG1252"/>
      <c r="TH1252"/>
      <c r="TI1252"/>
      <c r="TJ1252"/>
      <c r="TK1252"/>
      <c r="TL1252"/>
      <c r="TM1252"/>
      <c r="TN1252"/>
      <c r="TO1252"/>
      <c r="TP1252"/>
      <c r="TQ1252"/>
      <c r="TR1252"/>
      <c r="TS1252"/>
      <c r="TT1252"/>
      <c r="TU1252"/>
      <c r="TV1252"/>
      <c r="TW1252"/>
      <c r="TX1252"/>
      <c r="TY1252"/>
      <c r="TZ1252"/>
      <c r="UA1252"/>
      <c r="UB1252"/>
      <c r="UC1252"/>
      <c r="UD1252"/>
      <c r="UE1252"/>
      <c r="UF1252"/>
      <c r="UG1252"/>
      <c r="UH1252"/>
      <c r="UI1252"/>
      <c r="UJ1252"/>
      <c r="UK1252"/>
      <c r="UL1252"/>
      <c r="UM1252"/>
      <c r="UN1252"/>
      <c r="UO1252"/>
      <c r="UP1252"/>
      <c r="UQ1252"/>
      <c r="UR1252"/>
      <c r="US1252"/>
      <c r="UT1252"/>
      <c r="UU1252"/>
      <c r="UV1252"/>
      <c r="UW1252"/>
      <c r="UX1252"/>
      <c r="UY1252"/>
      <c r="UZ1252"/>
      <c r="VA1252"/>
      <c r="VB1252"/>
      <c r="VC1252"/>
      <c r="VD1252"/>
      <c r="VE1252"/>
      <c r="VF1252"/>
      <c r="VG1252"/>
      <c r="VH1252"/>
      <c r="VI1252"/>
      <c r="VJ1252"/>
      <c r="VK1252"/>
      <c r="VL1252"/>
      <c r="VM1252"/>
      <c r="VN1252"/>
      <c r="VO1252"/>
      <c r="VP1252"/>
      <c r="VQ1252"/>
      <c r="VR1252"/>
      <c r="VS1252"/>
      <c r="VT1252"/>
      <c r="VU1252"/>
      <c r="VV1252"/>
      <c r="VW1252"/>
      <c r="VX1252"/>
      <c r="VY1252"/>
      <c r="VZ1252"/>
      <c r="WA1252"/>
      <c r="WB1252"/>
      <c r="WC1252"/>
      <c r="WD1252"/>
      <c r="WE1252"/>
      <c r="WF1252"/>
      <c r="WG1252"/>
      <c r="WH1252"/>
      <c r="WI1252"/>
      <c r="WJ1252"/>
      <c r="WK1252"/>
      <c r="WL1252"/>
      <c r="WM1252"/>
      <c r="WN1252"/>
      <c r="WO1252"/>
      <c r="WP1252"/>
      <c r="WQ1252"/>
      <c r="WR1252"/>
      <c r="WS1252"/>
      <c r="WT1252"/>
      <c r="WU1252"/>
      <c r="WV1252"/>
      <c r="WW1252"/>
      <c r="WX1252"/>
      <c r="WY1252"/>
      <c r="WZ1252"/>
      <c r="XA1252"/>
      <c r="XB1252"/>
      <c r="XC1252"/>
      <c r="XD1252"/>
      <c r="XE1252"/>
      <c r="XF1252"/>
      <c r="XG1252"/>
      <c r="XH1252"/>
      <c r="XI1252"/>
      <c r="XJ1252"/>
      <c r="XK1252"/>
      <c r="XL1252"/>
      <c r="XM1252"/>
      <c r="XN1252"/>
      <c r="XO1252"/>
      <c r="XP1252"/>
      <c r="XQ1252"/>
      <c r="XR1252"/>
      <c r="XS1252"/>
      <c r="XT1252"/>
      <c r="XU1252"/>
      <c r="XV1252"/>
      <c r="XW1252"/>
      <c r="XX1252"/>
      <c r="XY1252"/>
      <c r="XZ1252"/>
      <c r="YA1252"/>
      <c r="YB1252"/>
      <c r="YC1252"/>
      <c r="YD1252"/>
      <c r="YE1252"/>
      <c r="YF1252"/>
      <c r="YG1252"/>
      <c r="YH1252"/>
      <c r="YI1252"/>
      <c r="YJ1252"/>
      <c r="YK1252"/>
      <c r="YL1252"/>
      <c r="YM1252"/>
      <c r="YN1252"/>
      <c r="YO1252"/>
      <c r="YP1252"/>
      <c r="YQ1252"/>
      <c r="YR1252"/>
      <c r="YS1252"/>
      <c r="YT1252"/>
      <c r="YU1252"/>
      <c r="YV1252"/>
      <c r="YW1252"/>
      <c r="YX1252"/>
      <c r="YY1252"/>
      <c r="YZ1252"/>
      <c r="ZA1252"/>
      <c r="ZB1252"/>
      <c r="ZC1252"/>
      <c r="ZD1252"/>
      <c r="ZE1252"/>
      <c r="ZF1252"/>
      <c r="ZG1252"/>
      <c r="ZH1252"/>
      <c r="ZI1252"/>
      <c r="ZJ1252"/>
      <c r="ZK1252"/>
      <c r="ZL1252"/>
      <c r="ZM1252"/>
      <c r="ZN1252"/>
      <c r="ZO1252"/>
      <c r="ZP1252"/>
      <c r="ZQ1252"/>
      <c r="ZR1252"/>
      <c r="ZS1252"/>
      <c r="ZT1252"/>
      <c r="ZU1252"/>
      <c r="ZV1252"/>
      <c r="ZW1252"/>
      <c r="ZX1252"/>
      <c r="ZY1252"/>
      <c r="ZZ1252"/>
      <c r="AAA1252"/>
      <c r="AAB1252"/>
      <c r="AAC1252"/>
      <c r="AAD1252"/>
      <c r="AAE1252"/>
      <c r="AAF1252"/>
      <c r="AAG1252"/>
      <c r="AAH1252"/>
      <c r="AAI1252"/>
      <c r="AAJ1252"/>
      <c r="AAK1252"/>
      <c r="AAL1252"/>
      <c r="AAM1252"/>
      <c r="AAN1252"/>
      <c r="AAO1252"/>
      <c r="AAP1252"/>
      <c r="AAQ1252"/>
      <c r="AAR1252"/>
      <c r="AAS1252"/>
      <c r="AAT1252"/>
      <c r="AAU1252"/>
      <c r="AAV1252"/>
      <c r="AAW1252"/>
      <c r="AAX1252"/>
      <c r="AAY1252"/>
      <c r="AAZ1252"/>
      <c r="ABA1252"/>
      <c r="ABB1252"/>
      <c r="ABC1252"/>
      <c r="ABD1252"/>
      <c r="ABE1252"/>
      <c r="ABF1252"/>
      <c r="ABG1252"/>
      <c r="ABH1252"/>
      <c r="ABI1252"/>
      <c r="ABJ1252"/>
      <c r="ABK1252"/>
      <c r="ABL1252"/>
      <c r="ABM1252"/>
      <c r="ABN1252"/>
      <c r="ABO1252"/>
      <c r="ABP1252"/>
      <c r="ABQ1252"/>
      <c r="ABR1252"/>
      <c r="ABS1252"/>
      <c r="ABT1252"/>
      <c r="ABU1252"/>
      <c r="ABV1252"/>
      <c r="ABW1252"/>
      <c r="ABX1252"/>
      <c r="ABY1252"/>
      <c r="ABZ1252"/>
      <c r="ACA1252"/>
      <c r="ACB1252"/>
      <c r="ACC1252"/>
      <c r="ACD1252"/>
      <c r="ACE1252"/>
      <c r="ACF1252"/>
      <c r="ACG1252"/>
      <c r="ACH1252"/>
      <c r="ACI1252"/>
      <c r="ACJ1252"/>
      <c r="ACK1252"/>
      <c r="ACL1252"/>
      <c r="ACM1252"/>
      <c r="ACN1252"/>
      <c r="ACO1252"/>
      <c r="ACP1252"/>
      <c r="ACQ1252"/>
      <c r="ACR1252"/>
      <c r="ACS1252"/>
      <c r="ACT1252"/>
      <c r="ACU1252"/>
      <c r="ACV1252"/>
      <c r="ACW1252"/>
      <c r="ACX1252"/>
      <c r="ACY1252"/>
      <c r="ACZ1252"/>
      <c r="ADA1252"/>
      <c r="ADB1252"/>
      <c r="ADC1252"/>
      <c r="ADD1252"/>
      <c r="ADE1252"/>
      <c r="ADF1252"/>
      <c r="ADG1252"/>
      <c r="ADH1252"/>
      <c r="ADI1252"/>
      <c r="ADJ1252"/>
      <c r="ADK1252"/>
      <c r="ADL1252"/>
      <c r="ADM1252"/>
      <c r="ADN1252"/>
      <c r="ADO1252"/>
      <c r="ADP1252"/>
      <c r="ADQ1252"/>
      <c r="ADR1252"/>
      <c r="ADS1252"/>
      <c r="ADT1252"/>
      <c r="ADU1252"/>
      <c r="ADV1252"/>
      <c r="ADW1252"/>
      <c r="ADX1252"/>
      <c r="ADY1252"/>
      <c r="ADZ1252"/>
      <c r="AEA1252"/>
      <c r="AEB1252"/>
      <c r="AEC1252"/>
      <c r="AED1252"/>
      <c r="AEE1252"/>
      <c r="AEF1252"/>
      <c r="AEG1252"/>
      <c r="AEH1252"/>
      <c r="AEI1252"/>
      <c r="AEJ1252"/>
      <c r="AEK1252"/>
      <c r="AEL1252"/>
      <c r="AEM1252"/>
      <c r="AEN1252"/>
      <c r="AEO1252"/>
      <c r="AEP1252"/>
      <c r="AEQ1252"/>
      <c r="AER1252"/>
      <c r="AES1252"/>
      <c r="AET1252"/>
      <c r="AEU1252"/>
      <c r="AEV1252"/>
      <c r="AEW1252"/>
      <c r="AEX1252"/>
      <c r="AEY1252"/>
      <c r="AEZ1252"/>
      <c r="AFA1252"/>
      <c r="AFB1252"/>
      <c r="AFC1252"/>
      <c r="AFD1252"/>
      <c r="AFE1252"/>
      <c r="AFF1252"/>
      <c r="AFG1252"/>
      <c r="AFH1252"/>
      <c r="AFI1252"/>
      <c r="AFJ1252"/>
      <c r="AFK1252"/>
      <c r="AFL1252"/>
      <c r="AFM1252"/>
      <c r="AFN1252"/>
      <c r="AFO1252"/>
      <c r="AFP1252"/>
      <c r="AFQ1252"/>
      <c r="AFR1252"/>
      <c r="AFS1252"/>
      <c r="AFT1252"/>
      <c r="AFU1252"/>
      <c r="AFV1252"/>
      <c r="AFW1252"/>
      <c r="AFX1252"/>
      <c r="AFY1252"/>
      <c r="AFZ1252"/>
      <c r="AGA1252"/>
      <c r="AGB1252"/>
      <c r="AGC1252"/>
      <c r="AGD1252"/>
      <c r="AGE1252"/>
      <c r="AGF1252"/>
      <c r="AGG1252"/>
      <c r="AGH1252"/>
      <c r="AGI1252"/>
      <c r="AGJ1252"/>
      <c r="AGK1252"/>
      <c r="AGL1252"/>
      <c r="AGM1252"/>
      <c r="AGN1252"/>
      <c r="AGO1252"/>
      <c r="AGP1252"/>
      <c r="AGQ1252"/>
      <c r="AGR1252"/>
      <c r="AGS1252"/>
      <c r="AGT1252"/>
      <c r="AGU1252"/>
      <c r="AGV1252"/>
      <c r="AGW1252"/>
      <c r="AGX1252"/>
      <c r="AGY1252"/>
      <c r="AGZ1252"/>
      <c r="AHA1252"/>
      <c r="AHB1252"/>
      <c r="AHC1252"/>
      <c r="AHD1252"/>
      <c r="AHE1252"/>
      <c r="AHF1252"/>
      <c r="AHG1252"/>
      <c r="AHH1252"/>
      <c r="AHI1252"/>
      <c r="AHJ1252"/>
      <c r="AHK1252"/>
      <c r="AHL1252"/>
      <c r="AHM1252"/>
      <c r="AHN1252"/>
      <c r="AHO1252"/>
      <c r="AHP1252"/>
      <c r="AHQ1252"/>
      <c r="AHR1252"/>
      <c r="AHS1252"/>
      <c r="AHT1252"/>
      <c r="AHU1252"/>
      <c r="AHV1252"/>
      <c r="AHW1252"/>
      <c r="AHX1252"/>
      <c r="AHY1252"/>
      <c r="AHZ1252"/>
      <c r="AIA1252"/>
      <c r="AIB1252"/>
      <c r="AIC1252"/>
      <c r="AID1252"/>
      <c r="AIE1252"/>
      <c r="AIF1252"/>
      <c r="AIG1252"/>
      <c r="AIH1252"/>
      <c r="AII1252"/>
      <c r="AIJ1252"/>
      <c r="AIK1252"/>
      <c r="AIL1252"/>
      <c r="AIM1252"/>
      <c r="AIN1252"/>
      <c r="AIO1252"/>
      <c r="AIP1252"/>
      <c r="AIQ1252"/>
      <c r="AIR1252"/>
      <c r="AIS1252"/>
      <c r="AIT1252"/>
      <c r="AIU1252"/>
      <c r="AIV1252"/>
      <c r="AIW1252"/>
      <c r="AIX1252"/>
      <c r="AIY1252"/>
      <c r="AIZ1252"/>
      <c r="AJA1252"/>
      <c r="AJB1252"/>
      <c r="AJC1252"/>
      <c r="AJD1252"/>
      <c r="AJE1252"/>
      <c r="AJF1252"/>
      <c r="AJG1252"/>
      <c r="AJH1252"/>
      <c r="AJI1252"/>
      <c r="AJJ1252"/>
      <c r="AJK1252"/>
      <c r="AJL1252"/>
      <c r="AJM1252"/>
      <c r="AJN1252"/>
      <c r="AJO1252"/>
      <c r="AJP1252"/>
      <c r="AJQ1252"/>
      <c r="AJR1252"/>
      <c r="AJS1252"/>
      <c r="AJT1252"/>
      <c r="AJU1252"/>
      <c r="AJV1252"/>
      <c r="AJW1252"/>
      <c r="AJX1252"/>
      <c r="AJY1252"/>
      <c r="AJZ1252"/>
      <c r="AKA1252"/>
      <c r="AKB1252"/>
      <c r="AKC1252"/>
      <c r="AKD1252"/>
      <c r="AKE1252"/>
      <c r="AKF1252"/>
      <c r="AKG1252"/>
      <c r="AKH1252"/>
      <c r="AKI1252"/>
      <c r="AKJ1252"/>
      <c r="AKK1252"/>
      <c r="AKL1252"/>
      <c r="AKM1252"/>
      <c r="AKN1252"/>
      <c r="AKO1252"/>
      <c r="AKP1252"/>
      <c r="AKQ1252"/>
      <c r="AKR1252"/>
      <c r="AKS1252"/>
      <c r="AKT1252"/>
      <c r="AKU1252"/>
      <c r="AKV1252"/>
      <c r="AKW1252"/>
      <c r="AKX1252"/>
      <c r="AKY1252"/>
      <c r="AKZ1252"/>
      <c r="ALA1252"/>
      <c r="ALB1252"/>
      <c r="ALC1252"/>
      <c r="ALD1252"/>
      <c r="ALE1252"/>
      <c r="ALF1252"/>
      <c r="ALG1252"/>
      <c r="ALH1252"/>
      <c r="ALI1252"/>
      <c r="ALJ1252"/>
      <c r="ALK1252"/>
      <c r="ALL1252"/>
      <c r="ALM1252"/>
      <c r="ALN1252"/>
      <c r="ALO1252"/>
      <c r="ALP1252"/>
      <c r="ALQ1252"/>
      <c r="ALR1252"/>
      <c r="ALS1252"/>
      <c r="ALT1252"/>
    </row>
    <row r="1253" spans="1:1008" ht="14">
      <c r="A1253" s="28" t="s">
        <v>3933</v>
      </c>
      <c r="B1253" s="26" t="s">
        <v>3994</v>
      </c>
      <c r="C1253" s="28" t="s">
        <v>3933</v>
      </c>
      <c r="D1253" s="25" t="s">
        <v>13</v>
      </c>
      <c r="E1253" s="28" t="s">
        <v>3933</v>
      </c>
      <c r="F1253" s="28" t="s">
        <v>3934</v>
      </c>
      <c r="G1253" s="28">
        <v>500</v>
      </c>
      <c r="H1253" s="28"/>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c r="AT1253"/>
      <c r="AU1253"/>
      <c r="AV1253"/>
      <c r="AW1253"/>
      <c r="AX1253"/>
      <c r="AY1253"/>
      <c r="AZ1253"/>
      <c r="BA1253"/>
      <c r="BB1253"/>
      <c r="BC1253"/>
      <c r="BD1253"/>
      <c r="BE1253"/>
      <c r="BF1253"/>
      <c r="BG1253"/>
      <c r="BH1253"/>
      <c r="BI1253"/>
      <c r="BJ1253"/>
      <c r="BK1253"/>
      <c r="BL1253"/>
      <c r="BM1253"/>
      <c r="BN1253"/>
      <c r="BO1253"/>
      <c r="BP1253"/>
      <c r="BQ1253"/>
      <c r="BR1253"/>
      <c r="BS1253"/>
      <c r="BT1253"/>
      <c r="BU1253"/>
      <c r="BV1253"/>
      <c r="BW1253"/>
      <c r="BX1253"/>
      <c r="BY1253"/>
      <c r="BZ1253"/>
      <c r="CA1253"/>
      <c r="CB1253"/>
      <c r="CC1253"/>
      <c r="CD1253"/>
      <c r="CE1253"/>
      <c r="CF1253"/>
      <c r="CG1253"/>
      <c r="CH1253"/>
      <c r="CI1253"/>
      <c r="CJ1253"/>
      <c r="CK1253"/>
      <c r="CL1253"/>
      <c r="CM1253"/>
      <c r="CN1253"/>
      <c r="CO1253"/>
      <c r="CP1253"/>
      <c r="CQ1253"/>
      <c r="CR1253"/>
      <c r="CS1253"/>
      <c r="CT1253"/>
      <c r="CU1253"/>
      <c r="CV1253"/>
      <c r="CW1253"/>
      <c r="CX1253"/>
      <c r="CY1253"/>
      <c r="CZ1253"/>
      <c r="DA1253"/>
      <c r="DB1253"/>
      <c r="DC1253"/>
      <c r="DD1253"/>
      <c r="DE1253"/>
      <c r="DF1253"/>
      <c r="DG1253"/>
      <c r="DH1253"/>
      <c r="DI1253"/>
      <c r="DJ1253"/>
      <c r="DK1253"/>
      <c r="DL1253"/>
      <c r="DM1253"/>
      <c r="DN1253"/>
      <c r="DO1253"/>
      <c r="DP1253"/>
      <c r="DQ1253"/>
      <c r="DR1253"/>
      <c r="DS1253"/>
      <c r="DT1253"/>
      <c r="DU1253"/>
      <c r="DV1253"/>
      <c r="DW1253"/>
      <c r="DX1253"/>
      <c r="DY1253"/>
      <c r="DZ1253"/>
      <c r="EA1253"/>
      <c r="EB1253"/>
      <c r="EC1253"/>
      <c r="ED1253"/>
      <c r="EE1253"/>
      <c r="EF1253"/>
      <c r="EG1253"/>
      <c r="EH1253"/>
      <c r="EI1253"/>
      <c r="EJ1253"/>
      <c r="EK1253"/>
      <c r="EL1253"/>
      <c r="EM1253"/>
      <c r="EN1253"/>
      <c r="EO1253"/>
      <c r="EP1253"/>
      <c r="EQ1253"/>
      <c r="ER1253"/>
      <c r="ES1253"/>
      <c r="ET1253"/>
      <c r="EU1253"/>
      <c r="EV1253"/>
      <c r="EW1253"/>
      <c r="EX1253"/>
      <c r="EY1253"/>
      <c r="EZ1253"/>
      <c r="FA1253"/>
      <c r="FB1253"/>
      <c r="FC1253"/>
      <c r="FD1253"/>
      <c r="FE1253"/>
      <c r="FF1253"/>
      <c r="FG1253"/>
      <c r="FH1253"/>
      <c r="FI1253"/>
      <c r="FJ1253"/>
      <c r="FK1253"/>
      <c r="FL1253"/>
      <c r="FM1253"/>
      <c r="FN1253"/>
      <c r="FO1253"/>
      <c r="FP1253"/>
      <c r="FQ1253"/>
      <c r="FR1253"/>
      <c r="FS1253"/>
      <c r="FT1253"/>
      <c r="FU1253"/>
      <c r="FV1253"/>
      <c r="FW1253"/>
      <c r="FX1253"/>
      <c r="FY1253"/>
      <c r="FZ1253"/>
      <c r="GA1253"/>
      <c r="GB1253"/>
      <c r="GC1253"/>
      <c r="GD1253"/>
      <c r="GE1253"/>
      <c r="GF1253"/>
      <c r="GG1253"/>
      <c r="GH1253"/>
      <c r="GI1253"/>
      <c r="GJ1253"/>
      <c r="GK1253"/>
      <c r="GL1253"/>
      <c r="GM1253"/>
      <c r="GN1253"/>
      <c r="GO1253"/>
      <c r="GP1253"/>
      <c r="GQ1253"/>
      <c r="GR1253"/>
      <c r="GS1253"/>
      <c r="GT1253"/>
      <c r="GU1253"/>
      <c r="GV1253"/>
      <c r="GW1253"/>
      <c r="GX1253"/>
      <c r="GY1253"/>
      <c r="GZ1253"/>
      <c r="HA1253"/>
      <c r="HB1253"/>
      <c r="HC1253"/>
      <c r="HD1253"/>
      <c r="HE1253"/>
      <c r="HF1253"/>
      <c r="HG1253"/>
      <c r="HH1253"/>
      <c r="HI1253"/>
      <c r="HJ1253"/>
      <c r="HK1253"/>
      <c r="HL1253"/>
      <c r="HM1253"/>
      <c r="HN1253"/>
      <c r="HO1253"/>
      <c r="HP1253"/>
      <c r="HQ1253"/>
      <c r="HR1253"/>
      <c r="HS1253"/>
      <c r="HT1253"/>
      <c r="HU1253"/>
      <c r="HV1253"/>
      <c r="HW1253"/>
      <c r="HX1253"/>
      <c r="HY1253"/>
      <c r="HZ1253"/>
      <c r="IA1253"/>
      <c r="IB1253"/>
      <c r="IC1253"/>
      <c r="ID1253"/>
      <c r="IE1253"/>
      <c r="IF1253"/>
      <c r="IG1253"/>
      <c r="IH1253"/>
      <c r="II1253"/>
      <c r="IJ1253"/>
      <c r="IK1253"/>
      <c r="IL1253"/>
      <c r="IM1253"/>
      <c r="IN1253"/>
      <c r="IO1253"/>
      <c r="IP1253"/>
      <c r="IQ1253"/>
      <c r="IR1253"/>
      <c r="IS1253"/>
      <c r="IT1253"/>
      <c r="IU1253"/>
      <c r="IV1253"/>
      <c r="IW1253"/>
      <c r="IX1253"/>
      <c r="IY1253"/>
      <c r="IZ1253"/>
      <c r="JA1253"/>
      <c r="JB1253"/>
      <c r="JC1253"/>
      <c r="JD1253"/>
      <c r="JE1253"/>
      <c r="JF1253"/>
      <c r="JG1253"/>
      <c r="JH1253"/>
      <c r="JI1253"/>
      <c r="JJ1253"/>
      <c r="JK1253"/>
      <c r="JL1253"/>
      <c r="JM1253"/>
      <c r="JN1253"/>
      <c r="JO1253"/>
      <c r="JP1253"/>
      <c r="JQ1253"/>
      <c r="JR1253"/>
      <c r="JS1253"/>
      <c r="JT1253"/>
      <c r="JU1253"/>
      <c r="JV1253"/>
      <c r="JW1253"/>
      <c r="JX1253"/>
      <c r="JY1253"/>
      <c r="JZ1253"/>
      <c r="KA1253"/>
      <c r="KB1253"/>
      <c r="KC1253"/>
      <c r="KD1253"/>
      <c r="KE1253"/>
      <c r="KF1253"/>
      <c r="KG1253"/>
      <c r="KH1253"/>
      <c r="KI1253"/>
      <c r="KJ1253"/>
      <c r="KK1253"/>
      <c r="KL1253"/>
      <c r="KM1253"/>
      <c r="KN1253"/>
      <c r="KO1253"/>
      <c r="KP1253"/>
      <c r="KQ1253"/>
      <c r="KR1253"/>
      <c r="KS1253"/>
      <c r="KT1253"/>
      <c r="KU1253"/>
      <c r="KV1253"/>
      <c r="KW1253"/>
      <c r="KX1253"/>
      <c r="KY1253"/>
      <c r="KZ1253"/>
      <c r="LA1253"/>
      <c r="LB1253"/>
      <c r="LC1253"/>
      <c r="LD1253"/>
      <c r="LE1253"/>
      <c r="LF1253"/>
      <c r="LG1253"/>
      <c r="LH1253"/>
      <c r="LI1253"/>
      <c r="LJ1253"/>
      <c r="LK1253"/>
      <c r="LL1253"/>
      <c r="LM1253"/>
      <c r="LN1253"/>
      <c r="LO1253"/>
      <c r="LP1253"/>
      <c r="LQ1253"/>
      <c r="LR1253"/>
      <c r="LS1253"/>
      <c r="LT1253"/>
      <c r="LU1253"/>
      <c r="LV1253"/>
      <c r="LW1253"/>
      <c r="LX1253"/>
      <c r="LY1253"/>
      <c r="LZ1253"/>
      <c r="MA1253"/>
      <c r="MB1253"/>
      <c r="MC1253"/>
      <c r="MD1253"/>
      <c r="ME1253"/>
      <c r="MF1253"/>
      <c r="MG1253"/>
      <c r="MH1253"/>
      <c r="MI1253"/>
      <c r="MJ1253"/>
      <c r="MK1253"/>
      <c r="ML1253"/>
      <c r="MM1253"/>
      <c r="MN1253"/>
      <c r="MO1253"/>
      <c r="MP1253"/>
      <c r="MQ1253"/>
      <c r="MR1253"/>
      <c r="MS1253"/>
      <c r="MT1253"/>
      <c r="MU1253"/>
      <c r="MV1253"/>
      <c r="MW1253"/>
      <c r="MX1253"/>
      <c r="MY1253"/>
      <c r="MZ1253"/>
      <c r="NA1253"/>
      <c r="NB1253"/>
      <c r="NC1253"/>
      <c r="ND1253"/>
      <c r="NE1253"/>
      <c r="NF1253"/>
      <c r="NG1253"/>
      <c r="NH1253"/>
      <c r="NI1253"/>
      <c r="NJ1253"/>
      <c r="NK1253"/>
      <c r="NL1253"/>
      <c r="NM1253"/>
      <c r="NN1253"/>
      <c r="NO1253"/>
      <c r="NP1253"/>
      <c r="NQ1253"/>
      <c r="NR1253"/>
      <c r="NS1253"/>
      <c r="NT1253"/>
      <c r="NU1253"/>
      <c r="NV1253"/>
      <c r="NW1253"/>
      <c r="NX1253"/>
      <c r="NY1253"/>
      <c r="NZ1253"/>
      <c r="OA1253"/>
      <c r="OB1253"/>
      <c r="OC1253"/>
      <c r="OD1253"/>
      <c r="OE1253"/>
      <c r="OF1253"/>
      <c r="OG1253"/>
      <c r="OH1253"/>
      <c r="OI1253"/>
      <c r="OJ1253"/>
      <c r="OK1253"/>
      <c r="OL1253"/>
      <c r="OM1253"/>
      <c r="ON1253"/>
      <c r="OO1253"/>
      <c r="OP1253"/>
      <c r="OQ1253"/>
      <c r="OR1253"/>
      <c r="OS1253"/>
      <c r="OT1253"/>
      <c r="OU1253"/>
      <c r="OV1253"/>
      <c r="OW1253"/>
      <c r="OX1253"/>
      <c r="OY1253"/>
      <c r="OZ1253"/>
      <c r="PA1253"/>
      <c r="PB1253"/>
      <c r="PC1253"/>
      <c r="PD1253"/>
      <c r="PE1253"/>
      <c r="PF1253"/>
      <c r="PG1253"/>
      <c r="PH1253"/>
      <c r="PI1253"/>
      <c r="PJ1253"/>
      <c r="PK1253"/>
      <c r="PL1253"/>
      <c r="PM1253"/>
      <c r="PN1253"/>
      <c r="PO1253"/>
      <c r="PP1253"/>
      <c r="PQ1253"/>
      <c r="PR1253"/>
      <c r="PS1253"/>
      <c r="PT1253"/>
      <c r="PU1253"/>
      <c r="PV1253"/>
      <c r="PW1253"/>
      <c r="PX1253"/>
      <c r="PY1253"/>
      <c r="PZ1253"/>
      <c r="QA1253"/>
      <c r="QB1253"/>
      <c r="QC1253"/>
      <c r="QD1253"/>
      <c r="QE1253"/>
      <c r="QF1253"/>
      <c r="QG1253"/>
      <c r="QH1253"/>
      <c r="QI1253"/>
      <c r="QJ1253"/>
      <c r="QK1253"/>
      <c r="QL1253"/>
      <c r="QM1253"/>
      <c r="QN1253"/>
      <c r="QO1253"/>
      <c r="QP1253"/>
      <c r="QQ1253"/>
      <c r="QR1253"/>
      <c r="QS1253"/>
      <c r="QT1253"/>
      <c r="QU1253"/>
      <c r="QV1253"/>
      <c r="QW1253"/>
      <c r="QX1253"/>
      <c r="QY1253"/>
      <c r="QZ1253"/>
      <c r="RA1253"/>
      <c r="RB1253"/>
      <c r="RC1253"/>
      <c r="RD1253"/>
      <c r="RE1253"/>
      <c r="RF1253"/>
      <c r="RG1253"/>
      <c r="RH1253"/>
      <c r="RI1253"/>
      <c r="RJ1253"/>
      <c r="RK1253"/>
      <c r="RL1253"/>
      <c r="RM1253"/>
      <c r="RN1253"/>
      <c r="RO1253"/>
      <c r="RP1253"/>
      <c r="RQ1253"/>
      <c r="RR1253"/>
      <c r="RS1253"/>
      <c r="RT1253"/>
      <c r="RU1253"/>
      <c r="RV1253"/>
      <c r="RW1253"/>
      <c r="RX1253"/>
      <c r="RY1253"/>
      <c r="RZ1253"/>
      <c r="SA1253"/>
      <c r="SB1253"/>
      <c r="SC1253"/>
      <c r="SD1253"/>
      <c r="SE1253"/>
      <c r="SF1253"/>
      <c r="SG1253"/>
      <c r="SH1253"/>
      <c r="SI1253"/>
      <c r="SJ1253"/>
      <c r="SK1253"/>
      <c r="SL1253"/>
      <c r="SM1253"/>
      <c r="SN1253"/>
      <c r="SO1253"/>
      <c r="SP1253"/>
      <c r="SQ1253"/>
      <c r="SR1253"/>
      <c r="SS1253"/>
      <c r="ST1253"/>
      <c r="SU1253"/>
      <c r="SV1253"/>
      <c r="SW1253"/>
      <c r="SX1253"/>
      <c r="SY1253"/>
      <c r="SZ1253"/>
      <c r="TA1253"/>
      <c r="TB1253"/>
      <c r="TC1253"/>
      <c r="TD1253"/>
      <c r="TE1253"/>
      <c r="TF1253"/>
      <c r="TG1253"/>
      <c r="TH1253"/>
      <c r="TI1253"/>
      <c r="TJ1253"/>
      <c r="TK1253"/>
      <c r="TL1253"/>
      <c r="TM1253"/>
      <c r="TN1253"/>
      <c r="TO1253"/>
      <c r="TP1253"/>
      <c r="TQ1253"/>
      <c r="TR1253"/>
      <c r="TS1253"/>
      <c r="TT1253"/>
      <c r="TU1253"/>
      <c r="TV1253"/>
      <c r="TW1253"/>
      <c r="TX1253"/>
      <c r="TY1253"/>
      <c r="TZ1253"/>
      <c r="UA1253"/>
      <c r="UB1253"/>
      <c r="UC1253"/>
      <c r="UD1253"/>
      <c r="UE1253"/>
      <c r="UF1253"/>
      <c r="UG1253"/>
      <c r="UH1253"/>
      <c r="UI1253"/>
      <c r="UJ1253"/>
      <c r="UK1253"/>
      <c r="UL1253"/>
      <c r="UM1253"/>
      <c r="UN1253"/>
      <c r="UO1253"/>
      <c r="UP1253"/>
      <c r="UQ1253"/>
      <c r="UR1253"/>
      <c r="US1253"/>
      <c r="UT1253"/>
      <c r="UU1253"/>
      <c r="UV1253"/>
      <c r="UW1253"/>
      <c r="UX1253"/>
      <c r="UY1253"/>
      <c r="UZ1253"/>
      <c r="VA1253"/>
      <c r="VB1253"/>
      <c r="VC1253"/>
      <c r="VD1253"/>
      <c r="VE1253"/>
      <c r="VF1253"/>
      <c r="VG1253"/>
      <c r="VH1253"/>
      <c r="VI1253"/>
      <c r="VJ1253"/>
      <c r="VK1253"/>
      <c r="VL1253"/>
      <c r="VM1253"/>
      <c r="VN1253"/>
      <c r="VO1253"/>
      <c r="VP1253"/>
      <c r="VQ1253"/>
      <c r="VR1253"/>
      <c r="VS1253"/>
      <c r="VT1253"/>
      <c r="VU1253"/>
      <c r="VV1253"/>
      <c r="VW1253"/>
      <c r="VX1253"/>
      <c r="VY1253"/>
      <c r="VZ1253"/>
      <c r="WA1253"/>
      <c r="WB1253"/>
      <c r="WC1253"/>
      <c r="WD1253"/>
      <c r="WE1253"/>
      <c r="WF1253"/>
      <c r="WG1253"/>
      <c r="WH1253"/>
      <c r="WI1253"/>
      <c r="WJ1253"/>
      <c r="WK1253"/>
      <c r="WL1253"/>
      <c r="WM1253"/>
      <c r="WN1253"/>
      <c r="WO1253"/>
      <c r="WP1253"/>
      <c r="WQ1253"/>
      <c r="WR1253"/>
      <c r="WS1253"/>
      <c r="WT1253"/>
      <c r="WU1253"/>
      <c r="WV1253"/>
      <c r="WW1253"/>
      <c r="WX1253"/>
      <c r="WY1253"/>
      <c r="WZ1253"/>
      <c r="XA1253"/>
      <c r="XB1253"/>
      <c r="XC1253"/>
      <c r="XD1253"/>
      <c r="XE1253"/>
      <c r="XF1253"/>
      <c r="XG1253"/>
      <c r="XH1253"/>
      <c r="XI1253"/>
      <c r="XJ1253"/>
      <c r="XK1253"/>
      <c r="XL1253"/>
      <c r="XM1253"/>
      <c r="XN1253"/>
      <c r="XO1253"/>
      <c r="XP1253"/>
      <c r="XQ1253"/>
      <c r="XR1253"/>
      <c r="XS1253"/>
      <c r="XT1253"/>
      <c r="XU1253"/>
      <c r="XV1253"/>
      <c r="XW1253"/>
      <c r="XX1253"/>
      <c r="XY1253"/>
      <c r="XZ1253"/>
      <c r="YA1253"/>
      <c r="YB1253"/>
      <c r="YC1253"/>
      <c r="YD1253"/>
      <c r="YE1253"/>
      <c r="YF1253"/>
      <c r="YG1253"/>
      <c r="YH1253"/>
      <c r="YI1253"/>
      <c r="YJ1253"/>
      <c r="YK1253"/>
      <c r="YL1253"/>
      <c r="YM1253"/>
      <c r="YN1253"/>
      <c r="YO1253"/>
      <c r="YP1253"/>
      <c r="YQ1253"/>
      <c r="YR1253"/>
      <c r="YS1253"/>
      <c r="YT1253"/>
      <c r="YU1253"/>
      <c r="YV1253"/>
      <c r="YW1253"/>
      <c r="YX1253"/>
      <c r="YY1253"/>
      <c r="YZ1253"/>
      <c r="ZA1253"/>
      <c r="ZB1253"/>
      <c r="ZC1253"/>
      <c r="ZD1253"/>
      <c r="ZE1253"/>
      <c r="ZF1253"/>
      <c r="ZG1253"/>
      <c r="ZH1253"/>
      <c r="ZI1253"/>
      <c r="ZJ1253"/>
      <c r="ZK1253"/>
      <c r="ZL1253"/>
      <c r="ZM1253"/>
      <c r="ZN1253"/>
      <c r="ZO1253"/>
      <c r="ZP1253"/>
      <c r="ZQ1253"/>
      <c r="ZR1253"/>
      <c r="ZS1253"/>
      <c r="ZT1253"/>
      <c r="ZU1253"/>
      <c r="ZV1253"/>
      <c r="ZW1253"/>
      <c r="ZX1253"/>
      <c r="ZY1253"/>
      <c r="ZZ1253"/>
      <c r="AAA1253"/>
      <c r="AAB1253"/>
      <c r="AAC1253"/>
      <c r="AAD1253"/>
      <c r="AAE1253"/>
      <c r="AAF1253"/>
      <c r="AAG1253"/>
      <c r="AAH1253"/>
      <c r="AAI1253"/>
      <c r="AAJ1253"/>
      <c r="AAK1253"/>
      <c r="AAL1253"/>
      <c r="AAM1253"/>
      <c r="AAN1253"/>
      <c r="AAO1253"/>
      <c r="AAP1253"/>
      <c r="AAQ1253"/>
      <c r="AAR1253"/>
      <c r="AAS1253"/>
      <c r="AAT1253"/>
      <c r="AAU1253"/>
      <c r="AAV1253"/>
      <c r="AAW1253"/>
      <c r="AAX1253"/>
      <c r="AAY1253"/>
      <c r="AAZ1253"/>
      <c r="ABA1253"/>
      <c r="ABB1253"/>
      <c r="ABC1253"/>
      <c r="ABD1253"/>
      <c r="ABE1253"/>
      <c r="ABF1253"/>
      <c r="ABG1253"/>
      <c r="ABH1253"/>
      <c r="ABI1253"/>
      <c r="ABJ1253"/>
      <c r="ABK1253"/>
      <c r="ABL1253"/>
      <c r="ABM1253"/>
      <c r="ABN1253"/>
      <c r="ABO1253"/>
      <c r="ABP1253"/>
      <c r="ABQ1253"/>
      <c r="ABR1253"/>
      <c r="ABS1253"/>
      <c r="ABT1253"/>
      <c r="ABU1253"/>
      <c r="ABV1253"/>
      <c r="ABW1253"/>
      <c r="ABX1253"/>
      <c r="ABY1253"/>
      <c r="ABZ1253"/>
      <c r="ACA1253"/>
      <c r="ACB1253"/>
      <c r="ACC1253"/>
      <c r="ACD1253"/>
      <c r="ACE1253"/>
      <c r="ACF1253"/>
      <c r="ACG1253"/>
      <c r="ACH1253"/>
      <c r="ACI1253"/>
      <c r="ACJ1253"/>
      <c r="ACK1253"/>
      <c r="ACL1253"/>
      <c r="ACM1253"/>
      <c r="ACN1253"/>
      <c r="ACO1253"/>
      <c r="ACP1253"/>
      <c r="ACQ1253"/>
      <c r="ACR1253"/>
      <c r="ACS1253"/>
      <c r="ACT1253"/>
      <c r="ACU1253"/>
      <c r="ACV1253"/>
      <c r="ACW1253"/>
      <c r="ACX1253"/>
      <c r="ACY1253"/>
      <c r="ACZ1253"/>
      <c r="ADA1253"/>
      <c r="ADB1253"/>
      <c r="ADC1253"/>
      <c r="ADD1253"/>
      <c r="ADE1253"/>
      <c r="ADF1253"/>
      <c r="ADG1253"/>
      <c r="ADH1253"/>
      <c r="ADI1253"/>
      <c r="ADJ1253"/>
      <c r="ADK1253"/>
      <c r="ADL1253"/>
      <c r="ADM1253"/>
      <c r="ADN1253"/>
      <c r="ADO1253"/>
      <c r="ADP1253"/>
      <c r="ADQ1253"/>
      <c r="ADR1253"/>
      <c r="ADS1253"/>
      <c r="ADT1253"/>
      <c r="ADU1253"/>
      <c r="ADV1253"/>
      <c r="ADW1253"/>
      <c r="ADX1253"/>
      <c r="ADY1253"/>
      <c r="ADZ1253"/>
      <c r="AEA1253"/>
      <c r="AEB1253"/>
      <c r="AEC1253"/>
      <c r="AED1253"/>
      <c r="AEE1253"/>
      <c r="AEF1253"/>
      <c r="AEG1253"/>
      <c r="AEH1253"/>
      <c r="AEI1253"/>
      <c r="AEJ1253"/>
      <c r="AEK1253"/>
      <c r="AEL1253"/>
      <c r="AEM1253"/>
      <c r="AEN1253"/>
      <c r="AEO1253"/>
      <c r="AEP1253"/>
      <c r="AEQ1253"/>
      <c r="AER1253"/>
      <c r="AES1253"/>
      <c r="AET1253"/>
      <c r="AEU1253"/>
      <c r="AEV1253"/>
      <c r="AEW1253"/>
      <c r="AEX1253"/>
      <c r="AEY1253"/>
      <c r="AEZ1253"/>
      <c r="AFA1253"/>
      <c r="AFB1253"/>
      <c r="AFC1253"/>
      <c r="AFD1253"/>
      <c r="AFE1253"/>
      <c r="AFF1253"/>
      <c r="AFG1253"/>
      <c r="AFH1253"/>
      <c r="AFI1253"/>
      <c r="AFJ1253"/>
      <c r="AFK1253"/>
      <c r="AFL1253"/>
      <c r="AFM1253"/>
      <c r="AFN1253"/>
      <c r="AFO1253"/>
      <c r="AFP1253"/>
      <c r="AFQ1253"/>
      <c r="AFR1253"/>
      <c r="AFS1253"/>
      <c r="AFT1253"/>
      <c r="AFU1253"/>
      <c r="AFV1253"/>
      <c r="AFW1253"/>
      <c r="AFX1253"/>
      <c r="AFY1253"/>
      <c r="AFZ1253"/>
      <c r="AGA1253"/>
      <c r="AGB1253"/>
      <c r="AGC1253"/>
      <c r="AGD1253"/>
      <c r="AGE1253"/>
      <c r="AGF1253"/>
      <c r="AGG1253"/>
      <c r="AGH1253"/>
      <c r="AGI1253"/>
      <c r="AGJ1253"/>
      <c r="AGK1253"/>
      <c r="AGL1253"/>
      <c r="AGM1253"/>
      <c r="AGN1253"/>
      <c r="AGO1253"/>
      <c r="AGP1253"/>
      <c r="AGQ1253"/>
      <c r="AGR1253"/>
      <c r="AGS1253"/>
      <c r="AGT1253"/>
      <c r="AGU1253"/>
      <c r="AGV1253"/>
      <c r="AGW1253"/>
      <c r="AGX1253"/>
      <c r="AGY1253"/>
      <c r="AGZ1253"/>
      <c r="AHA1253"/>
      <c r="AHB1253"/>
      <c r="AHC1253"/>
      <c r="AHD1253"/>
      <c r="AHE1253"/>
      <c r="AHF1253"/>
      <c r="AHG1253"/>
      <c r="AHH1253"/>
      <c r="AHI1253"/>
      <c r="AHJ1253"/>
      <c r="AHK1253"/>
      <c r="AHL1253"/>
      <c r="AHM1253"/>
      <c r="AHN1253"/>
      <c r="AHO1253"/>
      <c r="AHP1253"/>
      <c r="AHQ1253"/>
      <c r="AHR1253"/>
      <c r="AHS1253"/>
      <c r="AHT1253"/>
      <c r="AHU1253"/>
      <c r="AHV1253"/>
      <c r="AHW1253"/>
      <c r="AHX1253"/>
      <c r="AHY1253"/>
      <c r="AHZ1253"/>
      <c r="AIA1253"/>
      <c r="AIB1253"/>
      <c r="AIC1253"/>
      <c r="AID1253"/>
      <c r="AIE1253"/>
      <c r="AIF1253"/>
      <c r="AIG1253"/>
      <c r="AIH1253"/>
      <c r="AII1253"/>
      <c r="AIJ1253"/>
      <c r="AIK1253"/>
      <c r="AIL1253"/>
      <c r="AIM1253"/>
      <c r="AIN1253"/>
      <c r="AIO1253"/>
      <c r="AIP1253"/>
      <c r="AIQ1253"/>
      <c r="AIR1253"/>
      <c r="AIS1253"/>
      <c r="AIT1253"/>
      <c r="AIU1253"/>
      <c r="AIV1253"/>
      <c r="AIW1253"/>
      <c r="AIX1253"/>
      <c r="AIY1253"/>
      <c r="AIZ1253"/>
      <c r="AJA1253"/>
      <c r="AJB1253"/>
      <c r="AJC1253"/>
      <c r="AJD1253"/>
      <c r="AJE1253"/>
      <c r="AJF1253"/>
      <c r="AJG1253"/>
      <c r="AJH1253"/>
      <c r="AJI1253"/>
      <c r="AJJ1253"/>
      <c r="AJK1253"/>
      <c r="AJL1253"/>
      <c r="AJM1253"/>
      <c r="AJN1253"/>
      <c r="AJO1253"/>
      <c r="AJP1253"/>
      <c r="AJQ1253"/>
      <c r="AJR1253"/>
      <c r="AJS1253"/>
      <c r="AJT1253"/>
      <c r="AJU1253"/>
      <c r="AJV1253"/>
      <c r="AJW1253"/>
      <c r="AJX1253"/>
      <c r="AJY1253"/>
      <c r="AJZ1253"/>
      <c r="AKA1253"/>
      <c r="AKB1253"/>
      <c r="AKC1253"/>
      <c r="AKD1253"/>
      <c r="AKE1253"/>
      <c r="AKF1253"/>
      <c r="AKG1253"/>
      <c r="AKH1253"/>
      <c r="AKI1253"/>
      <c r="AKJ1253"/>
      <c r="AKK1253"/>
      <c r="AKL1253"/>
      <c r="AKM1253"/>
      <c r="AKN1253"/>
      <c r="AKO1253"/>
      <c r="AKP1253"/>
      <c r="AKQ1253"/>
      <c r="AKR1253"/>
      <c r="AKS1253"/>
      <c r="AKT1253"/>
      <c r="AKU1253"/>
      <c r="AKV1253"/>
      <c r="AKW1253"/>
      <c r="AKX1253"/>
      <c r="AKY1253"/>
      <c r="AKZ1253"/>
      <c r="ALA1253"/>
      <c r="ALB1253"/>
      <c r="ALC1253"/>
      <c r="ALD1253"/>
      <c r="ALE1253"/>
      <c r="ALF1253"/>
      <c r="ALG1253"/>
      <c r="ALH1253"/>
      <c r="ALI1253"/>
      <c r="ALJ1253"/>
      <c r="ALK1253"/>
      <c r="ALL1253"/>
      <c r="ALM1253"/>
      <c r="ALN1253"/>
      <c r="ALO1253"/>
      <c r="ALP1253"/>
      <c r="ALQ1253"/>
      <c r="ALR1253"/>
      <c r="ALS1253"/>
      <c r="ALT1253"/>
    </row>
    <row r="1254" spans="1:1008" ht="14">
      <c r="A1254" s="28" t="s">
        <v>3935</v>
      </c>
      <c r="B1254" s="26" t="s">
        <v>3994</v>
      </c>
      <c r="C1254" s="28" t="s">
        <v>3935</v>
      </c>
      <c r="D1254" s="25" t="s">
        <v>13</v>
      </c>
      <c r="E1254" s="28" t="s">
        <v>3935</v>
      </c>
      <c r="F1254" s="28" t="s">
        <v>3936</v>
      </c>
      <c r="G1254" s="28">
        <v>500</v>
      </c>
      <c r="H1254" s="28"/>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c r="AT1254"/>
      <c r="AU1254"/>
      <c r="AV1254"/>
      <c r="AW1254"/>
      <c r="AX1254"/>
      <c r="AY1254"/>
      <c r="AZ1254"/>
      <c r="BA1254"/>
      <c r="BB1254"/>
      <c r="BC1254"/>
      <c r="BD1254"/>
      <c r="BE1254"/>
      <c r="BF1254"/>
      <c r="BG1254"/>
      <c r="BH1254"/>
      <c r="BI1254"/>
      <c r="BJ1254"/>
      <c r="BK1254"/>
      <c r="BL1254"/>
      <c r="BM1254"/>
      <c r="BN1254"/>
      <c r="BO1254"/>
      <c r="BP1254"/>
      <c r="BQ1254"/>
      <c r="BR1254"/>
      <c r="BS1254"/>
      <c r="BT1254"/>
      <c r="BU1254"/>
      <c r="BV1254"/>
      <c r="BW1254"/>
      <c r="BX1254"/>
      <c r="BY1254"/>
      <c r="BZ1254"/>
      <c r="CA1254"/>
      <c r="CB1254"/>
      <c r="CC1254"/>
      <c r="CD1254"/>
      <c r="CE1254"/>
      <c r="CF1254"/>
      <c r="CG1254"/>
      <c r="CH1254"/>
      <c r="CI1254"/>
      <c r="CJ1254"/>
      <c r="CK1254"/>
      <c r="CL1254"/>
      <c r="CM1254"/>
      <c r="CN1254"/>
      <c r="CO1254"/>
      <c r="CP1254"/>
      <c r="CQ1254"/>
      <c r="CR1254"/>
      <c r="CS1254"/>
      <c r="CT1254"/>
      <c r="CU1254"/>
      <c r="CV1254"/>
      <c r="CW1254"/>
      <c r="CX1254"/>
      <c r="CY1254"/>
      <c r="CZ1254"/>
      <c r="DA1254"/>
      <c r="DB1254"/>
      <c r="DC1254"/>
      <c r="DD1254"/>
      <c r="DE1254"/>
      <c r="DF1254"/>
      <c r="DG1254"/>
      <c r="DH1254"/>
      <c r="DI1254"/>
      <c r="DJ1254"/>
      <c r="DK1254"/>
      <c r="DL1254"/>
      <c r="DM1254"/>
      <c r="DN1254"/>
      <c r="DO1254"/>
      <c r="DP1254"/>
      <c r="DQ1254"/>
      <c r="DR1254"/>
      <c r="DS1254"/>
      <c r="DT1254"/>
      <c r="DU1254"/>
      <c r="DV1254"/>
      <c r="DW1254"/>
      <c r="DX1254"/>
      <c r="DY1254"/>
      <c r="DZ1254"/>
      <c r="EA1254"/>
      <c r="EB1254"/>
      <c r="EC1254"/>
      <c r="ED1254"/>
      <c r="EE1254"/>
      <c r="EF1254"/>
      <c r="EG1254"/>
      <c r="EH1254"/>
      <c r="EI1254"/>
      <c r="EJ1254"/>
      <c r="EK1254"/>
      <c r="EL1254"/>
      <c r="EM1254"/>
      <c r="EN1254"/>
      <c r="EO1254"/>
      <c r="EP1254"/>
      <c r="EQ1254"/>
      <c r="ER1254"/>
      <c r="ES1254"/>
      <c r="ET1254"/>
      <c r="EU1254"/>
      <c r="EV1254"/>
      <c r="EW1254"/>
      <c r="EX1254"/>
      <c r="EY1254"/>
      <c r="EZ1254"/>
      <c r="FA1254"/>
      <c r="FB1254"/>
      <c r="FC1254"/>
      <c r="FD1254"/>
      <c r="FE1254"/>
      <c r="FF1254"/>
      <c r="FG1254"/>
      <c r="FH1254"/>
      <c r="FI1254"/>
      <c r="FJ1254"/>
      <c r="FK1254"/>
      <c r="FL1254"/>
      <c r="FM1254"/>
      <c r="FN1254"/>
      <c r="FO1254"/>
      <c r="FP1254"/>
      <c r="FQ1254"/>
      <c r="FR1254"/>
      <c r="FS1254"/>
      <c r="FT1254"/>
      <c r="FU1254"/>
      <c r="FV1254"/>
      <c r="FW1254"/>
      <c r="FX1254"/>
      <c r="FY1254"/>
      <c r="FZ1254"/>
      <c r="GA1254"/>
      <c r="GB1254"/>
      <c r="GC1254"/>
      <c r="GD1254"/>
      <c r="GE1254"/>
      <c r="GF1254"/>
      <c r="GG1254"/>
      <c r="GH1254"/>
      <c r="GI1254"/>
      <c r="GJ1254"/>
      <c r="GK1254"/>
      <c r="GL1254"/>
      <c r="GM1254"/>
      <c r="GN1254"/>
      <c r="GO1254"/>
      <c r="GP1254"/>
      <c r="GQ1254"/>
      <c r="GR1254"/>
      <c r="GS1254"/>
      <c r="GT1254"/>
      <c r="GU1254"/>
      <c r="GV1254"/>
      <c r="GW1254"/>
      <c r="GX1254"/>
      <c r="GY1254"/>
      <c r="GZ1254"/>
      <c r="HA1254"/>
      <c r="HB1254"/>
      <c r="HC1254"/>
      <c r="HD1254"/>
      <c r="HE1254"/>
      <c r="HF1254"/>
      <c r="HG1254"/>
      <c r="HH1254"/>
      <c r="HI1254"/>
      <c r="HJ1254"/>
      <c r="HK1254"/>
      <c r="HL1254"/>
      <c r="HM1254"/>
      <c r="HN1254"/>
      <c r="HO1254"/>
      <c r="HP1254"/>
      <c r="HQ1254"/>
      <c r="HR1254"/>
      <c r="HS1254"/>
      <c r="HT1254"/>
      <c r="HU1254"/>
      <c r="HV1254"/>
      <c r="HW1254"/>
      <c r="HX1254"/>
      <c r="HY1254"/>
      <c r="HZ1254"/>
      <c r="IA1254"/>
      <c r="IB1254"/>
      <c r="IC1254"/>
      <c r="ID1254"/>
      <c r="IE1254"/>
      <c r="IF1254"/>
      <c r="IG1254"/>
      <c r="IH1254"/>
      <c r="II1254"/>
      <c r="IJ1254"/>
      <c r="IK1254"/>
      <c r="IL1254"/>
      <c r="IM1254"/>
      <c r="IN1254"/>
      <c r="IO1254"/>
      <c r="IP1254"/>
      <c r="IQ1254"/>
      <c r="IR1254"/>
      <c r="IS1254"/>
      <c r="IT1254"/>
      <c r="IU1254"/>
      <c r="IV1254"/>
      <c r="IW1254"/>
      <c r="IX1254"/>
      <c r="IY1254"/>
      <c r="IZ1254"/>
      <c r="JA1254"/>
      <c r="JB1254"/>
      <c r="JC1254"/>
      <c r="JD1254"/>
      <c r="JE1254"/>
      <c r="JF1254"/>
      <c r="JG1254"/>
      <c r="JH1254"/>
      <c r="JI1254"/>
      <c r="JJ1254"/>
      <c r="JK1254"/>
      <c r="JL1254"/>
      <c r="JM1254"/>
      <c r="JN1254"/>
      <c r="JO1254"/>
      <c r="JP1254"/>
      <c r="JQ1254"/>
      <c r="JR1254"/>
      <c r="JS1254"/>
      <c r="JT1254"/>
      <c r="JU1254"/>
      <c r="JV1254"/>
      <c r="JW1254"/>
      <c r="JX1254"/>
      <c r="JY1254"/>
      <c r="JZ1254"/>
      <c r="KA1254"/>
      <c r="KB1254"/>
      <c r="KC1254"/>
      <c r="KD1254"/>
      <c r="KE1254"/>
      <c r="KF1254"/>
      <c r="KG1254"/>
      <c r="KH1254"/>
      <c r="KI1254"/>
      <c r="KJ1254"/>
      <c r="KK1254"/>
      <c r="KL1254"/>
      <c r="KM1254"/>
      <c r="KN1254"/>
      <c r="KO1254"/>
      <c r="KP1254"/>
      <c r="KQ1254"/>
      <c r="KR1254"/>
      <c r="KS1254"/>
      <c r="KT1254"/>
      <c r="KU1254"/>
      <c r="KV1254"/>
      <c r="KW1254"/>
      <c r="KX1254"/>
      <c r="KY1254"/>
      <c r="KZ1254"/>
      <c r="LA1254"/>
      <c r="LB1254"/>
      <c r="LC1254"/>
      <c r="LD1254"/>
      <c r="LE1254"/>
      <c r="LF1254"/>
      <c r="LG1254"/>
      <c r="LH1254"/>
      <c r="LI1254"/>
      <c r="LJ1254"/>
      <c r="LK1254"/>
      <c r="LL1254"/>
      <c r="LM1254"/>
      <c r="LN1254"/>
      <c r="LO1254"/>
      <c r="LP1254"/>
      <c r="LQ1254"/>
      <c r="LR1254"/>
      <c r="LS1254"/>
      <c r="LT1254"/>
      <c r="LU1254"/>
      <c r="LV1254"/>
      <c r="LW1254"/>
      <c r="LX1254"/>
      <c r="LY1254"/>
      <c r="LZ1254"/>
      <c r="MA1254"/>
      <c r="MB1254"/>
      <c r="MC1254"/>
      <c r="MD1254"/>
      <c r="ME1254"/>
      <c r="MF1254"/>
      <c r="MG1254"/>
      <c r="MH1254"/>
      <c r="MI1254"/>
      <c r="MJ1254"/>
      <c r="MK1254"/>
      <c r="ML1254"/>
      <c r="MM1254"/>
      <c r="MN1254"/>
      <c r="MO1254"/>
      <c r="MP1254"/>
      <c r="MQ1254"/>
      <c r="MR1254"/>
      <c r="MS1254"/>
      <c r="MT1254"/>
      <c r="MU1254"/>
      <c r="MV1254"/>
      <c r="MW1254"/>
      <c r="MX1254"/>
      <c r="MY1254"/>
      <c r="MZ1254"/>
      <c r="NA1254"/>
      <c r="NB1254"/>
      <c r="NC1254"/>
      <c r="ND1254"/>
      <c r="NE1254"/>
      <c r="NF1254"/>
      <c r="NG1254"/>
      <c r="NH1254"/>
      <c r="NI1254"/>
      <c r="NJ1254"/>
      <c r="NK1254"/>
      <c r="NL1254"/>
      <c r="NM1254"/>
      <c r="NN1254"/>
      <c r="NO1254"/>
      <c r="NP1254"/>
      <c r="NQ1254"/>
      <c r="NR1254"/>
      <c r="NS1254"/>
      <c r="NT1254"/>
      <c r="NU1254"/>
      <c r="NV1254"/>
      <c r="NW1254"/>
      <c r="NX1254"/>
      <c r="NY1254"/>
      <c r="NZ1254"/>
      <c r="OA1254"/>
      <c r="OB1254"/>
      <c r="OC1254"/>
      <c r="OD1254"/>
      <c r="OE1254"/>
      <c r="OF1254"/>
      <c r="OG1254"/>
      <c r="OH1254"/>
      <c r="OI1254"/>
      <c r="OJ1254"/>
      <c r="OK1254"/>
      <c r="OL1254"/>
      <c r="OM1254"/>
      <c r="ON1254"/>
      <c r="OO1254"/>
      <c r="OP1254"/>
      <c r="OQ1254"/>
      <c r="OR1254"/>
      <c r="OS1254"/>
      <c r="OT1254"/>
      <c r="OU1254"/>
      <c r="OV1254"/>
      <c r="OW1254"/>
      <c r="OX1254"/>
      <c r="OY1254"/>
      <c r="OZ1254"/>
      <c r="PA1254"/>
      <c r="PB1254"/>
      <c r="PC1254"/>
      <c r="PD1254"/>
      <c r="PE1254"/>
      <c r="PF1254"/>
      <c r="PG1254"/>
      <c r="PH1254"/>
      <c r="PI1254"/>
      <c r="PJ1254"/>
      <c r="PK1254"/>
      <c r="PL1254"/>
      <c r="PM1254"/>
      <c r="PN1254"/>
      <c r="PO1254"/>
      <c r="PP1254"/>
      <c r="PQ1254"/>
      <c r="PR1254"/>
      <c r="PS1254"/>
      <c r="PT1254"/>
      <c r="PU1254"/>
      <c r="PV1254"/>
      <c r="PW1254"/>
      <c r="PX1254"/>
      <c r="PY1254"/>
      <c r="PZ1254"/>
      <c r="QA1254"/>
      <c r="QB1254"/>
      <c r="QC1254"/>
      <c r="QD1254"/>
      <c r="QE1254"/>
      <c r="QF1254"/>
      <c r="QG1254"/>
      <c r="QH1254"/>
      <c r="QI1254"/>
      <c r="QJ1254"/>
      <c r="QK1254"/>
      <c r="QL1254"/>
      <c r="QM1254"/>
      <c r="QN1254"/>
      <c r="QO1254"/>
      <c r="QP1254"/>
      <c r="QQ1254"/>
      <c r="QR1254"/>
      <c r="QS1254"/>
      <c r="QT1254"/>
      <c r="QU1254"/>
      <c r="QV1254"/>
      <c r="QW1254"/>
      <c r="QX1254"/>
      <c r="QY1254"/>
      <c r="QZ1254"/>
      <c r="RA1254"/>
      <c r="RB1254"/>
      <c r="RC1254"/>
      <c r="RD1254"/>
      <c r="RE1254"/>
      <c r="RF1254"/>
      <c r="RG1254"/>
      <c r="RH1254"/>
      <c r="RI1254"/>
      <c r="RJ1254"/>
      <c r="RK1254"/>
      <c r="RL1254"/>
      <c r="RM1254"/>
      <c r="RN1254"/>
      <c r="RO1254"/>
      <c r="RP1254"/>
      <c r="RQ1254"/>
      <c r="RR1254"/>
      <c r="RS1254"/>
      <c r="RT1254"/>
      <c r="RU1254"/>
      <c r="RV1254"/>
      <c r="RW1254"/>
      <c r="RX1254"/>
      <c r="RY1254"/>
      <c r="RZ1254"/>
      <c r="SA1254"/>
      <c r="SB1254"/>
      <c r="SC1254"/>
      <c r="SD1254"/>
      <c r="SE1254"/>
      <c r="SF1254"/>
      <c r="SG1254"/>
      <c r="SH1254"/>
      <c r="SI1254"/>
      <c r="SJ1254"/>
      <c r="SK1254"/>
      <c r="SL1254"/>
      <c r="SM1254"/>
      <c r="SN1254"/>
      <c r="SO1254"/>
      <c r="SP1254"/>
      <c r="SQ1254"/>
      <c r="SR1254"/>
      <c r="SS1254"/>
      <c r="ST1254"/>
      <c r="SU1254"/>
      <c r="SV1254"/>
      <c r="SW1254"/>
      <c r="SX1254"/>
      <c r="SY1254"/>
      <c r="SZ1254"/>
      <c r="TA1254"/>
      <c r="TB1254"/>
      <c r="TC1254"/>
      <c r="TD1254"/>
      <c r="TE1254"/>
      <c r="TF1254"/>
      <c r="TG1254"/>
      <c r="TH1254"/>
      <c r="TI1254"/>
      <c r="TJ1254"/>
      <c r="TK1254"/>
      <c r="TL1254"/>
      <c r="TM1254"/>
      <c r="TN1254"/>
      <c r="TO1254"/>
      <c r="TP1254"/>
      <c r="TQ1254"/>
      <c r="TR1254"/>
      <c r="TS1254"/>
      <c r="TT1254"/>
      <c r="TU1254"/>
      <c r="TV1254"/>
      <c r="TW1254"/>
      <c r="TX1254"/>
      <c r="TY1254"/>
      <c r="TZ1254"/>
      <c r="UA1254"/>
      <c r="UB1254"/>
      <c r="UC1254"/>
      <c r="UD1254"/>
      <c r="UE1254"/>
      <c r="UF1254"/>
      <c r="UG1254"/>
      <c r="UH1254"/>
      <c r="UI1254"/>
      <c r="UJ1254"/>
      <c r="UK1254"/>
      <c r="UL1254"/>
      <c r="UM1254"/>
      <c r="UN1254"/>
      <c r="UO1254"/>
      <c r="UP1254"/>
      <c r="UQ1254"/>
      <c r="UR1254"/>
      <c r="US1254"/>
      <c r="UT1254"/>
      <c r="UU1254"/>
      <c r="UV1254"/>
      <c r="UW1254"/>
      <c r="UX1254"/>
      <c r="UY1254"/>
      <c r="UZ1254"/>
      <c r="VA1254"/>
      <c r="VB1254"/>
      <c r="VC1254"/>
      <c r="VD1254"/>
      <c r="VE1254"/>
      <c r="VF1254"/>
      <c r="VG1254"/>
      <c r="VH1254"/>
      <c r="VI1254"/>
      <c r="VJ1254"/>
      <c r="VK1254"/>
      <c r="VL1254"/>
      <c r="VM1254"/>
      <c r="VN1254"/>
      <c r="VO1254"/>
      <c r="VP1254"/>
      <c r="VQ1254"/>
      <c r="VR1254"/>
      <c r="VS1254"/>
      <c r="VT1254"/>
      <c r="VU1254"/>
      <c r="VV1254"/>
      <c r="VW1254"/>
      <c r="VX1254"/>
      <c r="VY1254"/>
      <c r="VZ1254"/>
      <c r="WA1254"/>
      <c r="WB1254"/>
      <c r="WC1254"/>
      <c r="WD1254"/>
      <c r="WE1254"/>
      <c r="WF1254"/>
      <c r="WG1254"/>
      <c r="WH1254"/>
      <c r="WI1254"/>
      <c r="WJ1254"/>
      <c r="WK1254"/>
      <c r="WL1254"/>
      <c r="WM1254"/>
      <c r="WN1254"/>
      <c r="WO1254"/>
      <c r="WP1254"/>
      <c r="WQ1254"/>
      <c r="WR1254"/>
      <c r="WS1254"/>
      <c r="WT1254"/>
      <c r="WU1254"/>
      <c r="WV1254"/>
      <c r="WW1254"/>
      <c r="WX1254"/>
      <c r="WY1254"/>
      <c r="WZ1254"/>
      <c r="XA1254"/>
      <c r="XB1254"/>
      <c r="XC1254"/>
      <c r="XD1254"/>
      <c r="XE1254"/>
      <c r="XF1254"/>
      <c r="XG1254"/>
      <c r="XH1254"/>
      <c r="XI1254"/>
      <c r="XJ1254"/>
      <c r="XK1254"/>
      <c r="XL1254"/>
      <c r="XM1254"/>
      <c r="XN1254"/>
      <c r="XO1254"/>
      <c r="XP1254"/>
      <c r="XQ1254"/>
      <c r="XR1254"/>
      <c r="XS1254"/>
      <c r="XT1254"/>
      <c r="XU1254"/>
      <c r="XV1254"/>
      <c r="XW1254"/>
      <c r="XX1254"/>
      <c r="XY1254"/>
      <c r="XZ1254"/>
      <c r="YA1254"/>
      <c r="YB1254"/>
      <c r="YC1254"/>
      <c r="YD1254"/>
      <c r="YE1254"/>
      <c r="YF1254"/>
      <c r="YG1254"/>
      <c r="YH1254"/>
      <c r="YI1254"/>
      <c r="YJ1254"/>
      <c r="YK1254"/>
      <c r="YL1254"/>
      <c r="YM1254"/>
      <c r="YN1254"/>
      <c r="YO1254"/>
      <c r="YP1254"/>
      <c r="YQ1254"/>
      <c r="YR1254"/>
      <c r="YS1254"/>
      <c r="YT1254"/>
      <c r="YU1254"/>
      <c r="YV1254"/>
      <c r="YW1254"/>
      <c r="YX1254"/>
      <c r="YY1254"/>
      <c r="YZ1254"/>
      <c r="ZA1254"/>
      <c r="ZB1254"/>
      <c r="ZC1254"/>
      <c r="ZD1254"/>
      <c r="ZE1254"/>
      <c r="ZF1254"/>
      <c r="ZG1254"/>
      <c r="ZH1254"/>
      <c r="ZI1254"/>
      <c r="ZJ1254"/>
      <c r="ZK1254"/>
      <c r="ZL1254"/>
      <c r="ZM1254"/>
      <c r="ZN1254"/>
      <c r="ZO1254"/>
      <c r="ZP1254"/>
      <c r="ZQ1254"/>
      <c r="ZR1254"/>
      <c r="ZS1254"/>
      <c r="ZT1254"/>
      <c r="ZU1254"/>
      <c r="ZV1254"/>
      <c r="ZW1254"/>
      <c r="ZX1254"/>
      <c r="ZY1254"/>
      <c r="ZZ1254"/>
      <c r="AAA1254"/>
      <c r="AAB1254"/>
      <c r="AAC1254"/>
      <c r="AAD1254"/>
      <c r="AAE1254"/>
      <c r="AAF1254"/>
      <c r="AAG1254"/>
      <c r="AAH1254"/>
      <c r="AAI1254"/>
      <c r="AAJ1254"/>
      <c r="AAK1254"/>
      <c r="AAL1254"/>
      <c r="AAM1254"/>
      <c r="AAN1254"/>
      <c r="AAO1254"/>
      <c r="AAP1254"/>
      <c r="AAQ1254"/>
      <c r="AAR1254"/>
      <c r="AAS1254"/>
      <c r="AAT1254"/>
      <c r="AAU1254"/>
      <c r="AAV1254"/>
      <c r="AAW1254"/>
      <c r="AAX1254"/>
      <c r="AAY1254"/>
      <c r="AAZ1254"/>
      <c r="ABA1254"/>
      <c r="ABB1254"/>
      <c r="ABC1254"/>
      <c r="ABD1254"/>
      <c r="ABE1254"/>
      <c r="ABF1254"/>
      <c r="ABG1254"/>
      <c r="ABH1254"/>
      <c r="ABI1254"/>
      <c r="ABJ1254"/>
      <c r="ABK1254"/>
      <c r="ABL1254"/>
      <c r="ABM1254"/>
      <c r="ABN1254"/>
      <c r="ABO1254"/>
      <c r="ABP1254"/>
      <c r="ABQ1254"/>
      <c r="ABR1254"/>
      <c r="ABS1254"/>
      <c r="ABT1254"/>
      <c r="ABU1254"/>
      <c r="ABV1254"/>
      <c r="ABW1254"/>
      <c r="ABX1254"/>
      <c r="ABY1254"/>
      <c r="ABZ1254"/>
      <c r="ACA1254"/>
      <c r="ACB1254"/>
      <c r="ACC1254"/>
      <c r="ACD1254"/>
      <c r="ACE1254"/>
      <c r="ACF1254"/>
      <c r="ACG1254"/>
      <c r="ACH1254"/>
      <c r="ACI1254"/>
      <c r="ACJ1254"/>
      <c r="ACK1254"/>
      <c r="ACL1254"/>
      <c r="ACM1254"/>
      <c r="ACN1254"/>
      <c r="ACO1254"/>
      <c r="ACP1254"/>
      <c r="ACQ1254"/>
      <c r="ACR1254"/>
      <c r="ACS1254"/>
      <c r="ACT1254"/>
      <c r="ACU1254"/>
      <c r="ACV1254"/>
      <c r="ACW1254"/>
      <c r="ACX1254"/>
      <c r="ACY1254"/>
      <c r="ACZ1254"/>
      <c r="ADA1254"/>
      <c r="ADB1254"/>
      <c r="ADC1254"/>
      <c r="ADD1254"/>
      <c r="ADE1254"/>
      <c r="ADF1254"/>
      <c r="ADG1254"/>
      <c r="ADH1254"/>
      <c r="ADI1254"/>
      <c r="ADJ1254"/>
      <c r="ADK1254"/>
      <c r="ADL1254"/>
      <c r="ADM1254"/>
      <c r="ADN1254"/>
      <c r="ADO1254"/>
      <c r="ADP1254"/>
      <c r="ADQ1254"/>
      <c r="ADR1254"/>
      <c r="ADS1254"/>
      <c r="ADT1254"/>
      <c r="ADU1254"/>
      <c r="ADV1254"/>
      <c r="ADW1254"/>
      <c r="ADX1254"/>
      <c r="ADY1254"/>
      <c r="ADZ1254"/>
      <c r="AEA1254"/>
      <c r="AEB1254"/>
      <c r="AEC1254"/>
      <c r="AED1254"/>
      <c r="AEE1254"/>
      <c r="AEF1254"/>
      <c r="AEG1254"/>
      <c r="AEH1254"/>
      <c r="AEI1254"/>
      <c r="AEJ1254"/>
      <c r="AEK1254"/>
      <c r="AEL1254"/>
      <c r="AEM1254"/>
      <c r="AEN1254"/>
      <c r="AEO1254"/>
      <c r="AEP1254"/>
      <c r="AEQ1254"/>
      <c r="AER1254"/>
      <c r="AES1254"/>
      <c r="AET1254"/>
      <c r="AEU1254"/>
      <c r="AEV1254"/>
      <c r="AEW1254"/>
      <c r="AEX1254"/>
      <c r="AEY1254"/>
      <c r="AEZ1254"/>
      <c r="AFA1254"/>
      <c r="AFB1254"/>
      <c r="AFC1254"/>
      <c r="AFD1254"/>
      <c r="AFE1254"/>
      <c r="AFF1254"/>
      <c r="AFG1254"/>
      <c r="AFH1254"/>
      <c r="AFI1254"/>
      <c r="AFJ1254"/>
      <c r="AFK1254"/>
      <c r="AFL1254"/>
      <c r="AFM1254"/>
      <c r="AFN1254"/>
      <c r="AFO1254"/>
      <c r="AFP1254"/>
      <c r="AFQ1254"/>
      <c r="AFR1254"/>
      <c r="AFS1254"/>
      <c r="AFT1254"/>
      <c r="AFU1254"/>
      <c r="AFV1254"/>
      <c r="AFW1254"/>
      <c r="AFX1254"/>
      <c r="AFY1254"/>
      <c r="AFZ1254"/>
      <c r="AGA1254"/>
      <c r="AGB1254"/>
      <c r="AGC1254"/>
      <c r="AGD1254"/>
      <c r="AGE1254"/>
      <c r="AGF1254"/>
      <c r="AGG1254"/>
      <c r="AGH1254"/>
      <c r="AGI1254"/>
      <c r="AGJ1254"/>
      <c r="AGK1254"/>
      <c r="AGL1254"/>
      <c r="AGM1254"/>
      <c r="AGN1254"/>
      <c r="AGO1254"/>
      <c r="AGP1254"/>
      <c r="AGQ1254"/>
      <c r="AGR1254"/>
      <c r="AGS1254"/>
      <c r="AGT1254"/>
      <c r="AGU1254"/>
      <c r="AGV1254"/>
      <c r="AGW1254"/>
      <c r="AGX1254"/>
      <c r="AGY1254"/>
      <c r="AGZ1254"/>
      <c r="AHA1254"/>
      <c r="AHB1254"/>
      <c r="AHC1254"/>
      <c r="AHD1254"/>
      <c r="AHE1254"/>
      <c r="AHF1254"/>
      <c r="AHG1254"/>
      <c r="AHH1254"/>
      <c r="AHI1254"/>
      <c r="AHJ1254"/>
      <c r="AHK1254"/>
      <c r="AHL1254"/>
      <c r="AHM1254"/>
      <c r="AHN1254"/>
      <c r="AHO1254"/>
      <c r="AHP1254"/>
      <c r="AHQ1254"/>
      <c r="AHR1254"/>
      <c r="AHS1254"/>
      <c r="AHT1254"/>
      <c r="AHU1254"/>
      <c r="AHV1254"/>
      <c r="AHW1254"/>
      <c r="AHX1254"/>
      <c r="AHY1254"/>
      <c r="AHZ1254"/>
      <c r="AIA1254"/>
      <c r="AIB1254"/>
      <c r="AIC1254"/>
      <c r="AID1254"/>
      <c r="AIE1254"/>
      <c r="AIF1254"/>
      <c r="AIG1254"/>
      <c r="AIH1254"/>
      <c r="AII1254"/>
      <c r="AIJ1254"/>
      <c r="AIK1254"/>
      <c r="AIL1254"/>
      <c r="AIM1254"/>
      <c r="AIN1254"/>
      <c r="AIO1254"/>
      <c r="AIP1254"/>
      <c r="AIQ1254"/>
      <c r="AIR1254"/>
      <c r="AIS1254"/>
      <c r="AIT1254"/>
      <c r="AIU1254"/>
      <c r="AIV1254"/>
      <c r="AIW1254"/>
      <c r="AIX1254"/>
      <c r="AIY1254"/>
      <c r="AIZ1254"/>
      <c r="AJA1254"/>
      <c r="AJB1254"/>
      <c r="AJC1254"/>
      <c r="AJD1254"/>
      <c r="AJE1254"/>
      <c r="AJF1254"/>
      <c r="AJG1254"/>
      <c r="AJH1254"/>
      <c r="AJI1254"/>
      <c r="AJJ1254"/>
      <c r="AJK1254"/>
      <c r="AJL1254"/>
      <c r="AJM1254"/>
      <c r="AJN1254"/>
      <c r="AJO1254"/>
      <c r="AJP1254"/>
      <c r="AJQ1254"/>
      <c r="AJR1254"/>
      <c r="AJS1254"/>
      <c r="AJT1254"/>
      <c r="AJU1254"/>
      <c r="AJV1254"/>
      <c r="AJW1254"/>
      <c r="AJX1254"/>
      <c r="AJY1254"/>
      <c r="AJZ1254"/>
      <c r="AKA1254"/>
      <c r="AKB1254"/>
      <c r="AKC1254"/>
      <c r="AKD1254"/>
      <c r="AKE1254"/>
      <c r="AKF1254"/>
      <c r="AKG1254"/>
      <c r="AKH1254"/>
      <c r="AKI1254"/>
      <c r="AKJ1254"/>
      <c r="AKK1254"/>
      <c r="AKL1254"/>
      <c r="AKM1254"/>
      <c r="AKN1254"/>
      <c r="AKO1254"/>
      <c r="AKP1254"/>
      <c r="AKQ1254"/>
      <c r="AKR1254"/>
      <c r="AKS1254"/>
      <c r="AKT1254"/>
      <c r="AKU1254"/>
      <c r="AKV1254"/>
      <c r="AKW1254"/>
      <c r="AKX1254"/>
      <c r="AKY1254"/>
      <c r="AKZ1254"/>
      <c r="ALA1254"/>
      <c r="ALB1254"/>
      <c r="ALC1254"/>
      <c r="ALD1254"/>
      <c r="ALE1254"/>
      <c r="ALF1254"/>
      <c r="ALG1254"/>
      <c r="ALH1254"/>
      <c r="ALI1254"/>
      <c r="ALJ1254"/>
      <c r="ALK1254"/>
      <c r="ALL1254"/>
      <c r="ALM1254"/>
      <c r="ALN1254"/>
      <c r="ALO1254"/>
      <c r="ALP1254"/>
      <c r="ALQ1254"/>
      <c r="ALR1254"/>
      <c r="ALS1254"/>
      <c r="ALT1254"/>
    </row>
    <row r="1255" spans="1:1008" ht="14">
      <c r="A1255" s="28" t="s">
        <v>3937</v>
      </c>
      <c r="B1255" s="26" t="s">
        <v>3994</v>
      </c>
      <c r="C1255" s="28" t="s">
        <v>3937</v>
      </c>
      <c r="D1255" s="25" t="s">
        <v>13</v>
      </c>
      <c r="E1255" s="28" t="s">
        <v>3937</v>
      </c>
      <c r="F1255" s="28" t="s">
        <v>3938</v>
      </c>
      <c r="G1255" s="28">
        <v>550</v>
      </c>
      <c r="H1255" s="28"/>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c r="AT1255"/>
      <c r="AU1255"/>
      <c r="AV1255"/>
      <c r="AW1255"/>
      <c r="AX1255"/>
      <c r="AY1255"/>
      <c r="AZ1255"/>
      <c r="BA1255"/>
      <c r="BB1255"/>
      <c r="BC1255"/>
      <c r="BD1255"/>
      <c r="BE1255"/>
      <c r="BF1255"/>
      <c r="BG1255"/>
      <c r="BH1255"/>
      <c r="BI1255"/>
      <c r="BJ1255"/>
      <c r="BK1255"/>
      <c r="BL1255"/>
      <c r="BM1255"/>
      <c r="BN1255"/>
      <c r="BO1255"/>
      <c r="BP1255"/>
      <c r="BQ1255"/>
      <c r="BR1255"/>
      <c r="BS1255"/>
      <c r="BT1255"/>
      <c r="BU1255"/>
      <c r="BV1255"/>
      <c r="BW1255"/>
      <c r="BX1255"/>
      <c r="BY1255"/>
      <c r="BZ1255"/>
      <c r="CA1255"/>
      <c r="CB1255"/>
      <c r="CC1255"/>
      <c r="CD1255"/>
      <c r="CE1255"/>
      <c r="CF1255"/>
      <c r="CG1255"/>
      <c r="CH1255"/>
      <c r="CI1255"/>
      <c r="CJ1255"/>
      <c r="CK1255"/>
      <c r="CL1255"/>
      <c r="CM1255"/>
      <c r="CN1255"/>
      <c r="CO1255"/>
      <c r="CP1255"/>
      <c r="CQ1255"/>
      <c r="CR1255"/>
      <c r="CS1255"/>
      <c r="CT1255"/>
      <c r="CU1255"/>
      <c r="CV1255"/>
      <c r="CW1255"/>
      <c r="CX1255"/>
      <c r="CY1255"/>
      <c r="CZ1255"/>
      <c r="DA1255"/>
      <c r="DB1255"/>
      <c r="DC1255"/>
      <c r="DD1255"/>
      <c r="DE1255"/>
      <c r="DF1255"/>
      <c r="DG1255"/>
      <c r="DH1255"/>
      <c r="DI1255"/>
      <c r="DJ1255"/>
      <c r="DK1255"/>
      <c r="DL1255"/>
      <c r="DM1255"/>
      <c r="DN1255"/>
      <c r="DO1255"/>
      <c r="DP1255"/>
      <c r="DQ1255"/>
      <c r="DR1255"/>
      <c r="DS1255"/>
      <c r="DT1255"/>
      <c r="DU1255"/>
      <c r="DV1255"/>
      <c r="DW1255"/>
      <c r="DX1255"/>
      <c r="DY1255"/>
      <c r="DZ1255"/>
      <c r="EA1255"/>
      <c r="EB1255"/>
      <c r="EC1255"/>
      <c r="ED1255"/>
      <c r="EE1255"/>
      <c r="EF1255"/>
      <c r="EG1255"/>
      <c r="EH1255"/>
      <c r="EI1255"/>
      <c r="EJ1255"/>
      <c r="EK1255"/>
      <c r="EL1255"/>
      <c r="EM1255"/>
      <c r="EN1255"/>
      <c r="EO1255"/>
      <c r="EP1255"/>
      <c r="EQ1255"/>
      <c r="ER1255"/>
      <c r="ES1255"/>
      <c r="ET1255"/>
      <c r="EU1255"/>
      <c r="EV1255"/>
      <c r="EW1255"/>
      <c r="EX1255"/>
      <c r="EY1255"/>
      <c r="EZ1255"/>
      <c r="FA1255"/>
      <c r="FB1255"/>
      <c r="FC1255"/>
      <c r="FD1255"/>
      <c r="FE1255"/>
      <c r="FF1255"/>
      <c r="FG1255"/>
      <c r="FH1255"/>
      <c r="FI1255"/>
      <c r="FJ1255"/>
      <c r="FK1255"/>
      <c r="FL1255"/>
      <c r="FM1255"/>
      <c r="FN1255"/>
      <c r="FO1255"/>
      <c r="FP1255"/>
      <c r="FQ1255"/>
      <c r="FR1255"/>
      <c r="FS1255"/>
      <c r="FT1255"/>
      <c r="FU1255"/>
      <c r="FV1255"/>
      <c r="FW1255"/>
      <c r="FX1255"/>
      <c r="FY1255"/>
      <c r="FZ1255"/>
      <c r="GA1255"/>
      <c r="GB1255"/>
      <c r="GC1255"/>
      <c r="GD1255"/>
      <c r="GE1255"/>
      <c r="GF1255"/>
      <c r="GG1255"/>
      <c r="GH1255"/>
      <c r="GI1255"/>
      <c r="GJ1255"/>
      <c r="GK1255"/>
      <c r="GL1255"/>
      <c r="GM1255"/>
      <c r="GN1255"/>
      <c r="GO1255"/>
      <c r="GP1255"/>
      <c r="GQ1255"/>
      <c r="GR1255"/>
      <c r="GS1255"/>
      <c r="GT1255"/>
      <c r="GU1255"/>
      <c r="GV1255"/>
      <c r="GW1255"/>
      <c r="GX1255"/>
      <c r="GY1255"/>
      <c r="GZ1255"/>
      <c r="HA1255"/>
      <c r="HB1255"/>
      <c r="HC1255"/>
      <c r="HD1255"/>
      <c r="HE1255"/>
      <c r="HF1255"/>
      <c r="HG1255"/>
      <c r="HH1255"/>
      <c r="HI1255"/>
      <c r="HJ1255"/>
      <c r="HK1255"/>
      <c r="HL1255"/>
      <c r="HM1255"/>
      <c r="HN1255"/>
      <c r="HO1255"/>
      <c r="HP1255"/>
      <c r="HQ1255"/>
      <c r="HR1255"/>
      <c r="HS1255"/>
      <c r="HT1255"/>
      <c r="HU1255"/>
      <c r="HV1255"/>
      <c r="HW1255"/>
      <c r="HX1255"/>
      <c r="HY1255"/>
      <c r="HZ1255"/>
      <c r="IA1255"/>
      <c r="IB1255"/>
      <c r="IC1255"/>
      <c r="ID1255"/>
      <c r="IE1255"/>
      <c r="IF1255"/>
      <c r="IG1255"/>
      <c r="IH1255"/>
      <c r="II1255"/>
      <c r="IJ1255"/>
      <c r="IK1255"/>
      <c r="IL1255"/>
      <c r="IM1255"/>
      <c r="IN1255"/>
      <c r="IO1255"/>
      <c r="IP1255"/>
      <c r="IQ1255"/>
      <c r="IR1255"/>
      <c r="IS1255"/>
      <c r="IT1255"/>
      <c r="IU1255"/>
      <c r="IV1255"/>
      <c r="IW1255"/>
      <c r="IX1255"/>
      <c r="IY1255"/>
      <c r="IZ1255"/>
      <c r="JA1255"/>
      <c r="JB1255"/>
      <c r="JC1255"/>
      <c r="JD1255"/>
      <c r="JE1255"/>
      <c r="JF1255"/>
      <c r="JG1255"/>
      <c r="JH1255"/>
      <c r="JI1255"/>
      <c r="JJ1255"/>
      <c r="JK1255"/>
      <c r="JL1255"/>
      <c r="JM1255"/>
      <c r="JN1255"/>
      <c r="JO1255"/>
      <c r="JP1255"/>
      <c r="JQ1255"/>
      <c r="JR1255"/>
      <c r="JS1255"/>
      <c r="JT1255"/>
      <c r="JU1255"/>
      <c r="JV1255"/>
      <c r="JW1255"/>
      <c r="JX1255"/>
      <c r="JY1255"/>
      <c r="JZ1255"/>
      <c r="KA1255"/>
      <c r="KB1255"/>
      <c r="KC1255"/>
      <c r="KD1255"/>
      <c r="KE1255"/>
      <c r="KF1255"/>
      <c r="KG1255"/>
      <c r="KH1255"/>
      <c r="KI1255"/>
      <c r="KJ1255"/>
      <c r="KK1255"/>
      <c r="KL1255"/>
      <c r="KM1255"/>
      <c r="KN1255"/>
      <c r="KO1255"/>
      <c r="KP1255"/>
      <c r="KQ1255"/>
      <c r="KR1255"/>
      <c r="KS1255"/>
      <c r="KT1255"/>
      <c r="KU1255"/>
      <c r="KV1255"/>
      <c r="KW1255"/>
      <c r="KX1255"/>
      <c r="KY1255"/>
      <c r="KZ1255"/>
      <c r="LA1255"/>
      <c r="LB1255"/>
      <c r="LC1255"/>
      <c r="LD1255"/>
      <c r="LE1255"/>
      <c r="LF1255"/>
      <c r="LG1255"/>
      <c r="LH1255"/>
      <c r="LI1255"/>
      <c r="LJ1255"/>
      <c r="LK1255"/>
      <c r="LL1255"/>
      <c r="LM1255"/>
      <c r="LN1255"/>
      <c r="LO1255"/>
      <c r="LP1255"/>
      <c r="LQ1255"/>
      <c r="LR1255"/>
      <c r="LS1255"/>
      <c r="LT1255"/>
      <c r="LU1255"/>
      <c r="LV1255"/>
      <c r="LW1255"/>
      <c r="LX1255"/>
      <c r="LY1255"/>
      <c r="LZ1255"/>
      <c r="MA1255"/>
      <c r="MB1255"/>
      <c r="MC1255"/>
      <c r="MD1255"/>
      <c r="ME1255"/>
      <c r="MF1255"/>
      <c r="MG1255"/>
      <c r="MH1255"/>
      <c r="MI1255"/>
      <c r="MJ1255"/>
      <c r="MK1255"/>
      <c r="ML1255"/>
      <c r="MM1255"/>
      <c r="MN1255"/>
      <c r="MO1255"/>
      <c r="MP1255"/>
      <c r="MQ1255"/>
      <c r="MR1255"/>
      <c r="MS1255"/>
      <c r="MT1255"/>
      <c r="MU1255"/>
      <c r="MV1255"/>
      <c r="MW1255"/>
      <c r="MX1255"/>
      <c r="MY1255"/>
      <c r="MZ1255"/>
      <c r="NA1255"/>
      <c r="NB1255"/>
      <c r="NC1255"/>
      <c r="ND1255"/>
      <c r="NE1255"/>
      <c r="NF1255"/>
      <c r="NG1255"/>
      <c r="NH1255"/>
      <c r="NI1255"/>
      <c r="NJ1255"/>
      <c r="NK1255"/>
      <c r="NL1255"/>
      <c r="NM1255"/>
      <c r="NN1255"/>
      <c r="NO1255"/>
      <c r="NP1255"/>
      <c r="NQ1255"/>
      <c r="NR1255"/>
      <c r="NS1255"/>
      <c r="NT1255"/>
      <c r="NU1255"/>
      <c r="NV1255"/>
      <c r="NW1255"/>
      <c r="NX1255"/>
      <c r="NY1255"/>
      <c r="NZ1255"/>
      <c r="OA1255"/>
      <c r="OB1255"/>
      <c r="OC1255"/>
      <c r="OD1255"/>
      <c r="OE1255"/>
      <c r="OF1255"/>
      <c r="OG1255"/>
      <c r="OH1255"/>
      <c r="OI1255"/>
      <c r="OJ1255"/>
      <c r="OK1255"/>
      <c r="OL1255"/>
      <c r="OM1255"/>
      <c r="ON1255"/>
      <c r="OO1255"/>
      <c r="OP1255"/>
      <c r="OQ1255"/>
      <c r="OR1255"/>
      <c r="OS1255"/>
      <c r="OT1255"/>
      <c r="OU1255"/>
      <c r="OV1255"/>
      <c r="OW1255"/>
      <c r="OX1255"/>
      <c r="OY1255"/>
      <c r="OZ1255"/>
      <c r="PA1255"/>
      <c r="PB1255"/>
      <c r="PC1255"/>
      <c r="PD1255"/>
      <c r="PE1255"/>
      <c r="PF1255"/>
      <c r="PG1255"/>
      <c r="PH1255"/>
      <c r="PI1255"/>
      <c r="PJ1255"/>
      <c r="PK1255"/>
      <c r="PL1255"/>
      <c r="PM1255"/>
      <c r="PN1255"/>
      <c r="PO1255"/>
      <c r="PP1255"/>
      <c r="PQ1255"/>
      <c r="PR1255"/>
      <c r="PS1255"/>
      <c r="PT1255"/>
      <c r="PU1255"/>
      <c r="PV1255"/>
      <c r="PW1255"/>
      <c r="PX1255"/>
      <c r="PY1255"/>
      <c r="PZ1255"/>
      <c r="QA1255"/>
      <c r="QB1255"/>
      <c r="QC1255"/>
      <c r="QD1255"/>
      <c r="QE1255"/>
      <c r="QF1255"/>
      <c r="QG1255"/>
      <c r="QH1255"/>
      <c r="QI1255"/>
      <c r="QJ1255"/>
      <c r="QK1255"/>
      <c r="QL1255"/>
      <c r="QM1255"/>
      <c r="QN1255"/>
      <c r="QO1255"/>
      <c r="QP1255"/>
      <c r="QQ1255"/>
      <c r="QR1255"/>
      <c r="QS1255"/>
      <c r="QT1255"/>
      <c r="QU1255"/>
      <c r="QV1255"/>
      <c r="QW1255"/>
      <c r="QX1255"/>
      <c r="QY1255"/>
      <c r="QZ1255"/>
      <c r="RA1255"/>
      <c r="RB1255"/>
      <c r="RC1255"/>
      <c r="RD1255"/>
      <c r="RE1255"/>
      <c r="RF1255"/>
      <c r="RG1255"/>
      <c r="RH1255"/>
      <c r="RI1255"/>
      <c r="RJ1255"/>
      <c r="RK1255"/>
      <c r="RL1255"/>
      <c r="RM1255"/>
      <c r="RN1255"/>
      <c r="RO1255"/>
      <c r="RP1255"/>
      <c r="RQ1255"/>
      <c r="RR1255"/>
      <c r="RS1255"/>
      <c r="RT1255"/>
      <c r="RU1255"/>
      <c r="RV1255"/>
      <c r="RW1255"/>
      <c r="RX1255"/>
      <c r="RY1255"/>
      <c r="RZ1255"/>
      <c r="SA1255"/>
      <c r="SB1255"/>
      <c r="SC1255"/>
      <c r="SD1255"/>
      <c r="SE1255"/>
      <c r="SF1255"/>
      <c r="SG1255"/>
      <c r="SH1255"/>
      <c r="SI1255"/>
      <c r="SJ1255"/>
      <c r="SK1255"/>
      <c r="SL1255"/>
      <c r="SM1255"/>
      <c r="SN1255"/>
      <c r="SO1255"/>
      <c r="SP1255"/>
      <c r="SQ1255"/>
      <c r="SR1255"/>
      <c r="SS1255"/>
      <c r="ST1255"/>
      <c r="SU1255"/>
      <c r="SV1255"/>
      <c r="SW1255"/>
      <c r="SX1255"/>
      <c r="SY1255"/>
      <c r="SZ1255"/>
      <c r="TA1255"/>
      <c r="TB1255"/>
      <c r="TC1255"/>
      <c r="TD1255"/>
      <c r="TE1255"/>
      <c r="TF1255"/>
      <c r="TG1255"/>
      <c r="TH1255"/>
      <c r="TI1255"/>
      <c r="TJ1255"/>
      <c r="TK1255"/>
      <c r="TL1255"/>
      <c r="TM1255"/>
      <c r="TN1255"/>
      <c r="TO1255"/>
      <c r="TP1255"/>
      <c r="TQ1255"/>
      <c r="TR1255"/>
      <c r="TS1255"/>
      <c r="TT1255"/>
      <c r="TU1255"/>
      <c r="TV1255"/>
      <c r="TW1255"/>
      <c r="TX1255"/>
      <c r="TY1255"/>
      <c r="TZ1255"/>
      <c r="UA1255"/>
      <c r="UB1255"/>
      <c r="UC1255"/>
      <c r="UD1255"/>
      <c r="UE1255"/>
      <c r="UF1255"/>
      <c r="UG1255"/>
      <c r="UH1255"/>
      <c r="UI1255"/>
      <c r="UJ1255"/>
      <c r="UK1255"/>
      <c r="UL1255"/>
      <c r="UM1255"/>
      <c r="UN1255"/>
      <c r="UO1255"/>
      <c r="UP1255"/>
      <c r="UQ1255"/>
      <c r="UR1255"/>
      <c r="US1255"/>
      <c r="UT1255"/>
      <c r="UU1255"/>
      <c r="UV1255"/>
      <c r="UW1255"/>
      <c r="UX1255"/>
      <c r="UY1255"/>
      <c r="UZ1255"/>
      <c r="VA1255"/>
      <c r="VB1255"/>
      <c r="VC1255"/>
      <c r="VD1255"/>
      <c r="VE1255"/>
      <c r="VF1255"/>
      <c r="VG1255"/>
      <c r="VH1255"/>
      <c r="VI1255"/>
      <c r="VJ1255"/>
      <c r="VK1255"/>
      <c r="VL1255"/>
      <c r="VM1255"/>
      <c r="VN1255"/>
      <c r="VO1255"/>
      <c r="VP1255"/>
      <c r="VQ1255"/>
      <c r="VR1255"/>
      <c r="VS1255"/>
      <c r="VT1255"/>
      <c r="VU1255"/>
      <c r="VV1255"/>
      <c r="VW1255"/>
      <c r="VX1255"/>
      <c r="VY1255"/>
      <c r="VZ1255"/>
      <c r="WA1255"/>
      <c r="WB1255"/>
      <c r="WC1255"/>
      <c r="WD1255"/>
      <c r="WE1255"/>
      <c r="WF1255"/>
      <c r="WG1255"/>
      <c r="WH1255"/>
      <c r="WI1255"/>
      <c r="WJ1255"/>
      <c r="WK1255"/>
      <c r="WL1255"/>
      <c r="WM1255"/>
      <c r="WN1255"/>
      <c r="WO1255"/>
      <c r="WP1255"/>
      <c r="WQ1255"/>
      <c r="WR1255"/>
      <c r="WS1255"/>
      <c r="WT1255"/>
      <c r="WU1255"/>
      <c r="WV1255"/>
      <c r="WW1255"/>
      <c r="WX1255"/>
      <c r="WY1255"/>
      <c r="WZ1255"/>
      <c r="XA1255"/>
      <c r="XB1255"/>
      <c r="XC1255"/>
      <c r="XD1255"/>
      <c r="XE1255"/>
      <c r="XF1255"/>
      <c r="XG1255"/>
      <c r="XH1255"/>
      <c r="XI1255"/>
      <c r="XJ1255"/>
      <c r="XK1255"/>
      <c r="XL1255"/>
      <c r="XM1255"/>
      <c r="XN1255"/>
      <c r="XO1255"/>
      <c r="XP1255"/>
      <c r="XQ1255"/>
      <c r="XR1255"/>
      <c r="XS1255"/>
      <c r="XT1255"/>
      <c r="XU1255"/>
      <c r="XV1255"/>
      <c r="XW1255"/>
      <c r="XX1255"/>
      <c r="XY1255"/>
      <c r="XZ1255"/>
      <c r="YA1255"/>
      <c r="YB1255"/>
      <c r="YC1255"/>
      <c r="YD1255"/>
      <c r="YE1255"/>
      <c r="YF1255"/>
      <c r="YG1255"/>
      <c r="YH1255"/>
      <c r="YI1255"/>
      <c r="YJ1255"/>
      <c r="YK1255"/>
      <c r="YL1255"/>
      <c r="YM1255"/>
      <c r="YN1255"/>
      <c r="YO1255"/>
      <c r="YP1255"/>
      <c r="YQ1255"/>
      <c r="YR1255"/>
      <c r="YS1255"/>
      <c r="YT1255"/>
      <c r="YU1255"/>
      <c r="YV1255"/>
      <c r="YW1255"/>
      <c r="YX1255"/>
      <c r="YY1255"/>
      <c r="YZ1255"/>
      <c r="ZA1255"/>
      <c r="ZB1255"/>
      <c r="ZC1255"/>
      <c r="ZD1255"/>
      <c r="ZE1255"/>
      <c r="ZF1255"/>
      <c r="ZG1255"/>
      <c r="ZH1255"/>
      <c r="ZI1255"/>
      <c r="ZJ1255"/>
      <c r="ZK1255"/>
      <c r="ZL1255"/>
      <c r="ZM1255"/>
      <c r="ZN1255"/>
      <c r="ZO1255"/>
      <c r="ZP1255"/>
      <c r="ZQ1255"/>
      <c r="ZR1255"/>
      <c r="ZS1255"/>
      <c r="ZT1255"/>
      <c r="ZU1255"/>
      <c r="ZV1255"/>
      <c r="ZW1255"/>
      <c r="ZX1255"/>
      <c r="ZY1255"/>
      <c r="ZZ1255"/>
      <c r="AAA1255"/>
      <c r="AAB1255"/>
      <c r="AAC1255"/>
      <c r="AAD1255"/>
      <c r="AAE1255"/>
      <c r="AAF1255"/>
      <c r="AAG1255"/>
      <c r="AAH1255"/>
      <c r="AAI1255"/>
      <c r="AAJ1255"/>
      <c r="AAK1255"/>
      <c r="AAL1255"/>
      <c r="AAM1255"/>
      <c r="AAN1255"/>
      <c r="AAO1255"/>
      <c r="AAP1255"/>
      <c r="AAQ1255"/>
      <c r="AAR1255"/>
      <c r="AAS1255"/>
      <c r="AAT1255"/>
      <c r="AAU1255"/>
      <c r="AAV1255"/>
      <c r="AAW1255"/>
      <c r="AAX1255"/>
      <c r="AAY1255"/>
      <c r="AAZ1255"/>
      <c r="ABA1255"/>
      <c r="ABB1255"/>
      <c r="ABC1255"/>
      <c r="ABD1255"/>
      <c r="ABE1255"/>
      <c r="ABF1255"/>
      <c r="ABG1255"/>
      <c r="ABH1255"/>
      <c r="ABI1255"/>
      <c r="ABJ1255"/>
      <c r="ABK1255"/>
      <c r="ABL1255"/>
      <c r="ABM1255"/>
      <c r="ABN1255"/>
      <c r="ABO1255"/>
      <c r="ABP1255"/>
      <c r="ABQ1255"/>
      <c r="ABR1255"/>
      <c r="ABS1255"/>
      <c r="ABT1255"/>
      <c r="ABU1255"/>
      <c r="ABV1255"/>
      <c r="ABW1255"/>
      <c r="ABX1255"/>
      <c r="ABY1255"/>
      <c r="ABZ1255"/>
      <c r="ACA1255"/>
      <c r="ACB1255"/>
      <c r="ACC1255"/>
      <c r="ACD1255"/>
      <c r="ACE1255"/>
      <c r="ACF1255"/>
      <c r="ACG1255"/>
      <c r="ACH1255"/>
      <c r="ACI1255"/>
      <c r="ACJ1255"/>
      <c r="ACK1255"/>
      <c r="ACL1255"/>
      <c r="ACM1255"/>
      <c r="ACN1255"/>
      <c r="ACO1255"/>
      <c r="ACP1255"/>
      <c r="ACQ1255"/>
      <c r="ACR1255"/>
      <c r="ACS1255"/>
      <c r="ACT1255"/>
      <c r="ACU1255"/>
      <c r="ACV1255"/>
      <c r="ACW1255"/>
      <c r="ACX1255"/>
      <c r="ACY1255"/>
      <c r="ACZ1255"/>
      <c r="ADA1255"/>
      <c r="ADB1255"/>
      <c r="ADC1255"/>
      <c r="ADD1255"/>
      <c r="ADE1255"/>
      <c r="ADF1255"/>
      <c r="ADG1255"/>
      <c r="ADH1255"/>
      <c r="ADI1255"/>
      <c r="ADJ1255"/>
      <c r="ADK1255"/>
      <c r="ADL1255"/>
      <c r="ADM1255"/>
      <c r="ADN1255"/>
      <c r="ADO1255"/>
      <c r="ADP1255"/>
      <c r="ADQ1255"/>
      <c r="ADR1255"/>
      <c r="ADS1255"/>
      <c r="ADT1255"/>
      <c r="ADU1255"/>
      <c r="ADV1255"/>
      <c r="ADW1255"/>
      <c r="ADX1255"/>
      <c r="ADY1255"/>
      <c r="ADZ1255"/>
      <c r="AEA1255"/>
      <c r="AEB1255"/>
      <c r="AEC1255"/>
      <c r="AED1255"/>
      <c r="AEE1255"/>
      <c r="AEF1255"/>
      <c r="AEG1255"/>
      <c r="AEH1255"/>
      <c r="AEI1255"/>
      <c r="AEJ1255"/>
      <c r="AEK1255"/>
      <c r="AEL1255"/>
      <c r="AEM1255"/>
      <c r="AEN1255"/>
      <c r="AEO1255"/>
      <c r="AEP1255"/>
      <c r="AEQ1255"/>
      <c r="AER1255"/>
      <c r="AES1255"/>
      <c r="AET1255"/>
      <c r="AEU1255"/>
      <c r="AEV1255"/>
      <c r="AEW1255"/>
      <c r="AEX1255"/>
      <c r="AEY1255"/>
      <c r="AEZ1255"/>
      <c r="AFA1255"/>
      <c r="AFB1255"/>
      <c r="AFC1255"/>
      <c r="AFD1255"/>
      <c r="AFE1255"/>
      <c r="AFF1255"/>
      <c r="AFG1255"/>
      <c r="AFH1255"/>
      <c r="AFI1255"/>
      <c r="AFJ1255"/>
      <c r="AFK1255"/>
      <c r="AFL1255"/>
      <c r="AFM1255"/>
      <c r="AFN1255"/>
      <c r="AFO1255"/>
      <c r="AFP1255"/>
      <c r="AFQ1255"/>
      <c r="AFR1255"/>
      <c r="AFS1255"/>
      <c r="AFT1255"/>
      <c r="AFU1255"/>
      <c r="AFV1255"/>
      <c r="AFW1255"/>
      <c r="AFX1255"/>
      <c r="AFY1255"/>
      <c r="AFZ1255"/>
      <c r="AGA1255"/>
      <c r="AGB1255"/>
      <c r="AGC1255"/>
      <c r="AGD1255"/>
      <c r="AGE1255"/>
      <c r="AGF1255"/>
      <c r="AGG1255"/>
      <c r="AGH1255"/>
      <c r="AGI1255"/>
      <c r="AGJ1255"/>
      <c r="AGK1255"/>
      <c r="AGL1255"/>
      <c r="AGM1255"/>
      <c r="AGN1255"/>
      <c r="AGO1255"/>
      <c r="AGP1255"/>
      <c r="AGQ1255"/>
      <c r="AGR1255"/>
      <c r="AGS1255"/>
      <c r="AGT1255"/>
      <c r="AGU1255"/>
      <c r="AGV1255"/>
      <c r="AGW1255"/>
      <c r="AGX1255"/>
      <c r="AGY1255"/>
      <c r="AGZ1255"/>
      <c r="AHA1255"/>
      <c r="AHB1255"/>
      <c r="AHC1255"/>
      <c r="AHD1255"/>
      <c r="AHE1255"/>
      <c r="AHF1255"/>
      <c r="AHG1255"/>
      <c r="AHH1255"/>
      <c r="AHI1255"/>
      <c r="AHJ1255"/>
      <c r="AHK1255"/>
      <c r="AHL1255"/>
      <c r="AHM1255"/>
      <c r="AHN1255"/>
      <c r="AHO1255"/>
      <c r="AHP1255"/>
      <c r="AHQ1255"/>
      <c r="AHR1255"/>
      <c r="AHS1255"/>
      <c r="AHT1255"/>
      <c r="AHU1255"/>
      <c r="AHV1255"/>
      <c r="AHW1255"/>
      <c r="AHX1255"/>
      <c r="AHY1255"/>
      <c r="AHZ1255"/>
      <c r="AIA1255"/>
      <c r="AIB1255"/>
      <c r="AIC1255"/>
      <c r="AID1255"/>
      <c r="AIE1255"/>
      <c r="AIF1255"/>
      <c r="AIG1255"/>
      <c r="AIH1255"/>
      <c r="AII1255"/>
      <c r="AIJ1255"/>
      <c r="AIK1255"/>
      <c r="AIL1255"/>
      <c r="AIM1255"/>
      <c r="AIN1255"/>
      <c r="AIO1255"/>
      <c r="AIP1255"/>
      <c r="AIQ1255"/>
      <c r="AIR1255"/>
      <c r="AIS1255"/>
      <c r="AIT1255"/>
      <c r="AIU1255"/>
      <c r="AIV1255"/>
      <c r="AIW1255"/>
      <c r="AIX1255"/>
      <c r="AIY1255"/>
      <c r="AIZ1255"/>
      <c r="AJA1255"/>
      <c r="AJB1255"/>
      <c r="AJC1255"/>
      <c r="AJD1255"/>
      <c r="AJE1255"/>
      <c r="AJF1255"/>
      <c r="AJG1255"/>
      <c r="AJH1255"/>
      <c r="AJI1255"/>
      <c r="AJJ1255"/>
      <c r="AJK1255"/>
      <c r="AJL1255"/>
      <c r="AJM1255"/>
      <c r="AJN1255"/>
      <c r="AJO1255"/>
      <c r="AJP1255"/>
      <c r="AJQ1255"/>
      <c r="AJR1255"/>
      <c r="AJS1255"/>
      <c r="AJT1255"/>
      <c r="AJU1255"/>
      <c r="AJV1255"/>
      <c r="AJW1255"/>
      <c r="AJX1255"/>
      <c r="AJY1255"/>
      <c r="AJZ1255"/>
      <c r="AKA1255"/>
      <c r="AKB1255"/>
      <c r="AKC1255"/>
      <c r="AKD1255"/>
      <c r="AKE1255"/>
      <c r="AKF1255"/>
      <c r="AKG1255"/>
      <c r="AKH1255"/>
      <c r="AKI1255"/>
      <c r="AKJ1255"/>
      <c r="AKK1255"/>
      <c r="AKL1255"/>
      <c r="AKM1255"/>
      <c r="AKN1255"/>
      <c r="AKO1255"/>
      <c r="AKP1255"/>
      <c r="AKQ1255"/>
      <c r="AKR1255"/>
      <c r="AKS1255"/>
      <c r="AKT1255"/>
      <c r="AKU1255"/>
      <c r="AKV1255"/>
      <c r="AKW1255"/>
      <c r="AKX1255"/>
      <c r="AKY1255"/>
      <c r="AKZ1255"/>
      <c r="ALA1255"/>
      <c r="ALB1255"/>
      <c r="ALC1255"/>
      <c r="ALD1255"/>
      <c r="ALE1255"/>
      <c r="ALF1255"/>
      <c r="ALG1255"/>
      <c r="ALH1255"/>
      <c r="ALI1255"/>
      <c r="ALJ1255"/>
      <c r="ALK1255"/>
      <c r="ALL1255"/>
      <c r="ALM1255"/>
      <c r="ALN1255"/>
      <c r="ALO1255"/>
      <c r="ALP1255"/>
      <c r="ALQ1255"/>
      <c r="ALR1255"/>
      <c r="ALS1255"/>
      <c r="ALT1255"/>
    </row>
    <row r="1256" spans="1:1008" ht="14">
      <c r="A1256" s="28" t="s">
        <v>3939</v>
      </c>
      <c r="B1256" s="26" t="s">
        <v>3994</v>
      </c>
      <c r="C1256" s="28" t="s">
        <v>3939</v>
      </c>
      <c r="D1256" s="25" t="s">
        <v>13</v>
      </c>
      <c r="E1256" s="28" t="s">
        <v>3939</v>
      </c>
      <c r="F1256" s="28" t="s">
        <v>3940</v>
      </c>
      <c r="G1256" s="28">
        <v>500</v>
      </c>
      <c r="H1256" s="28"/>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c r="AT1256"/>
      <c r="AU1256"/>
      <c r="AV1256"/>
      <c r="AW1256"/>
      <c r="AX1256"/>
      <c r="AY1256"/>
      <c r="AZ1256"/>
      <c r="BA1256"/>
      <c r="BB1256"/>
      <c r="BC1256"/>
      <c r="BD1256"/>
      <c r="BE1256"/>
      <c r="BF1256"/>
      <c r="BG1256"/>
      <c r="BH1256"/>
      <c r="BI1256"/>
      <c r="BJ1256"/>
      <c r="BK1256"/>
      <c r="BL1256"/>
      <c r="BM1256"/>
      <c r="BN1256"/>
      <c r="BO1256"/>
      <c r="BP1256"/>
      <c r="BQ1256"/>
      <c r="BR1256"/>
      <c r="BS1256"/>
      <c r="BT1256"/>
      <c r="BU1256"/>
      <c r="BV1256"/>
      <c r="BW1256"/>
      <c r="BX1256"/>
      <c r="BY1256"/>
      <c r="BZ1256"/>
      <c r="CA1256"/>
      <c r="CB1256"/>
      <c r="CC1256"/>
      <c r="CD1256"/>
      <c r="CE1256"/>
      <c r="CF1256"/>
      <c r="CG1256"/>
      <c r="CH1256"/>
      <c r="CI1256"/>
      <c r="CJ1256"/>
      <c r="CK1256"/>
      <c r="CL1256"/>
      <c r="CM1256"/>
      <c r="CN1256"/>
      <c r="CO1256"/>
      <c r="CP1256"/>
      <c r="CQ1256"/>
      <c r="CR1256"/>
      <c r="CS1256"/>
      <c r="CT1256"/>
      <c r="CU1256"/>
      <c r="CV1256"/>
      <c r="CW1256"/>
      <c r="CX1256"/>
      <c r="CY1256"/>
      <c r="CZ1256"/>
      <c r="DA1256"/>
      <c r="DB1256"/>
      <c r="DC1256"/>
      <c r="DD1256"/>
      <c r="DE1256"/>
      <c r="DF1256"/>
      <c r="DG1256"/>
      <c r="DH1256"/>
      <c r="DI1256"/>
      <c r="DJ1256"/>
      <c r="DK1256"/>
      <c r="DL1256"/>
      <c r="DM1256"/>
      <c r="DN1256"/>
      <c r="DO1256"/>
      <c r="DP1256"/>
      <c r="DQ1256"/>
      <c r="DR1256"/>
      <c r="DS1256"/>
      <c r="DT1256"/>
      <c r="DU1256"/>
      <c r="DV1256"/>
      <c r="DW1256"/>
      <c r="DX1256"/>
      <c r="DY1256"/>
      <c r="DZ1256"/>
      <c r="EA1256"/>
      <c r="EB1256"/>
      <c r="EC1256"/>
      <c r="ED1256"/>
      <c r="EE1256"/>
      <c r="EF1256"/>
      <c r="EG1256"/>
      <c r="EH1256"/>
      <c r="EI1256"/>
      <c r="EJ1256"/>
      <c r="EK1256"/>
      <c r="EL1256"/>
      <c r="EM1256"/>
      <c r="EN1256"/>
      <c r="EO1256"/>
      <c r="EP1256"/>
      <c r="EQ1256"/>
      <c r="ER1256"/>
      <c r="ES1256"/>
      <c r="ET1256"/>
      <c r="EU1256"/>
      <c r="EV1256"/>
      <c r="EW1256"/>
      <c r="EX1256"/>
      <c r="EY1256"/>
      <c r="EZ1256"/>
      <c r="FA1256"/>
      <c r="FB1256"/>
      <c r="FC1256"/>
      <c r="FD1256"/>
      <c r="FE1256"/>
      <c r="FF1256"/>
      <c r="FG1256"/>
      <c r="FH1256"/>
      <c r="FI1256"/>
      <c r="FJ1256"/>
      <c r="FK1256"/>
      <c r="FL1256"/>
      <c r="FM1256"/>
      <c r="FN1256"/>
      <c r="FO1256"/>
      <c r="FP1256"/>
      <c r="FQ1256"/>
      <c r="FR1256"/>
      <c r="FS1256"/>
      <c r="FT1256"/>
      <c r="FU1256"/>
      <c r="FV1256"/>
      <c r="FW1256"/>
      <c r="FX1256"/>
      <c r="FY1256"/>
      <c r="FZ1256"/>
      <c r="GA1256"/>
      <c r="GB1256"/>
      <c r="GC1256"/>
      <c r="GD1256"/>
      <c r="GE1256"/>
      <c r="GF1256"/>
      <c r="GG1256"/>
      <c r="GH1256"/>
      <c r="GI1256"/>
      <c r="GJ1256"/>
      <c r="GK1256"/>
      <c r="GL1256"/>
      <c r="GM1256"/>
      <c r="GN1256"/>
      <c r="GO1256"/>
      <c r="GP1256"/>
      <c r="GQ1256"/>
      <c r="GR1256"/>
      <c r="GS1256"/>
      <c r="GT1256"/>
      <c r="GU1256"/>
      <c r="GV1256"/>
      <c r="GW1256"/>
      <c r="GX1256"/>
      <c r="GY1256"/>
      <c r="GZ1256"/>
      <c r="HA1256"/>
      <c r="HB1256"/>
      <c r="HC1256"/>
      <c r="HD1256"/>
      <c r="HE1256"/>
      <c r="HF1256"/>
      <c r="HG1256"/>
      <c r="HH1256"/>
      <c r="HI1256"/>
      <c r="HJ1256"/>
      <c r="HK1256"/>
      <c r="HL1256"/>
      <c r="HM1256"/>
      <c r="HN1256"/>
      <c r="HO1256"/>
      <c r="HP1256"/>
      <c r="HQ1256"/>
      <c r="HR1256"/>
      <c r="HS1256"/>
      <c r="HT1256"/>
      <c r="HU1256"/>
      <c r="HV1256"/>
      <c r="HW1256"/>
      <c r="HX1256"/>
      <c r="HY1256"/>
      <c r="HZ1256"/>
      <c r="IA1256"/>
      <c r="IB1256"/>
      <c r="IC1256"/>
      <c r="ID1256"/>
      <c r="IE1256"/>
      <c r="IF1256"/>
      <c r="IG1256"/>
      <c r="IH1256"/>
      <c r="II1256"/>
      <c r="IJ1256"/>
      <c r="IK1256"/>
      <c r="IL1256"/>
      <c r="IM1256"/>
      <c r="IN1256"/>
      <c r="IO1256"/>
      <c r="IP1256"/>
      <c r="IQ1256"/>
      <c r="IR1256"/>
      <c r="IS1256"/>
      <c r="IT1256"/>
      <c r="IU1256"/>
      <c r="IV1256"/>
      <c r="IW1256"/>
      <c r="IX1256"/>
      <c r="IY1256"/>
      <c r="IZ1256"/>
      <c r="JA1256"/>
      <c r="JB1256"/>
      <c r="JC1256"/>
      <c r="JD1256"/>
      <c r="JE1256"/>
      <c r="JF1256"/>
      <c r="JG1256"/>
      <c r="JH1256"/>
      <c r="JI1256"/>
      <c r="JJ1256"/>
      <c r="JK1256"/>
      <c r="JL1256"/>
      <c r="JM1256"/>
      <c r="JN1256"/>
      <c r="JO1256"/>
      <c r="JP1256"/>
      <c r="JQ1256"/>
      <c r="JR1256"/>
      <c r="JS1256"/>
      <c r="JT1256"/>
      <c r="JU1256"/>
      <c r="JV1256"/>
      <c r="JW1256"/>
      <c r="JX1256"/>
      <c r="JY1256"/>
      <c r="JZ1256"/>
      <c r="KA1256"/>
      <c r="KB1256"/>
      <c r="KC1256"/>
      <c r="KD1256"/>
      <c r="KE1256"/>
      <c r="KF1256"/>
      <c r="KG1256"/>
      <c r="KH1256"/>
      <c r="KI1256"/>
      <c r="KJ1256"/>
      <c r="KK1256"/>
      <c r="KL1256"/>
      <c r="KM1256"/>
      <c r="KN1256"/>
      <c r="KO1256"/>
      <c r="KP1256"/>
      <c r="KQ1256"/>
      <c r="KR1256"/>
      <c r="KS1256"/>
      <c r="KT1256"/>
      <c r="KU1256"/>
      <c r="KV1256"/>
      <c r="KW1256"/>
      <c r="KX1256"/>
      <c r="KY1256"/>
      <c r="KZ1256"/>
      <c r="LA1256"/>
      <c r="LB1256"/>
      <c r="LC1256"/>
      <c r="LD1256"/>
      <c r="LE1256"/>
      <c r="LF1256"/>
      <c r="LG1256"/>
      <c r="LH1256"/>
      <c r="LI1256"/>
      <c r="LJ1256"/>
      <c r="LK1256"/>
      <c r="LL1256"/>
      <c r="LM1256"/>
      <c r="LN1256"/>
      <c r="LO1256"/>
      <c r="LP1256"/>
      <c r="LQ1256"/>
      <c r="LR1256"/>
      <c r="LS1256"/>
      <c r="LT1256"/>
      <c r="LU1256"/>
      <c r="LV1256"/>
      <c r="LW1256"/>
      <c r="LX1256"/>
      <c r="LY1256"/>
      <c r="LZ1256"/>
      <c r="MA1256"/>
      <c r="MB1256"/>
      <c r="MC1256"/>
      <c r="MD1256"/>
      <c r="ME1256"/>
      <c r="MF1256"/>
      <c r="MG1256"/>
      <c r="MH1256"/>
      <c r="MI1256"/>
      <c r="MJ1256"/>
      <c r="MK1256"/>
      <c r="ML1256"/>
      <c r="MM1256"/>
      <c r="MN1256"/>
      <c r="MO1256"/>
      <c r="MP1256"/>
      <c r="MQ1256"/>
      <c r="MR1256"/>
      <c r="MS1256"/>
      <c r="MT1256"/>
      <c r="MU1256"/>
      <c r="MV1256"/>
      <c r="MW1256"/>
      <c r="MX1256"/>
      <c r="MY1256"/>
      <c r="MZ1256"/>
      <c r="NA1256"/>
      <c r="NB1256"/>
      <c r="NC1256"/>
      <c r="ND1256"/>
      <c r="NE1256"/>
      <c r="NF1256"/>
      <c r="NG1256"/>
      <c r="NH1256"/>
      <c r="NI1256"/>
      <c r="NJ1256"/>
      <c r="NK1256"/>
      <c r="NL1256"/>
      <c r="NM1256"/>
      <c r="NN1256"/>
      <c r="NO1256"/>
      <c r="NP1256"/>
      <c r="NQ1256"/>
      <c r="NR1256"/>
      <c r="NS1256"/>
      <c r="NT1256"/>
      <c r="NU1256"/>
      <c r="NV1256"/>
      <c r="NW1256"/>
      <c r="NX1256"/>
      <c r="NY1256"/>
      <c r="NZ1256"/>
      <c r="OA1256"/>
      <c r="OB1256"/>
      <c r="OC1256"/>
      <c r="OD1256"/>
      <c r="OE1256"/>
      <c r="OF1256"/>
      <c r="OG1256"/>
      <c r="OH1256"/>
      <c r="OI1256"/>
      <c r="OJ1256"/>
      <c r="OK1256"/>
      <c r="OL1256"/>
      <c r="OM1256"/>
      <c r="ON1256"/>
      <c r="OO1256"/>
      <c r="OP1256"/>
      <c r="OQ1256"/>
      <c r="OR1256"/>
      <c r="OS1256"/>
      <c r="OT1256"/>
      <c r="OU1256"/>
      <c r="OV1256"/>
      <c r="OW1256"/>
      <c r="OX1256"/>
      <c r="OY1256"/>
      <c r="OZ1256"/>
      <c r="PA1256"/>
      <c r="PB1256"/>
      <c r="PC1256"/>
      <c r="PD1256"/>
      <c r="PE1256"/>
      <c r="PF1256"/>
      <c r="PG1256"/>
      <c r="PH1256"/>
      <c r="PI1256"/>
      <c r="PJ1256"/>
      <c r="PK1256"/>
      <c r="PL1256"/>
      <c r="PM1256"/>
      <c r="PN1256"/>
      <c r="PO1256"/>
      <c r="PP1256"/>
      <c r="PQ1256"/>
      <c r="PR1256"/>
      <c r="PS1256"/>
      <c r="PT1256"/>
      <c r="PU1256"/>
      <c r="PV1256"/>
      <c r="PW1256"/>
      <c r="PX1256"/>
      <c r="PY1256"/>
      <c r="PZ1256"/>
      <c r="QA1256"/>
      <c r="QB1256"/>
      <c r="QC1256"/>
      <c r="QD1256"/>
      <c r="QE1256"/>
      <c r="QF1256"/>
      <c r="QG1256"/>
      <c r="QH1256"/>
      <c r="QI1256"/>
      <c r="QJ1256"/>
      <c r="QK1256"/>
      <c r="QL1256"/>
      <c r="QM1256"/>
      <c r="QN1256"/>
      <c r="QO1256"/>
      <c r="QP1256"/>
      <c r="QQ1256"/>
      <c r="QR1256"/>
      <c r="QS1256"/>
      <c r="QT1256"/>
      <c r="QU1256"/>
      <c r="QV1256"/>
      <c r="QW1256"/>
      <c r="QX1256"/>
      <c r="QY1256"/>
      <c r="QZ1256"/>
      <c r="RA1256"/>
      <c r="RB1256"/>
      <c r="RC1256"/>
      <c r="RD1256"/>
      <c r="RE1256"/>
      <c r="RF1256"/>
      <c r="RG1256"/>
      <c r="RH1256"/>
      <c r="RI1256"/>
      <c r="RJ1256"/>
      <c r="RK1256"/>
      <c r="RL1256"/>
      <c r="RM1256"/>
      <c r="RN1256"/>
      <c r="RO1256"/>
      <c r="RP1256"/>
      <c r="RQ1256"/>
      <c r="RR1256"/>
      <c r="RS1256"/>
      <c r="RT1256"/>
      <c r="RU1256"/>
      <c r="RV1256"/>
      <c r="RW1256"/>
      <c r="RX1256"/>
      <c r="RY1256"/>
      <c r="RZ1256"/>
      <c r="SA1256"/>
      <c r="SB1256"/>
      <c r="SC1256"/>
      <c r="SD1256"/>
      <c r="SE1256"/>
      <c r="SF1256"/>
      <c r="SG1256"/>
      <c r="SH1256"/>
      <c r="SI1256"/>
      <c r="SJ1256"/>
      <c r="SK1256"/>
      <c r="SL1256"/>
      <c r="SM1256"/>
      <c r="SN1256"/>
      <c r="SO1256"/>
      <c r="SP1256"/>
      <c r="SQ1256"/>
      <c r="SR1256"/>
      <c r="SS1256"/>
      <c r="ST1256"/>
      <c r="SU1256"/>
      <c r="SV1256"/>
      <c r="SW1256"/>
      <c r="SX1256"/>
      <c r="SY1256"/>
      <c r="SZ1256"/>
      <c r="TA1256"/>
      <c r="TB1256"/>
      <c r="TC1256"/>
      <c r="TD1256"/>
      <c r="TE1256"/>
      <c r="TF1256"/>
      <c r="TG1256"/>
      <c r="TH1256"/>
      <c r="TI1256"/>
      <c r="TJ1256"/>
      <c r="TK1256"/>
      <c r="TL1256"/>
      <c r="TM1256"/>
      <c r="TN1256"/>
      <c r="TO1256"/>
      <c r="TP1256"/>
      <c r="TQ1256"/>
      <c r="TR1256"/>
      <c r="TS1256"/>
      <c r="TT1256"/>
      <c r="TU1256"/>
      <c r="TV1256"/>
      <c r="TW1256"/>
      <c r="TX1256"/>
      <c r="TY1256"/>
      <c r="TZ1256"/>
      <c r="UA1256"/>
      <c r="UB1256"/>
      <c r="UC1256"/>
      <c r="UD1256"/>
      <c r="UE1256"/>
      <c r="UF1256"/>
      <c r="UG1256"/>
      <c r="UH1256"/>
      <c r="UI1256"/>
      <c r="UJ1256"/>
      <c r="UK1256"/>
      <c r="UL1256"/>
      <c r="UM1256"/>
      <c r="UN1256"/>
      <c r="UO1256"/>
      <c r="UP1256"/>
      <c r="UQ1256"/>
      <c r="UR1256"/>
      <c r="US1256"/>
      <c r="UT1256"/>
      <c r="UU1256"/>
      <c r="UV1256"/>
      <c r="UW1256"/>
      <c r="UX1256"/>
      <c r="UY1256"/>
      <c r="UZ1256"/>
      <c r="VA1256"/>
      <c r="VB1256"/>
      <c r="VC1256"/>
      <c r="VD1256"/>
      <c r="VE1256"/>
      <c r="VF1256"/>
      <c r="VG1256"/>
      <c r="VH1256"/>
      <c r="VI1256"/>
      <c r="VJ1256"/>
      <c r="VK1256"/>
      <c r="VL1256"/>
      <c r="VM1256"/>
      <c r="VN1256"/>
      <c r="VO1256"/>
      <c r="VP1256"/>
      <c r="VQ1256"/>
      <c r="VR1256"/>
      <c r="VS1256"/>
      <c r="VT1256"/>
      <c r="VU1256"/>
      <c r="VV1256"/>
      <c r="VW1256"/>
      <c r="VX1256"/>
      <c r="VY1256"/>
      <c r="VZ1256"/>
      <c r="WA1256"/>
      <c r="WB1256"/>
      <c r="WC1256"/>
      <c r="WD1256"/>
      <c r="WE1256"/>
      <c r="WF1256"/>
      <c r="WG1256"/>
      <c r="WH1256"/>
      <c r="WI1256"/>
      <c r="WJ1256"/>
      <c r="WK1256"/>
      <c r="WL1256"/>
      <c r="WM1256"/>
      <c r="WN1256"/>
      <c r="WO1256"/>
      <c r="WP1256"/>
      <c r="WQ1256"/>
      <c r="WR1256"/>
      <c r="WS1256"/>
      <c r="WT1256"/>
      <c r="WU1256"/>
      <c r="WV1256"/>
      <c r="WW1256"/>
      <c r="WX1256"/>
      <c r="WY1256"/>
      <c r="WZ1256"/>
      <c r="XA1256"/>
      <c r="XB1256"/>
      <c r="XC1256"/>
      <c r="XD1256"/>
      <c r="XE1256"/>
      <c r="XF1256"/>
      <c r="XG1256"/>
      <c r="XH1256"/>
      <c r="XI1256"/>
      <c r="XJ1256"/>
      <c r="XK1256"/>
      <c r="XL1256"/>
      <c r="XM1256"/>
      <c r="XN1256"/>
      <c r="XO1256"/>
      <c r="XP1256"/>
      <c r="XQ1256"/>
      <c r="XR1256"/>
      <c r="XS1256"/>
      <c r="XT1256"/>
      <c r="XU1256"/>
      <c r="XV1256"/>
      <c r="XW1256"/>
      <c r="XX1256"/>
      <c r="XY1256"/>
      <c r="XZ1256"/>
      <c r="YA1256"/>
      <c r="YB1256"/>
      <c r="YC1256"/>
      <c r="YD1256"/>
      <c r="YE1256"/>
      <c r="YF1256"/>
      <c r="YG1256"/>
      <c r="YH1256"/>
      <c r="YI1256"/>
      <c r="YJ1256"/>
      <c r="YK1256"/>
      <c r="YL1256"/>
      <c r="YM1256"/>
      <c r="YN1256"/>
      <c r="YO1256"/>
      <c r="YP1256"/>
      <c r="YQ1256"/>
      <c r="YR1256"/>
      <c r="YS1256"/>
      <c r="YT1256"/>
      <c r="YU1256"/>
      <c r="YV1256"/>
      <c r="YW1256"/>
      <c r="YX1256"/>
      <c r="YY1256"/>
      <c r="YZ1256"/>
      <c r="ZA1256"/>
      <c r="ZB1256"/>
      <c r="ZC1256"/>
      <c r="ZD1256"/>
      <c r="ZE1256"/>
      <c r="ZF1256"/>
      <c r="ZG1256"/>
      <c r="ZH1256"/>
      <c r="ZI1256"/>
      <c r="ZJ1256"/>
      <c r="ZK1256"/>
      <c r="ZL1256"/>
      <c r="ZM1256"/>
      <c r="ZN1256"/>
      <c r="ZO1256"/>
      <c r="ZP1256"/>
      <c r="ZQ1256"/>
      <c r="ZR1256"/>
      <c r="ZS1256"/>
      <c r="ZT1256"/>
      <c r="ZU1256"/>
      <c r="ZV1256"/>
      <c r="ZW1256"/>
      <c r="ZX1256"/>
      <c r="ZY1256"/>
      <c r="ZZ1256"/>
      <c r="AAA1256"/>
      <c r="AAB1256"/>
      <c r="AAC1256"/>
      <c r="AAD1256"/>
      <c r="AAE1256"/>
      <c r="AAF1256"/>
      <c r="AAG1256"/>
      <c r="AAH1256"/>
      <c r="AAI1256"/>
      <c r="AAJ1256"/>
      <c r="AAK1256"/>
      <c r="AAL1256"/>
      <c r="AAM1256"/>
      <c r="AAN1256"/>
      <c r="AAO1256"/>
      <c r="AAP1256"/>
      <c r="AAQ1256"/>
      <c r="AAR1256"/>
      <c r="AAS1256"/>
      <c r="AAT1256"/>
      <c r="AAU1256"/>
      <c r="AAV1256"/>
      <c r="AAW1256"/>
      <c r="AAX1256"/>
      <c r="AAY1256"/>
      <c r="AAZ1256"/>
      <c r="ABA1256"/>
      <c r="ABB1256"/>
      <c r="ABC1256"/>
      <c r="ABD1256"/>
      <c r="ABE1256"/>
      <c r="ABF1256"/>
      <c r="ABG1256"/>
      <c r="ABH1256"/>
      <c r="ABI1256"/>
      <c r="ABJ1256"/>
      <c r="ABK1256"/>
      <c r="ABL1256"/>
      <c r="ABM1256"/>
      <c r="ABN1256"/>
      <c r="ABO1256"/>
      <c r="ABP1256"/>
      <c r="ABQ1256"/>
      <c r="ABR1256"/>
      <c r="ABS1256"/>
      <c r="ABT1256"/>
      <c r="ABU1256"/>
      <c r="ABV1256"/>
      <c r="ABW1256"/>
      <c r="ABX1256"/>
      <c r="ABY1256"/>
      <c r="ABZ1256"/>
      <c r="ACA1256"/>
      <c r="ACB1256"/>
      <c r="ACC1256"/>
      <c r="ACD1256"/>
      <c r="ACE1256"/>
      <c r="ACF1256"/>
      <c r="ACG1256"/>
      <c r="ACH1256"/>
      <c r="ACI1256"/>
      <c r="ACJ1256"/>
      <c r="ACK1256"/>
      <c r="ACL1256"/>
      <c r="ACM1256"/>
      <c r="ACN1256"/>
      <c r="ACO1256"/>
      <c r="ACP1256"/>
      <c r="ACQ1256"/>
      <c r="ACR1256"/>
      <c r="ACS1256"/>
      <c r="ACT1256"/>
      <c r="ACU1256"/>
      <c r="ACV1256"/>
      <c r="ACW1256"/>
      <c r="ACX1256"/>
      <c r="ACY1256"/>
      <c r="ACZ1256"/>
      <c r="ADA1256"/>
      <c r="ADB1256"/>
      <c r="ADC1256"/>
      <c r="ADD1256"/>
      <c r="ADE1256"/>
      <c r="ADF1256"/>
      <c r="ADG1256"/>
      <c r="ADH1256"/>
      <c r="ADI1256"/>
      <c r="ADJ1256"/>
      <c r="ADK1256"/>
      <c r="ADL1256"/>
      <c r="ADM1256"/>
      <c r="ADN1256"/>
      <c r="ADO1256"/>
      <c r="ADP1256"/>
      <c r="ADQ1256"/>
      <c r="ADR1256"/>
      <c r="ADS1256"/>
      <c r="ADT1256"/>
      <c r="ADU1256"/>
      <c r="ADV1256"/>
      <c r="ADW1256"/>
      <c r="ADX1256"/>
      <c r="ADY1256"/>
      <c r="ADZ1256"/>
      <c r="AEA1256"/>
      <c r="AEB1256"/>
      <c r="AEC1256"/>
      <c r="AED1256"/>
      <c r="AEE1256"/>
      <c r="AEF1256"/>
      <c r="AEG1256"/>
      <c r="AEH1256"/>
      <c r="AEI1256"/>
      <c r="AEJ1256"/>
      <c r="AEK1256"/>
      <c r="AEL1256"/>
      <c r="AEM1256"/>
      <c r="AEN1256"/>
      <c r="AEO1256"/>
      <c r="AEP1256"/>
      <c r="AEQ1256"/>
      <c r="AER1256"/>
      <c r="AES1256"/>
      <c r="AET1256"/>
      <c r="AEU1256"/>
      <c r="AEV1256"/>
      <c r="AEW1256"/>
      <c r="AEX1256"/>
      <c r="AEY1256"/>
      <c r="AEZ1256"/>
      <c r="AFA1256"/>
      <c r="AFB1256"/>
      <c r="AFC1256"/>
      <c r="AFD1256"/>
      <c r="AFE1256"/>
      <c r="AFF1256"/>
      <c r="AFG1256"/>
      <c r="AFH1256"/>
      <c r="AFI1256"/>
      <c r="AFJ1256"/>
      <c r="AFK1256"/>
      <c r="AFL1256"/>
      <c r="AFM1256"/>
      <c r="AFN1256"/>
      <c r="AFO1256"/>
      <c r="AFP1256"/>
      <c r="AFQ1256"/>
      <c r="AFR1256"/>
      <c r="AFS1256"/>
      <c r="AFT1256"/>
      <c r="AFU1256"/>
      <c r="AFV1256"/>
      <c r="AFW1256"/>
      <c r="AFX1256"/>
      <c r="AFY1256"/>
      <c r="AFZ1256"/>
      <c r="AGA1256"/>
      <c r="AGB1256"/>
      <c r="AGC1256"/>
      <c r="AGD1256"/>
      <c r="AGE1256"/>
      <c r="AGF1256"/>
      <c r="AGG1256"/>
      <c r="AGH1256"/>
      <c r="AGI1256"/>
      <c r="AGJ1256"/>
      <c r="AGK1256"/>
      <c r="AGL1256"/>
      <c r="AGM1256"/>
      <c r="AGN1256"/>
      <c r="AGO1256"/>
      <c r="AGP1256"/>
      <c r="AGQ1256"/>
      <c r="AGR1256"/>
      <c r="AGS1256"/>
      <c r="AGT1256"/>
      <c r="AGU1256"/>
      <c r="AGV1256"/>
      <c r="AGW1256"/>
      <c r="AGX1256"/>
      <c r="AGY1256"/>
      <c r="AGZ1256"/>
      <c r="AHA1256"/>
      <c r="AHB1256"/>
      <c r="AHC1256"/>
      <c r="AHD1256"/>
      <c r="AHE1256"/>
      <c r="AHF1256"/>
      <c r="AHG1256"/>
      <c r="AHH1256"/>
      <c r="AHI1256"/>
      <c r="AHJ1256"/>
      <c r="AHK1256"/>
      <c r="AHL1256"/>
      <c r="AHM1256"/>
      <c r="AHN1256"/>
      <c r="AHO1256"/>
      <c r="AHP1256"/>
      <c r="AHQ1256"/>
      <c r="AHR1256"/>
      <c r="AHS1256"/>
      <c r="AHT1256"/>
      <c r="AHU1256"/>
      <c r="AHV1256"/>
      <c r="AHW1256"/>
      <c r="AHX1256"/>
      <c r="AHY1256"/>
      <c r="AHZ1256"/>
      <c r="AIA1256"/>
      <c r="AIB1256"/>
      <c r="AIC1256"/>
      <c r="AID1256"/>
      <c r="AIE1256"/>
      <c r="AIF1256"/>
      <c r="AIG1256"/>
      <c r="AIH1256"/>
      <c r="AII1256"/>
      <c r="AIJ1256"/>
      <c r="AIK1256"/>
      <c r="AIL1256"/>
      <c r="AIM1256"/>
      <c r="AIN1256"/>
      <c r="AIO1256"/>
      <c r="AIP1256"/>
      <c r="AIQ1256"/>
      <c r="AIR1256"/>
      <c r="AIS1256"/>
      <c r="AIT1256"/>
      <c r="AIU1256"/>
      <c r="AIV1256"/>
      <c r="AIW1256"/>
      <c r="AIX1256"/>
      <c r="AIY1256"/>
      <c r="AIZ1256"/>
      <c r="AJA1256"/>
      <c r="AJB1256"/>
      <c r="AJC1256"/>
      <c r="AJD1256"/>
      <c r="AJE1256"/>
      <c r="AJF1256"/>
      <c r="AJG1256"/>
      <c r="AJH1256"/>
      <c r="AJI1256"/>
      <c r="AJJ1256"/>
      <c r="AJK1256"/>
      <c r="AJL1256"/>
      <c r="AJM1256"/>
      <c r="AJN1256"/>
      <c r="AJO1256"/>
      <c r="AJP1256"/>
      <c r="AJQ1256"/>
      <c r="AJR1256"/>
      <c r="AJS1256"/>
      <c r="AJT1256"/>
      <c r="AJU1256"/>
      <c r="AJV1256"/>
      <c r="AJW1256"/>
      <c r="AJX1256"/>
      <c r="AJY1256"/>
      <c r="AJZ1256"/>
      <c r="AKA1256"/>
      <c r="AKB1256"/>
      <c r="AKC1256"/>
      <c r="AKD1256"/>
      <c r="AKE1256"/>
      <c r="AKF1256"/>
      <c r="AKG1256"/>
      <c r="AKH1256"/>
      <c r="AKI1256"/>
      <c r="AKJ1256"/>
      <c r="AKK1256"/>
      <c r="AKL1256"/>
      <c r="AKM1256"/>
      <c r="AKN1256"/>
      <c r="AKO1256"/>
      <c r="AKP1256"/>
      <c r="AKQ1256"/>
      <c r="AKR1256"/>
      <c r="AKS1256"/>
      <c r="AKT1256"/>
      <c r="AKU1256"/>
      <c r="AKV1256"/>
      <c r="AKW1256"/>
      <c r="AKX1256"/>
      <c r="AKY1256"/>
      <c r="AKZ1256"/>
      <c r="ALA1256"/>
      <c r="ALB1256"/>
      <c r="ALC1256"/>
      <c r="ALD1256"/>
      <c r="ALE1256"/>
      <c r="ALF1256"/>
      <c r="ALG1256"/>
      <c r="ALH1256"/>
      <c r="ALI1256"/>
      <c r="ALJ1256"/>
      <c r="ALK1256"/>
      <c r="ALL1256"/>
      <c r="ALM1256"/>
      <c r="ALN1256"/>
      <c r="ALO1256"/>
      <c r="ALP1256"/>
      <c r="ALQ1256"/>
      <c r="ALR1256"/>
      <c r="ALS1256"/>
      <c r="ALT1256"/>
    </row>
    <row r="1257" spans="1:1008" ht="14">
      <c r="A1257" s="28" t="s">
        <v>3941</v>
      </c>
      <c r="B1257" s="26" t="s">
        <v>3995</v>
      </c>
      <c r="C1257" s="28" t="s">
        <v>4051</v>
      </c>
      <c r="D1257" s="25" t="s">
        <v>13</v>
      </c>
      <c r="E1257" s="28" t="s">
        <v>4051</v>
      </c>
      <c r="F1257" s="28" t="s">
        <v>3942</v>
      </c>
      <c r="G1257" s="28">
        <v>500</v>
      </c>
      <c r="H1257" s="28"/>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c r="AT1257"/>
      <c r="AU1257"/>
      <c r="AV1257"/>
      <c r="AW1257"/>
      <c r="AX1257"/>
      <c r="AY1257"/>
      <c r="AZ1257"/>
      <c r="BA1257"/>
      <c r="BB1257"/>
      <c r="BC1257"/>
      <c r="BD1257"/>
      <c r="BE1257"/>
      <c r="BF1257"/>
      <c r="BG1257"/>
      <c r="BH1257"/>
      <c r="BI1257"/>
      <c r="BJ1257"/>
      <c r="BK1257"/>
      <c r="BL1257"/>
      <c r="BM1257"/>
      <c r="BN1257"/>
      <c r="BO1257"/>
      <c r="BP1257"/>
      <c r="BQ1257"/>
      <c r="BR1257"/>
      <c r="BS1257"/>
      <c r="BT1257"/>
      <c r="BU1257"/>
      <c r="BV1257"/>
      <c r="BW1257"/>
      <c r="BX1257"/>
      <c r="BY1257"/>
      <c r="BZ1257"/>
      <c r="CA1257"/>
      <c r="CB1257"/>
      <c r="CC1257"/>
      <c r="CD1257"/>
      <c r="CE1257"/>
      <c r="CF1257"/>
      <c r="CG1257"/>
      <c r="CH1257"/>
      <c r="CI1257"/>
      <c r="CJ1257"/>
      <c r="CK1257"/>
      <c r="CL1257"/>
      <c r="CM1257"/>
      <c r="CN1257"/>
      <c r="CO1257"/>
      <c r="CP1257"/>
      <c r="CQ1257"/>
      <c r="CR1257"/>
      <c r="CS1257"/>
      <c r="CT1257"/>
      <c r="CU1257"/>
      <c r="CV1257"/>
      <c r="CW1257"/>
      <c r="CX1257"/>
      <c r="CY1257"/>
      <c r="CZ1257"/>
      <c r="DA1257"/>
      <c r="DB1257"/>
      <c r="DC1257"/>
      <c r="DD1257"/>
      <c r="DE1257"/>
      <c r="DF1257"/>
      <c r="DG1257"/>
      <c r="DH1257"/>
      <c r="DI1257"/>
      <c r="DJ1257"/>
      <c r="DK1257"/>
      <c r="DL1257"/>
      <c r="DM1257"/>
      <c r="DN1257"/>
      <c r="DO1257"/>
      <c r="DP1257"/>
      <c r="DQ1257"/>
      <c r="DR1257"/>
      <c r="DS1257"/>
      <c r="DT1257"/>
      <c r="DU1257"/>
      <c r="DV1257"/>
      <c r="DW1257"/>
      <c r="DX1257"/>
      <c r="DY1257"/>
      <c r="DZ1257"/>
      <c r="EA1257"/>
      <c r="EB1257"/>
      <c r="EC1257"/>
      <c r="ED1257"/>
      <c r="EE1257"/>
      <c r="EF1257"/>
      <c r="EG1257"/>
      <c r="EH1257"/>
      <c r="EI1257"/>
      <c r="EJ1257"/>
      <c r="EK1257"/>
      <c r="EL1257"/>
      <c r="EM1257"/>
      <c r="EN1257"/>
      <c r="EO1257"/>
      <c r="EP1257"/>
      <c r="EQ1257"/>
      <c r="ER1257"/>
      <c r="ES1257"/>
      <c r="ET1257"/>
      <c r="EU1257"/>
      <c r="EV1257"/>
      <c r="EW1257"/>
      <c r="EX1257"/>
      <c r="EY1257"/>
      <c r="EZ1257"/>
      <c r="FA1257"/>
      <c r="FB1257"/>
      <c r="FC1257"/>
      <c r="FD1257"/>
      <c r="FE1257"/>
      <c r="FF1257"/>
      <c r="FG1257"/>
      <c r="FH1257"/>
      <c r="FI1257"/>
      <c r="FJ1257"/>
      <c r="FK1257"/>
      <c r="FL1257"/>
      <c r="FM1257"/>
      <c r="FN1257"/>
      <c r="FO1257"/>
      <c r="FP1257"/>
      <c r="FQ1257"/>
      <c r="FR1257"/>
      <c r="FS1257"/>
      <c r="FT1257"/>
      <c r="FU1257"/>
      <c r="FV1257"/>
      <c r="FW1257"/>
      <c r="FX1257"/>
      <c r="FY1257"/>
      <c r="FZ1257"/>
      <c r="GA1257"/>
      <c r="GB1257"/>
      <c r="GC1257"/>
      <c r="GD1257"/>
      <c r="GE1257"/>
      <c r="GF1257"/>
      <c r="GG1257"/>
      <c r="GH1257"/>
      <c r="GI1257"/>
      <c r="GJ1257"/>
      <c r="GK1257"/>
      <c r="GL1257"/>
      <c r="GM1257"/>
      <c r="GN1257"/>
      <c r="GO1257"/>
      <c r="GP1257"/>
      <c r="GQ1257"/>
      <c r="GR1257"/>
      <c r="GS1257"/>
      <c r="GT1257"/>
      <c r="GU1257"/>
      <c r="GV1257"/>
      <c r="GW1257"/>
      <c r="GX1257"/>
      <c r="GY1257"/>
      <c r="GZ1257"/>
      <c r="HA1257"/>
      <c r="HB1257"/>
      <c r="HC1257"/>
      <c r="HD1257"/>
      <c r="HE1257"/>
      <c r="HF1257"/>
      <c r="HG1257"/>
      <c r="HH1257"/>
      <c r="HI1257"/>
      <c r="HJ1257"/>
      <c r="HK1257"/>
      <c r="HL1257"/>
      <c r="HM1257"/>
      <c r="HN1257"/>
      <c r="HO1257"/>
      <c r="HP1257"/>
      <c r="HQ1257"/>
      <c r="HR1257"/>
      <c r="HS1257"/>
      <c r="HT1257"/>
      <c r="HU1257"/>
      <c r="HV1257"/>
      <c r="HW1257"/>
      <c r="HX1257"/>
      <c r="HY1257"/>
      <c r="HZ1257"/>
      <c r="IA1257"/>
      <c r="IB1257"/>
      <c r="IC1257"/>
      <c r="ID1257"/>
      <c r="IE1257"/>
      <c r="IF1257"/>
      <c r="IG1257"/>
      <c r="IH1257"/>
      <c r="II1257"/>
      <c r="IJ1257"/>
      <c r="IK1257"/>
      <c r="IL1257"/>
      <c r="IM1257"/>
      <c r="IN1257"/>
      <c r="IO1257"/>
      <c r="IP1257"/>
      <c r="IQ1257"/>
      <c r="IR1257"/>
      <c r="IS1257"/>
      <c r="IT1257"/>
      <c r="IU1257"/>
      <c r="IV1257"/>
      <c r="IW1257"/>
      <c r="IX1257"/>
      <c r="IY1257"/>
      <c r="IZ1257"/>
      <c r="JA1257"/>
      <c r="JB1257"/>
      <c r="JC1257"/>
      <c r="JD1257"/>
      <c r="JE1257"/>
      <c r="JF1257"/>
      <c r="JG1257"/>
      <c r="JH1257"/>
      <c r="JI1257"/>
      <c r="JJ1257"/>
      <c r="JK1257"/>
      <c r="JL1257"/>
      <c r="JM1257"/>
      <c r="JN1257"/>
      <c r="JO1257"/>
      <c r="JP1257"/>
      <c r="JQ1257"/>
      <c r="JR1257"/>
      <c r="JS1257"/>
      <c r="JT1257"/>
      <c r="JU1257"/>
      <c r="JV1257"/>
      <c r="JW1257"/>
      <c r="JX1257"/>
      <c r="JY1257"/>
      <c r="JZ1257"/>
      <c r="KA1257"/>
      <c r="KB1257"/>
      <c r="KC1257"/>
      <c r="KD1257"/>
      <c r="KE1257"/>
      <c r="KF1257"/>
      <c r="KG1257"/>
      <c r="KH1257"/>
      <c r="KI1257"/>
      <c r="KJ1257"/>
      <c r="KK1257"/>
      <c r="KL1257"/>
      <c r="KM1257"/>
      <c r="KN1257"/>
      <c r="KO1257"/>
      <c r="KP1257"/>
      <c r="KQ1257"/>
      <c r="KR1257"/>
      <c r="KS1257"/>
      <c r="KT1257"/>
      <c r="KU1257"/>
      <c r="KV1257"/>
      <c r="KW1257"/>
      <c r="KX1257"/>
      <c r="KY1257"/>
      <c r="KZ1257"/>
      <c r="LA1257"/>
      <c r="LB1257"/>
      <c r="LC1257"/>
      <c r="LD1257"/>
      <c r="LE1257"/>
      <c r="LF1257"/>
      <c r="LG1257"/>
      <c r="LH1257"/>
      <c r="LI1257"/>
      <c r="LJ1257"/>
      <c r="LK1257"/>
      <c r="LL1257"/>
      <c r="LM1257"/>
      <c r="LN1257"/>
      <c r="LO1257"/>
      <c r="LP1257"/>
      <c r="LQ1257"/>
      <c r="LR1257"/>
      <c r="LS1257"/>
      <c r="LT1257"/>
      <c r="LU1257"/>
      <c r="LV1257"/>
      <c r="LW1257"/>
      <c r="LX1257"/>
      <c r="LY1257"/>
      <c r="LZ1257"/>
      <c r="MA1257"/>
      <c r="MB1257"/>
      <c r="MC1257"/>
      <c r="MD1257"/>
      <c r="ME1257"/>
      <c r="MF1257"/>
      <c r="MG1257"/>
      <c r="MH1257"/>
      <c r="MI1257"/>
      <c r="MJ1257"/>
      <c r="MK1257"/>
      <c r="ML1257"/>
      <c r="MM1257"/>
      <c r="MN1257"/>
      <c r="MO1257"/>
      <c r="MP1257"/>
      <c r="MQ1257"/>
      <c r="MR1257"/>
      <c r="MS1257"/>
      <c r="MT1257"/>
      <c r="MU1257"/>
      <c r="MV1257"/>
      <c r="MW1257"/>
      <c r="MX1257"/>
      <c r="MY1257"/>
      <c r="MZ1257"/>
      <c r="NA1257"/>
      <c r="NB1257"/>
      <c r="NC1257"/>
      <c r="ND1257"/>
      <c r="NE1257"/>
      <c r="NF1257"/>
      <c r="NG1257"/>
      <c r="NH1257"/>
      <c r="NI1257"/>
      <c r="NJ1257"/>
      <c r="NK1257"/>
      <c r="NL1257"/>
      <c r="NM1257"/>
      <c r="NN1257"/>
      <c r="NO1257"/>
      <c r="NP1257"/>
      <c r="NQ1257"/>
      <c r="NR1257"/>
      <c r="NS1257"/>
      <c r="NT1257"/>
      <c r="NU1257"/>
      <c r="NV1257"/>
      <c r="NW1257"/>
      <c r="NX1257"/>
      <c r="NY1257"/>
      <c r="NZ1257"/>
      <c r="OA1257"/>
      <c r="OB1257"/>
      <c r="OC1257"/>
      <c r="OD1257"/>
      <c r="OE1257"/>
      <c r="OF1257"/>
      <c r="OG1257"/>
      <c r="OH1257"/>
      <c r="OI1257"/>
      <c r="OJ1257"/>
      <c r="OK1257"/>
      <c r="OL1257"/>
      <c r="OM1257"/>
      <c r="ON1257"/>
      <c r="OO1257"/>
      <c r="OP1257"/>
      <c r="OQ1257"/>
      <c r="OR1257"/>
      <c r="OS1257"/>
      <c r="OT1257"/>
      <c r="OU1257"/>
      <c r="OV1257"/>
      <c r="OW1257"/>
      <c r="OX1257"/>
      <c r="OY1257"/>
      <c r="OZ1257"/>
      <c r="PA1257"/>
      <c r="PB1257"/>
      <c r="PC1257"/>
      <c r="PD1257"/>
      <c r="PE1257"/>
      <c r="PF1257"/>
      <c r="PG1257"/>
      <c r="PH1257"/>
      <c r="PI1257"/>
      <c r="PJ1257"/>
      <c r="PK1257"/>
      <c r="PL1257"/>
      <c r="PM1257"/>
      <c r="PN1257"/>
      <c r="PO1257"/>
      <c r="PP1257"/>
      <c r="PQ1257"/>
      <c r="PR1257"/>
      <c r="PS1257"/>
      <c r="PT1257"/>
      <c r="PU1257"/>
      <c r="PV1257"/>
      <c r="PW1257"/>
      <c r="PX1257"/>
      <c r="PY1257"/>
      <c r="PZ1257"/>
      <c r="QA1257"/>
      <c r="QB1257"/>
      <c r="QC1257"/>
      <c r="QD1257"/>
      <c r="QE1257"/>
      <c r="QF1257"/>
      <c r="QG1257"/>
      <c r="QH1257"/>
      <c r="QI1257"/>
      <c r="QJ1257"/>
      <c r="QK1257"/>
      <c r="QL1257"/>
      <c r="QM1257"/>
      <c r="QN1257"/>
      <c r="QO1257"/>
      <c r="QP1257"/>
      <c r="QQ1257"/>
      <c r="QR1257"/>
      <c r="QS1257"/>
      <c r="QT1257"/>
      <c r="QU1257"/>
      <c r="QV1257"/>
      <c r="QW1257"/>
      <c r="QX1257"/>
      <c r="QY1257"/>
      <c r="QZ1257"/>
      <c r="RA1257"/>
      <c r="RB1257"/>
      <c r="RC1257"/>
      <c r="RD1257"/>
      <c r="RE1257"/>
      <c r="RF1257"/>
      <c r="RG1257"/>
      <c r="RH1257"/>
      <c r="RI1257"/>
      <c r="RJ1257"/>
      <c r="RK1257"/>
      <c r="RL1257"/>
      <c r="RM1257"/>
      <c r="RN1257"/>
      <c r="RO1257"/>
      <c r="RP1257"/>
      <c r="RQ1257"/>
      <c r="RR1257"/>
      <c r="RS1257"/>
      <c r="RT1257"/>
      <c r="RU1257"/>
      <c r="RV1257"/>
      <c r="RW1257"/>
      <c r="RX1257"/>
      <c r="RY1257"/>
      <c r="RZ1257"/>
      <c r="SA1257"/>
      <c r="SB1257"/>
      <c r="SC1257"/>
      <c r="SD1257"/>
      <c r="SE1257"/>
      <c r="SF1257"/>
      <c r="SG1257"/>
      <c r="SH1257"/>
      <c r="SI1257"/>
      <c r="SJ1257"/>
      <c r="SK1257"/>
      <c r="SL1257"/>
      <c r="SM1257"/>
      <c r="SN1257"/>
      <c r="SO1257"/>
      <c r="SP1257"/>
      <c r="SQ1257"/>
      <c r="SR1257"/>
      <c r="SS1257"/>
      <c r="ST1257"/>
      <c r="SU1257"/>
      <c r="SV1257"/>
      <c r="SW1257"/>
      <c r="SX1257"/>
      <c r="SY1257"/>
      <c r="SZ1257"/>
      <c r="TA1257"/>
      <c r="TB1257"/>
      <c r="TC1257"/>
      <c r="TD1257"/>
      <c r="TE1257"/>
      <c r="TF1257"/>
      <c r="TG1257"/>
      <c r="TH1257"/>
      <c r="TI1257"/>
      <c r="TJ1257"/>
      <c r="TK1257"/>
      <c r="TL1257"/>
      <c r="TM1257"/>
      <c r="TN1257"/>
      <c r="TO1257"/>
      <c r="TP1257"/>
      <c r="TQ1257"/>
      <c r="TR1257"/>
      <c r="TS1257"/>
      <c r="TT1257"/>
      <c r="TU1257"/>
      <c r="TV1257"/>
      <c r="TW1257"/>
      <c r="TX1257"/>
      <c r="TY1257"/>
      <c r="TZ1257"/>
      <c r="UA1257"/>
      <c r="UB1257"/>
      <c r="UC1257"/>
      <c r="UD1257"/>
      <c r="UE1257"/>
      <c r="UF1257"/>
      <c r="UG1257"/>
      <c r="UH1257"/>
      <c r="UI1257"/>
      <c r="UJ1257"/>
      <c r="UK1257"/>
      <c r="UL1257"/>
      <c r="UM1257"/>
      <c r="UN1257"/>
      <c r="UO1257"/>
      <c r="UP1257"/>
      <c r="UQ1257"/>
      <c r="UR1257"/>
      <c r="US1257"/>
      <c r="UT1257"/>
      <c r="UU1257"/>
      <c r="UV1257"/>
      <c r="UW1257"/>
      <c r="UX1257"/>
      <c r="UY1257"/>
      <c r="UZ1257"/>
      <c r="VA1257"/>
      <c r="VB1257"/>
      <c r="VC1257"/>
      <c r="VD1257"/>
      <c r="VE1257"/>
      <c r="VF1257"/>
      <c r="VG1257"/>
      <c r="VH1257"/>
      <c r="VI1257"/>
      <c r="VJ1257"/>
      <c r="VK1257"/>
      <c r="VL1257"/>
      <c r="VM1257"/>
      <c r="VN1257"/>
      <c r="VO1257"/>
      <c r="VP1257"/>
      <c r="VQ1257"/>
      <c r="VR1257"/>
      <c r="VS1257"/>
      <c r="VT1257"/>
      <c r="VU1257"/>
      <c r="VV1257"/>
      <c r="VW1257"/>
      <c r="VX1257"/>
      <c r="VY1257"/>
      <c r="VZ1257"/>
      <c r="WA1257"/>
      <c r="WB1257"/>
      <c r="WC1257"/>
      <c r="WD1257"/>
      <c r="WE1257"/>
      <c r="WF1257"/>
      <c r="WG1257"/>
      <c r="WH1257"/>
      <c r="WI1257"/>
      <c r="WJ1257"/>
      <c r="WK1257"/>
      <c r="WL1257"/>
      <c r="WM1257"/>
      <c r="WN1257"/>
      <c r="WO1257"/>
      <c r="WP1257"/>
      <c r="WQ1257"/>
      <c r="WR1257"/>
      <c r="WS1257"/>
      <c r="WT1257"/>
      <c r="WU1257"/>
      <c r="WV1257"/>
      <c r="WW1257"/>
      <c r="WX1257"/>
      <c r="WY1257"/>
      <c r="WZ1257"/>
      <c r="XA1257"/>
      <c r="XB1257"/>
      <c r="XC1257"/>
      <c r="XD1257"/>
      <c r="XE1257"/>
      <c r="XF1257"/>
      <c r="XG1257"/>
      <c r="XH1257"/>
      <c r="XI1257"/>
      <c r="XJ1257"/>
      <c r="XK1257"/>
      <c r="XL1257"/>
      <c r="XM1257"/>
      <c r="XN1257"/>
      <c r="XO1257"/>
      <c r="XP1257"/>
      <c r="XQ1257"/>
      <c r="XR1257"/>
      <c r="XS1257"/>
      <c r="XT1257"/>
      <c r="XU1257"/>
      <c r="XV1257"/>
      <c r="XW1257"/>
      <c r="XX1257"/>
      <c r="XY1257"/>
      <c r="XZ1257"/>
      <c r="YA1257"/>
      <c r="YB1257"/>
      <c r="YC1257"/>
      <c r="YD1257"/>
      <c r="YE1257"/>
      <c r="YF1257"/>
      <c r="YG1257"/>
      <c r="YH1257"/>
      <c r="YI1257"/>
      <c r="YJ1257"/>
      <c r="YK1257"/>
      <c r="YL1257"/>
      <c r="YM1257"/>
      <c r="YN1257"/>
      <c r="YO1257"/>
      <c r="YP1257"/>
      <c r="YQ1257"/>
      <c r="YR1257"/>
      <c r="YS1257"/>
      <c r="YT1257"/>
      <c r="YU1257"/>
      <c r="YV1257"/>
      <c r="YW1257"/>
      <c r="YX1257"/>
      <c r="YY1257"/>
      <c r="YZ1257"/>
      <c r="ZA1257"/>
      <c r="ZB1257"/>
      <c r="ZC1257"/>
      <c r="ZD1257"/>
      <c r="ZE1257"/>
      <c r="ZF1257"/>
      <c r="ZG1257"/>
      <c r="ZH1257"/>
      <c r="ZI1257"/>
      <c r="ZJ1257"/>
      <c r="ZK1257"/>
      <c r="ZL1257"/>
      <c r="ZM1257"/>
      <c r="ZN1257"/>
      <c r="ZO1257"/>
      <c r="ZP1257"/>
      <c r="ZQ1257"/>
      <c r="ZR1257"/>
      <c r="ZS1257"/>
      <c r="ZT1257"/>
      <c r="ZU1257"/>
      <c r="ZV1257"/>
      <c r="ZW1257"/>
      <c r="ZX1257"/>
      <c r="ZY1257"/>
      <c r="ZZ1257"/>
      <c r="AAA1257"/>
      <c r="AAB1257"/>
      <c r="AAC1257"/>
      <c r="AAD1257"/>
      <c r="AAE1257"/>
      <c r="AAF1257"/>
      <c r="AAG1257"/>
      <c r="AAH1257"/>
      <c r="AAI1257"/>
      <c r="AAJ1257"/>
      <c r="AAK1257"/>
      <c r="AAL1257"/>
      <c r="AAM1257"/>
      <c r="AAN1257"/>
      <c r="AAO1257"/>
      <c r="AAP1257"/>
      <c r="AAQ1257"/>
      <c r="AAR1257"/>
      <c r="AAS1257"/>
      <c r="AAT1257"/>
      <c r="AAU1257"/>
      <c r="AAV1257"/>
      <c r="AAW1257"/>
      <c r="AAX1257"/>
      <c r="AAY1257"/>
      <c r="AAZ1257"/>
      <c r="ABA1257"/>
      <c r="ABB1257"/>
      <c r="ABC1257"/>
      <c r="ABD1257"/>
      <c r="ABE1257"/>
      <c r="ABF1257"/>
      <c r="ABG1257"/>
      <c r="ABH1257"/>
      <c r="ABI1257"/>
      <c r="ABJ1257"/>
      <c r="ABK1257"/>
      <c r="ABL1257"/>
      <c r="ABM1257"/>
      <c r="ABN1257"/>
      <c r="ABO1257"/>
      <c r="ABP1257"/>
      <c r="ABQ1257"/>
      <c r="ABR1257"/>
      <c r="ABS1257"/>
      <c r="ABT1257"/>
      <c r="ABU1257"/>
      <c r="ABV1257"/>
      <c r="ABW1257"/>
      <c r="ABX1257"/>
      <c r="ABY1257"/>
      <c r="ABZ1257"/>
      <c r="ACA1257"/>
      <c r="ACB1257"/>
      <c r="ACC1257"/>
      <c r="ACD1257"/>
      <c r="ACE1257"/>
      <c r="ACF1257"/>
      <c r="ACG1257"/>
      <c r="ACH1257"/>
      <c r="ACI1257"/>
      <c r="ACJ1257"/>
      <c r="ACK1257"/>
      <c r="ACL1257"/>
      <c r="ACM1257"/>
      <c r="ACN1257"/>
      <c r="ACO1257"/>
      <c r="ACP1257"/>
      <c r="ACQ1257"/>
      <c r="ACR1257"/>
      <c r="ACS1257"/>
      <c r="ACT1257"/>
      <c r="ACU1257"/>
      <c r="ACV1257"/>
      <c r="ACW1257"/>
      <c r="ACX1257"/>
      <c r="ACY1257"/>
      <c r="ACZ1257"/>
      <c r="ADA1257"/>
      <c r="ADB1257"/>
      <c r="ADC1257"/>
      <c r="ADD1257"/>
      <c r="ADE1257"/>
      <c r="ADF1257"/>
      <c r="ADG1257"/>
      <c r="ADH1257"/>
      <c r="ADI1257"/>
      <c r="ADJ1257"/>
      <c r="ADK1257"/>
      <c r="ADL1257"/>
      <c r="ADM1257"/>
      <c r="ADN1257"/>
      <c r="ADO1257"/>
      <c r="ADP1257"/>
      <c r="ADQ1257"/>
      <c r="ADR1257"/>
      <c r="ADS1257"/>
      <c r="ADT1257"/>
      <c r="ADU1257"/>
      <c r="ADV1257"/>
      <c r="ADW1257"/>
      <c r="ADX1257"/>
      <c r="ADY1257"/>
      <c r="ADZ1257"/>
      <c r="AEA1257"/>
      <c r="AEB1257"/>
      <c r="AEC1257"/>
      <c r="AED1257"/>
      <c r="AEE1257"/>
      <c r="AEF1257"/>
      <c r="AEG1257"/>
      <c r="AEH1257"/>
      <c r="AEI1257"/>
      <c r="AEJ1257"/>
      <c r="AEK1257"/>
      <c r="AEL1257"/>
      <c r="AEM1257"/>
      <c r="AEN1257"/>
      <c r="AEO1257"/>
      <c r="AEP1257"/>
      <c r="AEQ1257"/>
      <c r="AER1257"/>
      <c r="AES1257"/>
      <c r="AET1257"/>
      <c r="AEU1257"/>
      <c r="AEV1257"/>
      <c r="AEW1257"/>
      <c r="AEX1257"/>
      <c r="AEY1257"/>
      <c r="AEZ1257"/>
      <c r="AFA1257"/>
      <c r="AFB1257"/>
      <c r="AFC1257"/>
      <c r="AFD1257"/>
      <c r="AFE1257"/>
      <c r="AFF1257"/>
      <c r="AFG1257"/>
      <c r="AFH1257"/>
      <c r="AFI1257"/>
      <c r="AFJ1257"/>
      <c r="AFK1257"/>
      <c r="AFL1257"/>
      <c r="AFM1257"/>
      <c r="AFN1257"/>
      <c r="AFO1257"/>
      <c r="AFP1257"/>
      <c r="AFQ1257"/>
      <c r="AFR1257"/>
      <c r="AFS1257"/>
      <c r="AFT1257"/>
      <c r="AFU1257"/>
      <c r="AFV1257"/>
      <c r="AFW1257"/>
      <c r="AFX1257"/>
      <c r="AFY1257"/>
      <c r="AFZ1257"/>
      <c r="AGA1257"/>
      <c r="AGB1257"/>
      <c r="AGC1257"/>
      <c r="AGD1257"/>
      <c r="AGE1257"/>
      <c r="AGF1257"/>
      <c r="AGG1257"/>
      <c r="AGH1257"/>
      <c r="AGI1257"/>
      <c r="AGJ1257"/>
      <c r="AGK1257"/>
      <c r="AGL1257"/>
      <c r="AGM1257"/>
      <c r="AGN1257"/>
      <c r="AGO1257"/>
      <c r="AGP1257"/>
      <c r="AGQ1257"/>
      <c r="AGR1257"/>
      <c r="AGS1257"/>
      <c r="AGT1257"/>
      <c r="AGU1257"/>
      <c r="AGV1257"/>
      <c r="AGW1257"/>
      <c r="AGX1257"/>
      <c r="AGY1257"/>
      <c r="AGZ1257"/>
      <c r="AHA1257"/>
      <c r="AHB1257"/>
      <c r="AHC1257"/>
      <c r="AHD1257"/>
      <c r="AHE1257"/>
      <c r="AHF1257"/>
      <c r="AHG1257"/>
      <c r="AHH1257"/>
      <c r="AHI1257"/>
      <c r="AHJ1257"/>
      <c r="AHK1257"/>
      <c r="AHL1257"/>
      <c r="AHM1257"/>
      <c r="AHN1257"/>
      <c r="AHO1257"/>
      <c r="AHP1257"/>
      <c r="AHQ1257"/>
      <c r="AHR1257"/>
      <c r="AHS1257"/>
      <c r="AHT1257"/>
      <c r="AHU1257"/>
      <c r="AHV1257"/>
      <c r="AHW1257"/>
      <c r="AHX1257"/>
      <c r="AHY1257"/>
      <c r="AHZ1257"/>
      <c r="AIA1257"/>
      <c r="AIB1257"/>
      <c r="AIC1257"/>
      <c r="AID1257"/>
      <c r="AIE1257"/>
      <c r="AIF1257"/>
      <c r="AIG1257"/>
      <c r="AIH1257"/>
      <c r="AII1257"/>
      <c r="AIJ1257"/>
      <c r="AIK1257"/>
      <c r="AIL1257"/>
      <c r="AIM1257"/>
      <c r="AIN1257"/>
      <c r="AIO1257"/>
      <c r="AIP1257"/>
      <c r="AIQ1257"/>
      <c r="AIR1257"/>
      <c r="AIS1257"/>
      <c r="AIT1257"/>
      <c r="AIU1257"/>
      <c r="AIV1257"/>
      <c r="AIW1257"/>
      <c r="AIX1257"/>
      <c r="AIY1257"/>
      <c r="AIZ1257"/>
      <c r="AJA1257"/>
      <c r="AJB1257"/>
      <c r="AJC1257"/>
      <c r="AJD1257"/>
      <c r="AJE1257"/>
      <c r="AJF1257"/>
      <c r="AJG1257"/>
      <c r="AJH1257"/>
      <c r="AJI1257"/>
      <c r="AJJ1257"/>
      <c r="AJK1257"/>
      <c r="AJL1257"/>
      <c r="AJM1257"/>
      <c r="AJN1257"/>
      <c r="AJO1257"/>
      <c r="AJP1257"/>
      <c r="AJQ1257"/>
      <c r="AJR1257"/>
      <c r="AJS1257"/>
      <c r="AJT1257"/>
      <c r="AJU1257"/>
      <c r="AJV1257"/>
      <c r="AJW1257"/>
      <c r="AJX1257"/>
      <c r="AJY1257"/>
      <c r="AJZ1257"/>
      <c r="AKA1257"/>
      <c r="AKB1257"/>
      <c r="AKC1257"/>
      <c r="AKD1257"/>
      <c r="AKE1257"/>
      <c r="AKF1257"/>
      <c r="AKG1257"/>
      <c r="AKH1257"/>
      <c r="AKI1257"/>
      <c r="AKJ1257"/>
      <c r="AKK1257"/>
      <c r="AKL1257"/>
      <c r="AKM1257"/>
      <c r="AKN1257"/>
      <c r="AKO1257"/>
      <c r="AKP1257"/>
      <c r="AKQ1257"/>
      <c r="AKR1257"/>
      <c r="AKS1257"/>
      <c r="AKT1257"/>
      <c r="AKU1257"/>
      <c r="AKV1257"/>
      <c r="AKW1257"/>
      <c r="AKX1257"/>
      <c r="AKY1257"/>
      <c r="AKZ1257"/>
      <c r="ALA1257"/>
      <c r="ALB1257"/>
      <c r="ALC1257"/>
      <c r="ALD1257"/>
      <c r="ALE1257"/>
      <c r="ALF1257"/>
      <c r="ALG1257"/>
      <c r="ALH1257"/>
      <c r="ALI1257"/>
      <c r="ALJ1257"/>
      <c r="ALK1257"/>
      <c r="ALL1257"/>
      <c r="ALM1257"/>
      <c r="ALN1257"/>
      <c r="ALO1257"/>
      <c r="ALP1257"/>
      <c r="ALQ1257"/>
      <c r="ALR1257"/>
      <c r="ALS1257"/>
      <c r="ALT1257"/>
    </row>
    <row r="1258" spans="1:1008" ht="14">
      <c r="A1258" s="28" t="s">
        <v>4002</v>
      </c>
      <c r="B1258" s="26" t="s">
        <v>3995</v>
      </c>
      <c r="C1258" s="28" t="s">
        <v>4002</v>
      </c>
      <c r="D1258" s="25" t="s">
        <v>13</v>
      </c>
      <c r="E1258" s="28" t="s">
        <v>4003</v>
      </c>
      <c r="F1258" s="25" t="s">
        <v>4004</v>
      </c>
      <c r="G1258" s="28">
        <v>500</v>
      </c>
      <c r="H1258" s="28"/>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c r="AT1258"/>
      <c r="AU1258"/>
      <c r="AV1258"/>
      <c r="AW1258"/>
      <c r="AX1258"/>
      <c r="AY1258"/>
      <c r="AZ1258"/>
      <c r="BA1258"/>
      <c r="BB1258"/>
      <c r="BC1258"/>
      <c r="BD1258"/>
      <c r="BE1258"/>
      <c r="BF1258"/>
      <c r="BG1258"/>
      <c r="BH1258"/>
      <c r="BI1258"/>
      <c r="BJ1258"/>
      <c r="BK1258"/>
      <c r="BL1258"/>
      <c r="BM1258"/>
      <c r="BN1258"/>
      <c r="BO1258"/>
      <c r="BP1258"/>
      <c r="BQ1258"/>
      <c r="BR1258"/>
      <c r="BS1258"/>
      <c r="BT1258"/>
      <c r="BU1258"/>
      <c r="BV1258"/>
      <c r="BW1258"/>
      <c r="BX1258"/>
      <c r="BY1258"/>
      <c r="BZ1258"/>
      <c r="CA1258"/>
      <c r="CB1258"/>
      <c r="CC1258"/>
      <c r="CD1258"/>
      <c r="CE1258"/>
      <c r="CF1258"/>
      <c r="CG1258"/>
      <c r="CH1258"/>
      <c r="CI1258"/>
      <c r="CJ1258"/>
      <c r="CK1258"/>
      <c r="CL1258"/>
      <c r="CM1258"/>
      <c r="CN1258"/>
      <c r="CO1258"/>
      <c r="CP1258"/>
      <c r="CQ1258"/>
      <c r="CR1258"/>
      <c r="CS1258"/>
      <c r="CT1258"/>
      <c r="CU1258"/>
      <c r="CV1258"/>
      <c r="CW1258"/>
      <c r="CX1258"/>
      <c r="CY1258"/>
      <c r="CZ1258"/>
      <c r="DA1258"/>
      <c r="DB1258"/>
      <c r="DC1258"/>
      <c r="DD1258"/>
      <c r="DE1258"/>
      <c r="DF1258"/>
      <c r="DG1258"/>
      <c r="DH1258"/>
      <c r="DI1258"/>
      <c r="DJ1258"/>
      <c r="DK1258"/>
      <c r="DL1258"/>
      <c r="DM1258"/>
      <c r="DN1258"/>
      <c r="DO1258"/>
      <c r="DP1258"/>
      <c r="DQ1258"/>
      <c r="DR1258"/>
      <c r="DS1258"/>
      <c r="DT1258"/>
      <c r="DU1258"/>
      <c r="DV1258"/>
      <c r="DW1258"/>
      <c r="DX1258"/>
      <c r="DY1258"/>
      <c r="DZ1258"/>
      <c r="EA1258"/>
      <c r="EB1258"/>
      <c r="EC1258"/>
      <c r="ED1258"/>
      <c r="EE1258"/>
      <c r="EF1258"/>
      <c r="EG1258"/>
      <c r="EH1258"/>
      <c r="EI1258"/>
      <c r="EJ1258"/>
      <c r="EK1258"/>
      <c r="EL1258"/>
      <c r="EM1258"/>
      <c r="EN1258"/>
      <c r="EO1258"/>
      <c r="EP1258"/>
      <c r="EQ1258"/>
      <c r="ER1258"/>
      <c r="ES1258"/>
      <c r="ET1258"/>
      <c r="EU1258"/>
      <c r="EV1258"/>
      <c r="EW1258"/>
      <c r="EX1258"/>
      <c r="EY1258"/>
      <c r="EZ1258"/>
      <c r="FA1258"/>
      <c r="FB1258"/>
      <c r="FC1258"/>
      <c r="FD1258"/>
      <c r="FE1258"/>
      <c r="FF1258"/>
      <c r="FG1258"/>
      <c r="FH1258"/>
      <c r="FI1258"/>
      <c r="FJ1258"/>
      <c r="FK1258"/>
      <c r="FL1258"/>
      <c r="FM1258"/>
      <c r="FN1258"/>
      <c r="FO1258"/>
      <c r="FP1258"/>
      <c r="FQ1258"/>
      <c r="FR1258"/>
      <c r="FS1258"/>
      <c r="FT1258"/>
      <c r="FU1258"/>
      <c r="FV1258"/>
      <c r="FW1258"/>
      <c r="FX1258"/>
      <c r="FY1258"/>
      <c r="FZ1258"/>
      <c r="GA1258"/>
      <c r="GB1258"/>
      <c r="GC1258"/>
      <c r="GD1258"/>
      <c r="GE1258"/>
      <c r="GF1258"/>
      <c r="GG1258"/>
      <c r="GH1258"/>
      <c r="GI1258"/>
      <c r="GJ1258"/>
      <c r="GK1258"/>
      <c r="GL1258"/>
      <c r="GM1258"/>
      <c r="GN1258"/>
      <c r="GO1258"/>
      <c r="GP1258"/>
      <c r="GQ1258"/>
      <c r="GR1258"/>
      <c r="GS1258"/>
      <c r="GT1258"/>
      <c r="GU1258"/>
      <c r="GV1258"/>
      <c r="GW1258"/>
      <c r="GX1258"/>
      <c r="GY1258"/>
      <c r="GZ1258"/>
      <c r="HA1258"/>
      <c r="HB1258"/>
      <c r="HC1258"/>
      <c r="HD1258"/>
      <c r="HE1258"/>
      <c r="HF1258"/>
      <c r="HG1258"/>
      <c r="HH1258"/>
      <c r="HI1258"/>
      <c r="HJ1258"/>
      <c r="HK1258"/>
      <c r="HL1258"/>
      <c r="HM1258"/>
      <c r="HN1258"/>
      <c r="HO1258"/>
      <c r="HP1258"/>
      <c r="HQ1258"/>
      <c r="HR1258"/>
      <c r="HS1258"/>
      <c r="HT1258"/>
      <c r="HU1258"/>
      <c r="HV1258"/>
      <c r="HW1258"/>
      <c r="HX1258"/>
      <c r="HY1258"/>
      <c r="HZ1258"/>
      <c r="IA1258"/>
      <c r="IB1258"/>
      <c r="IC1258"/>
      <c r="ID1258"/>
      <c r="IE1258"/>
      <c r="IF1258"/>
      <c r="IG1258"/>
      <c r="IH1258"/>
      <c r="II1258"/>
      <c r="IJ1258"/>
      <c r="IK1258"/>
      <c r="IL1258"/>
      <c r="IM1258"/>
      <c r="IN1258"/>
      <c r="IO1258"/>
      <c r="IP1258"/>
      <c r="IQ1258"/>
      <c r="IR1258"/>
      <c r="IS1258"/>
      <c r="IT1258"/>
      <c r="IU1258"/>
      <c r="IV1258"/>
      <c r="IW1258"/>
      <c r="IX1258"/>
      <c r="IY1258"/>
      <c r="IZ1258"/>
      <c r="JA1258"/>
      <c r="JB1258"/>
      <c r="JC1258"/>
      <c r="JD1258"/>
      <c r="JE1258"/>
      <c r="JF1258"/>
      <c r="JG1258"/>
      <c r="JH1258"/>
      <c r="JI1258"/>
      <c r="JJ1258"/>
      <c r="JK1258"/>
      <c r="JL1258"/>
      <c r="JM1258"/>
      <c r="JN1258"/>
      <c r="JO1258"/>
      <c r="JP1258"/>
      <c r="JQ1258"/>
      <c r="JR1258"/>
      <c r="JS1258"/>
      <c r="JT1258"/>
      <c r="JU1258"/>
      <c r="JV1258"/>
      <c r="JW1258"/>
      <c r="JX1258"/>
      <c r="JY1258"/>
      <c r="JZ1258"/>
      <c r="KA1258"/>
      <c r="KB1258"/>
      <c r="KC1258"/>
      <c r="KD1258"/>
      <c r="KE1258"/>
      <c r="KF1258"/>
      <c r="KG1258"/>
      <c r="KH1258"/>
      <c r="KI1258"/>
      <c r="KJ1258"/>
      <c r="KK1258"/>
      <c r="KL1258"/>
      <c r="KM1258"/>
      <c r="KN1258"/>
      <c r="KO1258"/>
      <c r="KP1258"/>
      <c r="KQ1258"/>
      <c r="KR1258"/>
      <c r="KS1258"/>
      <c r="KT1258"/>
      <c r="KU1258"/>
      <c r="KV1258"/>
      <c r="KW1258"/>
      <c r="KX1258"/>
      <c r="KY1258"/>
      <c r="KZ1258"/>
      <c r="LA1258"/>
      <c r="LB1258"/>
      <c r="LC1258"/>
      <c r="LD1258"/>
      <c r="LE1258"/>
      <c r="LF1258"/>
      <c r="LG1258"/>
      <c r="LH1258"/>
      <c r="LI1258"/>
      <c r="LJ1258"/>
      <c r="LK1258"/>
      <c r="LL1258"/>
      <c r="LM1258"/>
      <c r="LN1258"/>
      <c r="LO1258"/>
      <c r="LP1258"/>
      <c r="LQ1258"/>
      <c r="LR1258"/>
      <c r="LS1258"/>
      <c r="LT1258"/>
      <c r="LU1258"/>
      <c r="LV1258"/>
      <c r="LW1258"/>
      <c r="LX1258"/>
      <c r="LY1258"/>
      <c r="LZ1258"/>
      <c r="MA1258"/>
      <c r="MB1258"/>
      <c r="MC1258"/>
      <c r="MD1258"/>
      <c r="ME1258"/>
      <c r="MF1258"/>
      <c r="MG1258"/>
      <c r="MH1258"/>
      <c r="MI1258"/>
      <c r="MJ1258"/>
      <c r="MK1258"/>
      <c r="ML1258"/>
      <c r="MM1258"/>
      <c r="MN1258"/>
      <c r="MO1258"/>
      <c r="MP1258"/>
      <c r="MQ1258"/>
      <c r="MR1258"/>
      <c r="MS1258"/>
      <c r="MT1258"/>
      <c r="MU1258"/>
      <c r="MV1258"/>
      <c r="MW1258"/>
      <c r="MX1258"/>
      <c r="MY1258"/>
      <c r="MZ1258"/>
      <c r="NA1258"/>
      <c r="NB1258"/>
      <c r="NC1258"/>
      <c r="ND1258"/>
      <c r="NE1258"/>
      <c r="NF1258"/>
      <c r="NG1258"/>
      <c r="NH1258"/>
      <c r="NI1258"/>
      <c r="NJ1258"/>
      <c r="NK1258"/>
      <c r="NL1258"/>
      <c r="NM1258"/>
      <c r="NN1258"/>
      <c r="NO1258"/>
      <c r="NP1258"/>
      <c r="NQ1258"/>
      <c r="NR1258"/>
      <c r="NS1258"/>
      <c r="NT1258"/>
      <c r="NU1258"/>
      <c r="NV1258"/>
      <c r="NW1258"/>
      <c r="NX1258"/>
      <c r="NY1258"/>
      <c r="NZ1258"/>
      <c r="OA1258"/>
      <c r="OB1258"/>
      <c r="OC1258"/>
      <c r="OD1258"/>
      <c r="OE1258"/>
      <c r="OF1258"/>
      <c r="OG1258"/>
      <c r="OH1258"/>
      <c r="OI1258"/>
      <c r="OJ1258"/>
      <c r="OK1258"/>
      <c r="OL1258"/>
      <c r="OM1258"/>
      <c r="ON1258"/>
      <c r="OO1258"/>
      <c r="OP1258"/>
      <c r="OQ1258"/>
      <c r="OR1258"/>
      <c r="OS1258"/>
      <c r="OT1258"/>
      <c r="OU1258"/>
      <c r="OV1258"/>
      <c r="OW1258"/>
      <c r="OX1258"/>
      <c r="OY1258"/>
      <c r="OZ1258"/>
      <c r="PA1258"/>
      <c r="PB1258"/>
      <c r="PC1258"/>
      <c r="PD1258"/>
      <c r="PE1258"/>
      <c r="PF1258"/>
      <c r="PG1258"/>
      <c r="PH1258"/>
      <c r="PI1258"/>
      <c r="PJ1258"/>
      <c r="PK1258"/>
      <c r="PL1258"/>
      <c r="PM1258"/>
      <c r="PN1258"/>
      <c r="PO1258"/>
      <c r="PP1258"/>
      <c r="PQ1258"/>
      <c r="PR1258"/>
      <c r="PS1258"/>
      <c r="PT1258"/>
      <c r="PU1258"/>
      <c r="PV1258"/>
      <c r="PW1258"/>
      <c r="PX1258"/>
      <c r="PY1258"/>
      <c r="PZ1258"/>
      <c r="QA1258"/>
      <c r="QB1258"/>
      <c r="QC1258"/>
      <c r="QD1258"/>
      <c r="QE1258"/>
      <c r="QF1258"/>
      <c r="QG1258"/>
      <c r="QH1258"/>
      <c r="QI1258"/>
      <c r="QJ1258"/>
      <c r="QK1258"/>
      <c r="QL1258"/>
      <c r="QM1258"/>
      <c r="QN1258"/>
      <c r="QO1258"/>
      <c r="QP1258"/>
      <c r="QQ1258"/>
      <c r="QR1258"/>
      <c r="QS1258"/>
      <c r="QT1258"/>
      <c r="QU1258"/>
      <c r="QV1258"/>
      <c r="QW1258"/>
      <c r="QX1258"/>
      <c r="QY1258"/>
      <c r="QZ1258"/>
      <c r="RA1258"/>
      <c r="RB1258"/>
      <c r="RC1258"/>
      <c r="RD1258"/>
      <c r="RE1258"/>
      <c r="RF1258"/>
      <c r="RG1258"/>
      <c r="RH1258"/>
      <c r="RI1258"/>
      <c r="RJ1258"/>
      <c r="RK1258"/>
      <c r="RL1258"/>
      <c r="RM1258"/>
      <c r="RN1258"/>
      <c r="RO1258"/>
      <c r="RP1258"/>
      <c r="RQ1258"/>
      <c r="RR1258"/>
      <c r="RS1258"/>
      <c r="RT1258"/>
      <c r="RU1258"/>
      <c r="RV1258"/>
      <c r="RW1258"/>
      <c r="RX1258"/>
      <c r="RY1258"/>
      <c r="RZ1258"/>
      <c r="SA1258"/>
      <c r="SB1258"/>
      <c r="SC1258"/>
      <c r="SD1258"/>
      <c r="SE1258"/>
      <c r="SF1258"/>
      <c r="SG1258"/>
      <c r="SH1258"/>
      <c r="SI1258"/>
      <c r="SJ1258"/>
      <c r="SK1258"/>
      <c r="SL1258"/>
      <c r="SM1258"/>
      <c r="SN1258"/>
      <c r="SO1258"/>
      <c r="SP1258"/>
      <c r="SQ1258"/>
      <c r="SR1258"/>
      <c r="SS1258"/>
      <c r="ST1258"/>
      <c r="SU1258"/>
      <c r="SV1258"/>
      <c r="SW1258"/>
      <c r="SX1258"/>
      <c r="SY1258"/>
      <c r="SZ1258"/>
      <c r="TA1258"/>
      <c r="TB1258"/>
      <c r="TC1258"/>
      <c r="TD1258"/>
      <c r="TE1258"/>
      <c r="TF1258"/>
      <c r="TG1258"/>
      <c r="TH1258"/>
      <c r="TI1258"/>
      <c r="TJ1258"/>
      <c r="TK1258"/>
      <c r="TL1258"/>
      <c r="TM1258"/>
      <c r="TN1258"/>
      <c r="TO1258"/>
      <c r="TP1258"/>
      <c r="TQ1258"/>
      <c r="TR1258"/>
      <c r="TS1258"/>
      <c r="TT1258"/>
      <c r="TU1258"/>
      <c r="TV1258"/>
      <c r="TW1258"/>
      <c r="TX1258"/>
      <c r="TY1258"/>
      <c r="TZ1258"/>
      <c r="UA1258"/>
      <c r="UB1258"/>
      <c r="UC1258"/>
      <c r="UD1258"/>
      <c r="UE1258"/>
      <c r="UF1258"/>
      <c r="UG1258"/>
      <c r="UH1258"/>
      <c r="UI1258"/>
      <c r="UJ1258"/>
      <c r="UK1258"/>
      <c r="UL1258"/>
      <c r="UM1258"/>
      <c r="UN1258"/>
      <c r="UO1258"/>
      <c r="UP1258"/>
      <c r="UQ1258"/>
      <c r="UR1258"/>
      <c r="US1258"/>
      <c r="UT1258"/>
      <c r="UU1258"/>
      <c r="UV1258"/>
      <c r="UW1258"/>
      <c r="UX1258"/>
      <c r="UY1258"/>
      <c r="UZ1258"/>
      <c r="VA1258"/>
      <c r="VB1258"/>
      <c r="VC1258"/>
      <c r="VD1258"/>
      <c r="VE1258"/>
      <c r="VF1258"/>
      <c r="VG1258"/>
      <c r="VH1258"/>
      <c r="VI1258"/>
      <c r="VJ1258"/>
      <c r="VK1258"/>
      <c r="VL1258"/>
      <c r="VM1258"/>
      <c r="VN1258"/>
      <c r="VO1258"/>
      <c r="VP1258"/>
      <c r="VQ1258"/>
      <c r="VR1258"/>
      <c r="VS1258"/>
      <c r="VT1258"/>
      <c r="VU1258"/>
      <c r="VV1258"/>
      <c r="VW1258"/>
      <c r="VX1258"/>
      <c r="VY1258"/>
      <c r="VZ1258"/>
      <c r="WA1258"/>
      <c r="WB1258"/>
      <c r="WC1258"/>
      <c r="WD1258"/>
      <c r="WE1258"/>
      <c r="WF1258"/>
      <c r="WG1258"/>
      <c r="WH1258"/>
      <c r="WI1258"/>
      <c r="WJ1258"/>
      <c r="WK1258"/>
      <c r="WL1258"/>
      <c r="WM1258"/>
      <c r="WN1258"/>
      <c r="WO1258"/>
      <c r="WP1258"/>
      <c r="WQ1258"/>
      <c r="WR1258"/>
      <c r="WS1258"/>
      <c r="WT1258"/>
      <c r="WU1258"/>
      <c r="WV1258"/>
      <c r="WW1258"/>
      <c r="WX1258"/>
      <c r="WY1258"/>
      <c r="WZ1258"/>
      <c r="XA1258"/>
      <c r="XB1258"/>
      <c r="XC1258"/>
      <c r="XD1258"/>
      <c r="XE1258"/>
      <c r="XF1258"/>
      <c r="XG1258"/>
      <c r="XH1258"/>
      <c r="XI1258"/>
      <c r="XJ1258"/>
      <c r="XK1258"/>
      <c r="XL1258"/>
      <c r="XM1258"/>
      <c r="XN1258"/>
      <c r="XO1258"/>
      <c r="XP1258"/>
      <c r="XQ1258"/>
      <c r="XR1258"/>
      <c r="XS1258"/>
      <c r="XT1258"/>
      <c r="XU1258"/>
      <c r="XV1258"/>
      <c r="XW1258"/>
      <c r="XX1258"/>
      <c r="XY1258"/>
      <c r="XZ1258"/>
      <c r="YA1258"/>
      <c r="YB1258"/>
      <c r="YC1258"/>
      <c r="YD1258"/>
      <c r="YE1258"/>
      <c r="YF1258"/>
      <c r="YG1258"/>
      <c r="YH1258"/>
      <c r="YI1258"/>
      <c r="YJ1258"/>
      <c r="YK1258"/>
      <c r="YL1258"/>
      <c r="YM1258"/>
      <c r="YN1258"/>
      <c r="YO1258"/>
      <c r="YP1258"/>
      <c r="YQ1258"/>
      <c r="YR1258"/>
      <c r="YS1258"/>
      <c r="YT1258"/>
      <c r="YU1258"/>
      <c r="YV1258"/>
      <c r="YW1258"/>
      <c r="YX1258"/>
      <c r="YY1258"/>
      <c r="YZ1258"/>
      <c r="ZA1258"/>
      <c r="ZB1258"/>
      <c r="ZC1258"/>
      <c r="ZD1258"/>
      <c r="ZE1258"/>
      <c r="ZF1258"/>
      <c r="ZG1258"/>
      <c r="ZH1258"/>
      <c r="ZI1258"/>
      <c r="ZJ1258"/>
      <c r="ZK1258"/>
      <c r="ZL1258"/>
      <c r="ZM1258"/>
      <c r="ZN1258"/>
      <c r="ZO1258"/>
      <c r="ZP1258"/>
      <c r="ZQ1258"/>
      <c r="ZR1258"/>
      <c r="ZS1258"/>
      <c r="ZT1258"/>
      <c r="ZU1258"/>
      <c r="ZV1258"/>
      <c r="ZW1258"/>
      <c r="ZX1258"/>
      <c r="ZY1258"/>
      <c r="ZZ1258"/>
      <c r="AAA1258"/>
      <c r="AAB1258"/>
      <c r="AAC1258"/>
      <c r="AAD1258"/>
      <c r="AAE1258"/>
      <c r="AAF1258"/>
      <c r="AAG1258"/>
      <c r="AAH1258"/>
      <c r="AAI1258"/>
      <c r="AAJ1258"/>
      <c r="AAK1258"/>
      <c r="AAL1258"/>
      <c r="AAM1258"/>
      <c r="AAN1258"/>
      <c r="AAO1258"/>
      <c r="AAP1258"/>
      <c r="AAQ1258"/>
      <c r="AAR1258"/>
      <c r="AAS1258"/>
      <c r="AAT1258"/>
      <c r="AAU1258"/>
      <c r="AAV1258"/>
      <c r="AAW1258"/>
      <c r="AAX1258"/>
      <c r="AAY1258"/>
      <c r="AAZ1258"/>
      <c r="ABA1258"/>
      <c r="ABB1258"/>
      <c r="ABC1258"/>
      <c r="ABD1258"/>
      <c r="ABE1258"/>
      <c r="ABF1258"/>
      <c r="ABG1258"/>
      <c r="ABH1258"/>
      <c r="ABI1258"/>
      <c r="ABJ1258"/>
      <c r="ABK1258"/>
      <c r="ABL1258"/>
      <c r="ABM1258"/>
      <c r="ABN1258"/>
      <c r="ABO1258"/>
      <c r="ABP1258"/>
      <c r="ABQ1258"/>
      <c r="ABR1258"/>
      <c r="ABS1258"/>
      <c r="ABT1258"/>
      <c r="ABU1258"/>
      <c r="ABV1258"/>
      <c r="ABW1258"/>
      <c r="ABX1258"/>
      <c r="ABY1258"/>
      <c r="ABZ1258"/>
      <c r="ACA1258"/>
      <c r="ACB1258"/>
      <c r="ACC1258"/>
      <c r="ACD1258"/>
      <c r="ACE1258"/>
      <c r="ACF1258"/>
      <c r="ACG1258"/>
      <c r="ACH1258"/>
      <c r="ACI1258"/>
      <c r="ACJ1258"/>
      <c r="ACK1258"/>
      <c r="ACL1258"/>
      <c r="ACM1258"/>
      <c r="ACN1258"/>
      <c r="ACO1258"/>
      <c r="ACP1258"/>
      <c r="ACQ1258"/>
      <c r="ACR1258"/>
      <c r="ACS1258"/>
      <c r="ACT1258"/>
      <c r="ACU1258"/>
      <c r="ACV1258"/>
      <c r="ACW1258"/>
      <c r="ACX1258"/>
      <c r="ACY1258"/>
      <c r="ACZ1258"/>
      <c r="ADA1258"/>
      <c r="ADB1258"/>
      <c r="ADC1258"/>
      <c r="ADD1258"/>
      <c r="ADE1258"/>
      <c r="ADF1258"/>
      <c r="ADG1258"/>
      <c r="ADH1258"/>
      <c r="ADI1258"/>
      <c r="ADJ1258"/>
      <c r="ADK1258"/>
      <c r="ADL1258"/>
      <c r="ADM1258"/>
      <c r="ADN1258"/>
      <c r="ADO1258"/>
      <c r="ADP1258"/>
      <c r="ADQ1258"/>
      <c r="ADR1258"/>
      <c r="ADS1258"/>
      <c r="ADT1258"/>
      <c r="ADU1258"/>
      <c r="ADV1258"/>
      <c r="ADW1258"/>
      <c r="ADX1258"/>
      <c r="ADY1258"/>
      <c r="ADZ1258"/>
      <c r="AEA1258"/>
      <c r="AEB1258"/>
      <c r="AEC1258"/>
      <c r="AED1258"/>
      <c r="AEE1258"/>
      <c r="AEF1258"/>
      <c r="AEG1258"/>
      <c r="AEH1258"/>
      <c r="AEI1258"/>
      <c r="AEJ1258"/>
      <c r="AEK1258"/>
      <c r="AEL1258"/>
      <c r="AEM1258"/>
      <c r="AEN1258"/>
      <c r="AEO1258"/>
      <c r="AEP1258"/>
      <c r="AEQ1258"/>
      <c r="AER1258"/>
      <c r="AES1258"/>
      <c r="AET1258"/>
      <c r="AEU1258"/>
      <c r="AEV1258"/>
      <c r="AEW1258"/>
      <c r="AEX1258"/>
      <c r="AEY1258"/>
      <c r="AEZ1258"/>
      <c r="AFA1258"/>
      <c r="AFB1258"/>
      <c r="AFC1258"/>
      <c r="AFD1258"/>
      <c r="AFE1258"/>
      <c r="AFF1258"/>
      <c r="AFG1258"/>
      <c r="AFH1258"/>
      <c r="AFI1258"/>
      <c r="AFJ1258"/>
      <c r="AFK1258"/>
      <c r="AFL1258"/>
      <c r="AFM1258"/>
      <c r="AFN1258"/>
      <c r="AFO1258"/>
      <c r="AFP1258"/>
      <c r="AFQ1258"/>
      <c r="AFR1258"/>
      <c r="AFS1258"/>
      <c r="AFT1258"/>
      <c r="AFU1258"/>
      <c r="AFV1258"/>
      <c r="AFW1258"/>
      <c r="AFX1258"/>
      <c r="AFY1258"/>
      <c r="AFZ1258"/>
      <c r="AGA1258"/>
      <c r="AGB1258"/>
      <c r="AGC1258"/>
      <c r="AGD1258"/>
      <c r="AGE1258"/>
      <c r="AGF1258"/>
      <c r="AGG1258"/>
      <c r="AGH1258"/>
      <c r="AGI1258"/>
      <c r="AGJ1258"/>
      <c r="AGK1258"/>
      <c r="AGL1258"/>
      <c r="AGM1258"/>
      <c r="AGN1258"/>
      <c r="AGO1258"/>
      <c r="AGP1258"/>
      <c r="AGQ1258"/>
      <c r="AGR1258"/>
      <c r="AGS1258"/>
      <c r="AGT1258"/>
      <c r="AGU1258"/>
      <c r="AGV1258"/>
      <c r="AGW1258"/>
      <c r="AGX1258"/>
      <c r="AGY1258"/>
      <c r="AGZ1258"/>
      <c r="AHA1258"/>
      <c r="AHB1258"/>
      <c r="AHC1258"/>
      <c r="AHD1258"/>
      <c r="AHE1258"/>
      <c r="AHF1258"/>
      <c r="AHG1258"/>
      <c r="AHH1258"/>
      <c r="AHI1258"/>
      <c r="AHJ1258"/>
      <c r="AHK1258"/>
      <c r="AHL1258"/>
      <c r="AHM1258"/>
      <c r="AHN1258"/>
      <c r="AHO1258"/>
      <c r="AHP1258"/>
      <c r="AHQ1258"/>
      <c r="AHR1258"/>
      <c r="AHS1258"/>
      <c r="AHT1258"/>
      <c r="AHU1258"/>
      <c r="AHV1258"/>
      <c r="AHW1258"/>
      <c r="AHX1258"/>
      <c r="AHY1258"/>
      <c r="AHZ1258"/>
      <c r="AIA1258"/>
      <c r="AIB1258"/>
      <c r="AIC1258"/>
      <c r="AID1258"/>
      <c r="AIE1258"/>
      <c r="AIF1258"/>
      <c r="AIG1258"/>
      <c r="AIH1258"/>
      <c r="AII1258"/>
      <c r="AIJ1258"/>
      <c r="AIK1258"/>
      <c r="AIL1258"/>
      <c r="AIM1258"/>
      <c r="AIN1258"/>
      <c r="AIO1258"/>
      <c r="AIP1258"/>
      <c r="AIQ1258"/>
      <c r="AIR1258"/>
      <c r="AIS1258"/>
      <c r="AIT1258"/>
      <c r="AIU1258"/>
      <c r="AIV1258"/>
      <c r="AIW1258"/>
      <c r="AIX1258"/>
      <c r="AIY1258"/>
      <c r="AIZ1258"/>
      <c r="AJA1258"/>
      <c r="AJB1258"/>
      <c r="AJC1258"/>
      <c r="AJD1258"/>
      <c r="AJE1258"/>
      <c r="AJF1258"/>
      <c r="AJG1258"/>
      <c r="AJH1258"/>
      <c r="AJI1258"/>
      <c r="AJJ1258"/>
      <c r="AJK1258"/>
      <c r="AJL1258"/>
      <c r="AJM1258"/>
      <c r="AJN1258"/>
      <c r="AJO1258"/>
      <c r="AJP1258"/>
      <c r="AJQ1258"/>
      <c r="AJR1258"/>
      <c r="AJS1258"/>
      <c r="AJT1258"/>
      <c r="AJU1258"/>
      <c r="AJV1258"/>
      <c r="AJW1258"/>
      <c r="AJX1258"/>
      <c r="AJY1258"/>
      <c r="AJZ1258"/>
      <c r="AKA1258"/>
      <c r="AKB1258"/>
      <c r="AKC1258"/>
      <c r="AKD1258"/>
      <c r="AKE1258"/>
      <c r="AKF1258"/>
      <c r="AKG1258"/>
      <c r="AKH1258"/>
      <c r="AKI1258"/>
      <c r="AKJ1258"/>
      <c r="AKK1258"/>
      <c r="AKL1258"/>
      <c r="AKM1258"/>
      <c r="AKN1258"/>
      <c r="AKO1258"/>
      <c r="AKP1258"/>
      <c r="AKQ1258"/>
      <c r="AKR1258"/>
      <c r="AKS1258"/>
      <c r="AKT1258"/>
      <c r="AKU1258"/>
      <c r="AKV1258"/>
      <c r="AKW1258"/>
      <c r="AKX1258"/>
      <c r="AKY1258"/>
      <c r="AKZ1258"/>
      <c r="ALA1258"/>
      <c r="ALB1258"/>
      <c r="ALC1258"/>
      <c r="ALD1258"/>
      <c r="ALE1258"/>
      <c r="ALF1258"/>
      <c r="ALG1258"/>
      <c r="ALH1258"/>
      <c r="ALI1258"/>
      <c r="ALJ1258"/>
      <c r="ALK1258"/>
      <c r="ALL1258"/>
      <c r="ALM1258"/>
      <c r="ALN1258"/>
      <c r="ALO1258"/>
      <c r="ALP1258"/>
      <c r="ALQ1258"/>
      <c r="ALR1258"/>
      <c r="ALS1258"/>
      <c r="ALT1258"/>
    </row>
    <row r="1259" spans="1:1008" ht="14">
      <c r="A1259" s="28" t="s">
        <v>3943</v>
      </c>
      <c r="B1259" s="26" t="s">
        <v>3897</v>
      </c>
      <c r="C1259" s="28" t="s">
        <v>3943</v>
      </c>
      <c r="D1259" s="25" t="s">
        <v>13</v>
      </c>
      <c r="E1259" s="28" t="s">
        <v>3943</v>
      </c>
      <c r="F1259" s="28" t="s">
        <v>3944</v>
      </c>
      <c r="G1259" s="28">
        <v>500</v>
      </c>
      <c r="H1259" s="28"/>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c r="AT1259"/>
      <c r="AU1259"/>
      <c r="AV1259"/>
      <c r="AW1259"/>
      <c r="AX1259"/>
      <c r="AY1259"/>
      <c r="AZ1259"/>
      <c r="BA1259"/>
      <c r="BB1259"/>
      <c r="BC1259"/>
      <c r="BD1259"/>
      <c r="BE1259"/>
      <c r="BF1259"/>
      <c r="BG1259"/>
      <c r="BH1259"/>
      <c r="BI1259"/>
      <c r="BJ1259"/>
      <c r="BK1259"/>
      <c r="BL1259"/>
      <c r="BM1259"/>
      <c r="BN1259"/>
      <c r="BO1259"/>
      <c r="BP1259"/>
      <c r="BQ1259"/>
      <c r="BR1259"/>
      <c r="BS1259"/>
      <c r="BT1259"/>
      <c r="BU1259"/>
      <c r="BV1259"/>
      <c r="BW1259"/>
      <c r="BX1259"/>
      <c r="BY1259"/>
      <c r="BZ1259"/>
      <c r="CA1259"/>
      <c r="CB1259"/>
      <c r="CC1259"/>
      <c r="CD1259"/>
      <c r="CE1259"/>
      <c r="CF1259"/>
      <c r="CG1259"/>
      <c r="CH1259"/>
      <c r="CI1259"/>
      <c r="CJ1259"/>
      <c r="CK1259"/>
      <c r="CL1259"/>
      <c r="CM1259"/>
      <c r="CN1259"/>
      <c r="CO1259"/>
      <c r="CP1259"/>
      <c r="CQ1259"/>
      <c r="CR1259"/>
      <c r="CS1259"/>
      <c r="CT1259"/>
      <c r="CU1259"/>
      <c r="CV1259"/>
      <c r="CW1259"/>
      <c r="CX1259"/>
      <c r="CY1259"/>
      <c r="CZ1259"/>
      <c r="DA1259"/>
      <c r="DB1259"/>
      <c r="DC1259"/>
      <c r="DD1259"/>
      <c r="DE1259"/>
      <c r="DF1259"/>
      <c r="DG1259"/>
      <c r="DH1259"/>
      <c r="DI1259"/>
      <c r="DJ1259"/>
      <c r="DK1259"/>
      <c r="DL1259"/>
      <c r="DM1259"/>
      <c r="DN1259"/>
      <c r="DO1259"/>
      <c r="DP1259"/>
      <c r="DQ1259"/>
      <c r="DR1259"/>
      <c r="DS1259"/>
      <c r="DT1259"/>
      <c r="DU1259"/>
      <c r="DV1259"/>
      <c r="DW1259"/>
      <c r="DX1259"/>
      <c r="DY1259"/>
      <c r="DZ1259"/>
      <c r="EA1259"/>
      <c r="EB1259"/>
      <c r="EC1259"/>
      <c r="ED1259"/>
      <c r="EE1259"/>
      <c r="EF1259"/>
      <c r="EG1259"/>
      <c r="EH1259"/>
      <c r="EI1259"/>
      <c r="EJ1259"/>
      <c r="EK1259"/>
      <c r="EL1259"/>
      <c r="EM1259"/>
      <c r="EN1259"/>
      <c r="EO1259"/>
      <c r="EP1259"/>
      <c r="EQ1259"/>
      <c r="ER1259"/>
      <c r="ES1259"/>
      <c r="ET1259"/>
      <c r="EU1259"/>
      <c r="EV1259"/>
      <c r="EW1259"/>
      <c r="EX1259"/>
      <c r="EY1259"/>
      <c r="EZ1259"/>
      <c r="FA1259"/>
      <c r="FB1259"/>
      <c r="FC1259"/>
      <c r="FD1259"/>
      <c r="FE1259"/>
      <c r="FF1259"/>
      <c r="FG1259"/>
      <c r="FH1259"/>
      <c r="FI1259"/>
      <c r="FJ1259"/>
      <c r="FK1259"/>
      <c r="FL1259"/>
      <c r="FM1259"/>
      <c r="FN1259"/>
      <c r="FO1259"/>
      <c r="FP1259"/>
      <c r="FQ1259"/>
      <c r="FR1259"/>
      <c r="FS1259"/>
      <c r="FT1259"/>
      <c r="FU1259"/>
      <c r="FV1259"/>
      <c r="FW1259"/>
      <c r="FX1259"/>
      <c r="FY1259"/>
      <c r="FZ1259"/>
      <c r="GA1259"/>
      <c r="GB1259"/>
      <c r="GC1259"/>
      <c r="GD1259"/>
      <c r="GE1259"/>
      <c r="GF1259"/>
      <c r="GG1259"/>
      <c r="GH1259"/>
      <c r="GI1259"/>
      <c r="GJ1259"/>
      <c r="GK1259"/>
      <c r="GL1259"/>
      <c r="GM1259"/>
      <c r="GN1259"/>
      <c r="GO1259"/>
      <c r="GP1259"/>
      <c r="GQ1259"/>
      <c r="GR1259"/>
      <c r="GS1259"/>
      <c r="GT1259"/>
      <c r="GU1259"/>
      <c r="GV1259"/>
      <c r="GW1259"/>
      <c r="GX1259"/>
      <c r="GY1259"/>
      <c r="GZ1259"/>
      <c r="HA1259"/>
      <c r="HB1259"/>
      <c r="HC1259"/>
      <c r="HD1259"/>
      <c r="HE1259"/>
      <c r="HF1259"/>
      <c r="HG1259"/>
      <c r="HH1259"/>
      <c r="HI1259"/>
      <c r="HJ1259"/>
      <c r="HK1259"/>
      <c r="HL1259"/>
      <c r="HM1259"/>
      <c r="HN1259"/>
      <c r="HO1259"/>
      <c r="HP1259"/>
      <c r="HQ1259"/>
      <c r="HR1259"/>
      <c r="HS1259"/>
      <c r="HT1259"/>
      <c r="HU1259"/>
      <c r="HV1259"/>
      <c r="HW1259"/>
      <c r="HX1259"/>
      <c r="HY1259"/>
      <c r="HZ1259"/>
      <c r="IA1259"/>
      <c r="IB1259"/>
      <c r="IC1259"/>
      <c r="ID1259"/>
      <c r="IE1259"/>
      <c r="IF1259"/>
      <c r="IG1259"/>
      <c r="IH1259"/>
      <c r="II1259"/>
      <c r="IJ1259"/>
      <c r="IK1259"/>
      <c r="IL1259"/>
      <c r="IM1259"/>
      <c r="IN1259"/>
      <c r="IO1259"/>
      <c r="IP1259"/>
      <c r="IQ1259"/>
      <c r="IR1259"/>
      <c r="IS1259"/>
      <c r="IT1259"/>
      <c r="IU1259"/>
      <c r="IV1259"/>
      <c r="IW1259"/>
      <c r="IX1259"/>
      <c r="IY1259"/>
      <c r="IZ1259"/>
      <c r="JA1259"/>
      <c r="JB1259"/>
      <c r="JC1259"/>
      <c r="JD1259"/>
      <c r="JE1259"/>
      <c r="JF1259"/>
      <c r="JG1259"/>
      <c r="JH1259"/>
      <c r="JI1259"/>
      <c r="JJ1259"/>
      <c r="JK1259"/>
      <c r="JL1259"/>
      <c r="JM1259"/>
      <c r="JN1259"/>
      <c r="JO1259"/>
      <c r="JP1259"/>
      <c r="JQ1259"/>
      <c r="JR1259"/>
      <c r="JS1259"/>
      <c r="JT1259"/>
      <c r="JU1259"/>
      <c r="JV1259"/>
      <c r="JW1259"/>
      <c r="JX1259"/>
      <c r="JY1259"/>
      <c r="JZ1259"/>
      <c r="KA1259"/>
      <c r="KB1259"/>
      <c r="KC1259"/>
      <c r="KD1259"/>
      <c r="KE1259"/>
      <c r="KF1259"/>
      <c r="KG1259"/>
      <c r="KH1259"/>
      <c r="KI1259"/>
      <c r="KJ1259"/>
      <c r="KK1259"/>
      <c r="KL1259"/>
      <c r="KM1259"/>
      <c r="KN1259"/>
      <c r="KO1259"/>
      <c r="KP1259"/>
      <c r="KQ1259"/>
      <c r="KR1259"/>
      <c r="KS1259"/>
      <c r="KT1259"/>
      <c r="KU1259"/>
      <c r="KV1259"/>
      <c r="KW1259"/>
      <c r="KX1259"/>
      <c r="KY1259"/>
      <c r="KZ1259"/>
      <c r="LA1259"/>
      <c r="LB1259"/>
      <c r="LC1259"/>
      <c r="LD1259"/>
      <c r="LE1259"/>
      <c r="LF1259"/>
      <c r="LG1259"/>
      <c r="LH1259"/>
      <c r="LI1259"/>
      <c r="LJ1259"/>
      <c r="LK1259"/>
      <c r="LL1259"/>
      <c r="LM1259"/>
      <c r="LN1259"/>
      <c r="LO1259"/>
      <c r="LP1259"/>
      <c r="LQ1259"/>
      <c r="LR1259"/>
      <c r="LS1259"/>
      <c r="LT1259"/>
      <c r="LU1259"/>
      <c r="LV1259"/>
      <c r="LW1259"/>
      <c r="LX1259"/>
      <c r="LY1259"/>
      <c r="LZ1259"/>
      <c r="MA1259"/>
      <c r="MB1259"/>
      <c r="MC1259"/>
      <c r="MD1259"/>
      <c r="ME1259"/>
      <c r="MF1259"/>
      <c r="MG1259"/>
      <c r="MH1259"/>
      <c r="MI1259"/>
      <c r="MJ1259"/>
      <c r="MK1259"/>
      <c r="ML1259"/>
      <c r="MM1259"/>
      <c r="MN1259"/>
      <c r="MO1259"/>
      <c r="MP1259"/>
      <c r="MQ1259"/>
      <c r="MR1259"/>
      <c r="MS1259"/>
      <c r="MT1259"/>
      <c r="MU1259"/>
      <c r="MV1259"/>
      <c r="MW1259"/>
      <c r="MX1259"/>
      <c r="MY1259"/>
      <c r="MZ1259"/>
      <c r="NA1259"/>
      <c r="NB1259"/>
      <c r="NC1259"/>
      <c r="ND1259"/>
      <c r="NE1259"/>
      <c r="NF1259"/>
      <c r="NG1259"/>
      <c r="NH1259"/>
      <c r="NI1259"/>
      <c r="NJ1259"/>
      <c r="NK1259"/>
      <c r="NL1259"/>
      <c r="NM1259"/>
      <c r="NN1259"/>
      <c r="NO1259"/>
      <c r="NP1259"/>
      <c r="NQ1259"/>
      <c r="NR1259"/>
      <c r="NS1259"/>
      <c r="NT1259"/>
      <c r="NU1259"/>
      <c r="NV1259"/>
      <c r="NW1259"/>
      <c r="NX1259"/>
      <c r="NY1259"/>
      <c r="NZ1259"/>
      <c r="OA1259"/>
      <c r="OB1259"/>
      <c r="OC1259"/>
      <c r="OD1259"/>
      <c r="OE1259"/>
      <c r="OF1259"/>
      <c r="OG1259"/>
      <c r="OH1259"/>
      <c r="OI1259"/>
      <c r="OJ1259"/>
      <c r="OK1259"/>
      <c r="OL1259"/>
      <c r="OM1259"/>
      <c r="ON1259"/>
      <c r="OO1259"/>
      <c r="OP1259"/>
      <c r="OQ1259"/>
      <c r="OR1259"/>
      <c r="OS1259"/>
      <c r="OT1259"/>
      <c r="OU1259"/>
      <c r="OV1259"/>
      <c r="OW1259"/>
      <c r="OX1259"/>
      <c r="OY1259"/>
      <c r="OZ1259"/>
      <c r="PA1259"/>
      <c r="PB1259"/>
      <c r="PC1259"/>
      <c r="PD1259"/>
      <c r="PE1259"/>
      <c r="PF1259"/>
      <c r="PG1259"/>
      <c r="PH1259"/>
      <c r="PI1259"/>
      <c r="PJ1259"/>
      <c r="PK1259"/>
      <c r="PL1259"/>
      <c r="PM1259"/>
      <c r="PN1259"/>
      <c r="PO1259"/>
      <c r="PP1259"/>
      <c r="PQ1259"/>
      <c r="PR1259"/>
      <c r="PS1259"/>
      <c r="PT1259"/>
      <c r="PU1259"/>
      <c r="PV1259"/>
      <c r="PW1259"/>
      <c r="PX1259"/>
      <c r="PY1259"/>
      <c r="PZ1259"/>
      <c r="QA1259"/>
      <c r="QB1259"/>
      <c r="QC1259"/>
      <c r="QD1259"/>
      <c r="QE1259"/>
      <c r="QF1259"/>
      <c r="QG1259"/>
      <c r="QH1259"/>
      <c r="QI1259"/>
      <c r="QJ1259"/>
      <c r="QK1259"/>
      <c r="QL1259"/>
      <c r="QM1259"/>
      <c r="QN1259"/>
      <c r="QO1259"/>
      <c r="QP1259"/>
      <c r="QQ1259"/>
      <c r="QR1259"/>
      <c r="QS1259"/>
      <c r="QT1259"/>
      <c r="QU1259"/>
      <c r="QV1259"/>
      <c r="QW1259"/>
      <c r="QX1259"/>
      <c r="QY1259"/>
      <c r="QZ1259"/>
      <c r="RA1259"/>
      <c r="RB1259"/>
      <c r="RC1259"/>
      <c r="RD1259"/>
      <c r="RE1259"/>
      <c r="RF1259"/>
      <c r="RG1259"/>
      <c r="RH1259"/>
      <c r="RI1259"/>
      <c r="RJ1259"/>
      <c r="RK1259"/>
      <c r="RL1259"/>
      <c r="RM1259"/>
      <c r="RN1259"/>
      <c r="RO1259"/>
      <c r="RP1259"/>
      <c r="RQ1259"/>
      <c r="RR1259"/>
      <c r="RS1259"/>
      <c r="RT1259"/>
      <c r="RU1259"/>
      <c r="RV1259"/>
      <c r="RW1259"/>
      <c r="RX1259"/>
      <c r="RY1259"/>
      <c r="RZ1259"/>
      <c r="SA1259"/>
      <c r="SB1259"/>
      <c r="SC1259"/>
      <c r="SD1259"/>
      <c r="SE1259"/>
      <c r="SF1259"/>
      <c r="SG1259"/>
      <c r="SH1259"/>
      <c r="SI1259"/>
      <c r="SJ1259"/>
      <c r="SK1259"/>
      <c r="SL1259"/>
      <c r="SM1259"/>
      <c r="SN1259"/>
      <c r="SO1259"/>
      <c r="SP1259"/>
      <c r="SQ1259"/>
      <c r="SR1259"/>
      <c r="SS1259"/>
      <c r="ST1259"/>
      <c r="SU1259"/>
      <c r="SV1259"/>
      <c r="SW1259"/>
      <c r="SX1259"/>
      <c r="SY1259"/>
      <c r="SZ1259"/>
      <c r="TA1259"/>
      <c r="TB1259"/>
      <c r="TC1259"/>
      <c r="TD1259"/>
      <c r="TE1259"/>
      <c r="TF1259"/>
      <c r="TG1259"/>
      <c r="TH1259"/>
      <c r="TI1259"/>
      <c r="TJ1259"/>
      <c r="TK1259"/>
      <c r="TL1259"/>
      <c r="TM1259"/>
      <c r="TN1259"/>
      <c r="TO1259"/>
      <c r="TP1259"/>
      <c r="TQ1259"/>
      <c r="TR1259"/>
      <c r="TS1259"/>
      <c r="TT1259"/>
      <c r="TU1259"/>
      <c r="TV1259"/>
      <c r="TW1259"/>
      <c r="TX1259"/>
      <c r="TY1259"/>
      <c r="TZ1259"/>
      <c r="UA1259"/>
      <c r="UB1259"/>
      <c r="UC1259"/>
      <c r="UD1259"/>
      <c r="UE1259"/>
      <c r="UF1259"/>
      <c r="UG1259"/>
      <c r="UH1259"/>
      <c r="UI1259"/>
      <c r="UJ1259"/>
      <c r="UK1259"/>
      <c r="UL1259"/>
      <c r="UM1259"/>
      <c r="UN1259"/>
      <c r="UO1259"/>
      <c r="UP1259"/>
      <c r="UQ1259"/>
      <c r="UR1259"/>
      <c r="US1259"/>
      <c r="UT1259"/>
      <c r="UU1259"/>
      <c r="UV1259"/>
      <c r="UW1259"/>
      <c r="UX1259"/>
      <c r="UY1259"/>
      <c r="UZ1259"/>
      <c r="VA1259"/>
      <c r="VB1259"/>
      <c r="VC1259"/>
      <c r="VD1259"/>
      <c r="VE1259"/>
      <c r="VF1259"/>
      <c r="VG1259"/>
      <c r="VH1259"/>
      <c r="VI1259"/>
      <c r="VJ1259"/>
      <c r="VK1259"/>
      <c r="VL1259"/>
      <c r="VM1259"/>
      <c r="VN1259"/>
      <c r="VO1259"/>
      <c r="VP1259"/>
      <c r="VQ1259"/>
      <c r="VR1259"/>
      <c r="VS1259"/>
      <c r="VT1259"/>
      <c r="VU1259"/>
      <c r="VV1259"/>
      <c r="VW1259"/>
      <c r="VX1259"/>
      <c r="VY1259"/>
      <c r="VZ1259"/>
      <c r="WA1259"/>
      <c r="WB1259"/>
      <c r="WC1259"/>
      <c r="WD1259"/>
      <c r="WE1259"/>
      <c r="WF1259"/>
      <c r="WG1259"/>
      <c r="WH1259"/>
      <c r="WI1259"/>
      <c r="WJ1259"/>
      <c r="WK1259"/>
      <c r="WL1259"/>
      <c r="WM1259"/>
      <c r="WN1259"/>
      <c r="WO1259"/>
      <c r="WP1259"/>
      <c r="WQ1259"/>
      <c r="WR1259"/>
      <c r="WS1259"/>
      <c r="WT1259"/>
      <c r="WU1259"/>
      <c r="WV1259"/>
      <c r="WW1259"/>
      <c r="WX1259"/>
      <c r="WY1259"/>
      <c r="WZ1259"/>
      <c r="XA1259"/>
      <c r="XB1259"/>
      <c r="XC1259"/>
      <c r="XD1259"/>
      <c r="XE1259"/>
      <c r="XF1259"/>
      <c r="XG1259"/>
      <c r="XH1259"/>
      <c r="XI1259"/>
      <c r="XJ1259"/>
      <c r="XK1259"/>
      <c r="XL1259"/>
      <c r="XM1259"/>
      <c r="XN1259"/>
      <c r="XO1259"/>
      <c r="XP1259"/>
      <c r="XQ1259"/>
      <c r="XR1259"/>
      <c r="XS1259"/>
      <c r="XT1259"/>
      <c r="XU1259"/>
      <c r="XV1259"/>
      <c r="XW1259"/>
      <c r="XX1259"/>
      <c r="XY1259"/>
      <c r="XZ1259"/>
      <c r="YA1259"/>
      <c r="YB1259"/>
      <c r="YC1259"/>
      <c r="YD1259"/>
      <c r="YE1259"/>
      <c r="YF1259"/>
      <c r="YG1259"/>
      <c r="YH1259"/>
      <c r="YI1259"/>
      <c r="YJ1259"/>
      <c r="YK1259"/>
      <c r="YL1259"/>
      <c r="YM1259"/>
      <c r="YN1259"/>
      <c r="YO1259"/>
      <c r="YP1259"/>
      <c r="YQ1259"/>
      <c r="YR1259"/>
      <c r="YS1259"/>
      <c r="YT1259"/>
      <c r="YU1259"/>
      <c r="YV1259"/>
      <c r="YW1259"/>
      <c r="YX1259"/>
      <c r="YY1259"/>
      <c r="YZ1259"/>
      <c r="ZA1259"/>
      <c r="ZB1259"/>
      <c r="ZC1259"/>
      <c r="ZD1259"/>
      <c r="ZE1259"/>
      <c r="ZF1259"/>
      <c r="ZG1259"/>
      <c r="ZH1259"/>
      <c r="ZI1259"/>
      <c r="ZJ1259"/>
      <c r="ZK1259"/>
      <c r="ZL1259"/>
      <c r="ZM1259"/>
      <c r="ZN1259"/>
      <c r="ZO1259"/>
      <c r="ZP1259"/>
      <c r="ZQ1259"/>
      <c r="ZR1259"/>
      <c r="ZS1259"/>
      <c r="ZT1259"/>
      <c r="ZU1259"/>
      <c r="ZV1259"/>
      <c r="ZW1259"/>
      <c r="ZX1259"/>
      <c r="ZY1259"/>
      <c r="ZZ1259"/>
      <c r="AAA1259"/>
      <c r="AAB1259"/>
      <c r="AAC1259"/>
      <c r="AAD1259"/>
      <c r="AAE1259"/>
      <c r="AAF1259"/>
      <c r="AAG1259"/>
      <c r="AAH1259"/>
      <c r="AAI1259"/>
      <c r="AAJ1259"/>
      <c r="AAK1259"/>
      <c r="AAL1259"/>
      <c r="AAM1259"/>
      <c r="AAN1259"/>
      <c r="AAO1259"/>
      <c r="AAP1259"/>
      <c r="AAQ1259"/>
      <c r="AAR1259"/>
      <c r="AAS1259"/>
      <c r="AAT1259"/>
      <c r="AAU1259"/>
      <c r="AAV1259"/>
      <c r="AAW1259"/>
      <c r="AAX1259"/>
      <c r="AAY1259"/>
      <c r="AAZ1259"/>
      <c r="ABA1259"/>
      <c r="ABB1259"/>
      <c r="ABC1259"/>
      <c r="ABD1259"/>
      <c r="ABE1259"/>
      <c r="ABF1259"/>
      <c r="ABG1259"/>
      <c r="ABH1259"/>
      <c r="ABI1259"/>
      <c r="ABJ1259"/>
      <c r="ABK1259"/>
      <c r="ABL1259"/>
      <c r="ABM1259"/>
      <c r="ABN1259"/>
      <c r="ABO1259"/>
      <c r="ABP1259"/>
      <c r="ABQ1259"/>
      <c r="ABR1259"/>
      <c r="ABS1259"/>
      <c r="ABT1259"/>
      <c r="ABU1259"/>
      <c r="ABV1259"/>
      <c r="ABW1259"/>
      <c r="ABX1259"/>
      <c r="ABY1259"/>
      <c r="ABZ1259"/>
      <c r="ACA1259"/>
      <c r="ACB1259"/>
      <c r="ACC1259"/>
      <c r="ACD1259"/>
      <c r="ACE1259"/>
      <c r="ACF1259"/>
      <c r="ACG1259"/>
      <c r="ACH1259"/>
      <c r="ACI1259"/>
      <c r="ACJ1259"/>
      <c r="ACK1259"/>
      <c r="ACL1259"/>
      <c r="ACM1259"/>
      <c r="ACN1259"/>
      <c r="ACO1259"/>
      <c r="ACP1259"/>
      <c r="ACQ1259"/>
      <c r="ACR1259"/>
      <c r="ACS1259"/>
      <c r="ACT1259"/>
      <c r="ACU1259"/>
      <c r="ACV1259"/>
      <c r="ACW1259"/>
      <c r="ACX1259"/>
      <c r="ACY1259"/>
      <c r="ACZ1259"/>
      <c r="ADA1259"/>
      <c r="ADB1259"/>
      <c r="ADC1259"/>
      <c r="ADD1259"/>
      <c r="ADE1259"/>
      <c r="ADF1259"/>
      <c r="ADG1259"/>
      <c r="ADH1259"/>
      <c r="ADI1259"/>
      <c r="ADJ1259"/>
      <c r="ADK1259"/>
      <c r="ADL1259"/>
      <c r="ADM1259"/>
      <c r="ADN1259"/>
      <c r="ADO1259"/>
      <c r="ADP1259"/>
      <c r="ADQ1259"/>
      <c r="ADR1259"/>
      <c r="ADS1259"/>
      <c r="ADT1259"/>
      <c r="ADU1259"/>
      <c r="ADV1259"/>
      <c r="ADW1259"/>
      <c r="ADX1259"/>
      <c r="ADY1259"/>
      <c r="ADZ1259"/>
      <c r="AEA1259"/>
      <c r="AEB1259"/>
      <c r="AEC1259"/>
      <c r="AED1259"/>
      <c r="AEE1259"/>
      <c r="AEF1259"/>
      <c r="AEG1259"/>
      <c r="AEH1259"/>
      <c r="AEI1259"/>
      <c r="AEJ1259"/>
      <c r="AEK1259"/>
      <c r="AEL1259"/>
      <c r="AEM1259"/>
      <c r="AEN1259"/>
      <c r="AEO1259"/>
      <c r="AEP1259"/>
      <c r="AEQ1259"/>
      <c r="AER1259"/>
      <c r="AES1259"/>
      <c r="AET1259"/>
      <c r="AEU1259"/>
      <c r="AEV1259"/>
      <c r="AEW1259"/>
      <c r="AEX1259"/>
      <c r="AEY1259"/>
      <c r="AEZ1259"/>
      <c r="AFA1259"/>
      <c r="AFB1259"/>
      <c r="AFC1259"/>
      <c r="AFD1259"/>
      <c r="AFE1259"/>
      <c r="AFF1259"/>
      <c r="AFG1259"/>
      <c r="AFH1259"/>
      <c r="AFI1259"/>
      <c r="AFJ1259"/>
      <c r="AFK1259"/>
      <c r="AFL1259"/>
      <c r="AFM1259"/>
      <c r="AFN1259"/>
      <c r="AFO1259"/>
      <c r="AFP1259"/>
      <c r="AFQ1259"/>
      <c r="AFR1259"/>
      <c r="AFS1259"/>
      <c r="AFT1259"/>
      <c r="AFU1259"/>
      <c r="AFV1259"/>
      <c r="AFW1259"/>
      <c r="AFX1259"/>
      <c r="AFY1259"/>
      <c r="AFZ1259"/>
      <c r="AGA1259"/>
      <c r="AGB1259"/>
      <c r="AGC1259"/>
      <c r="AGD1259"/>
      <c r="AGE1259"/>
      <c r="AGF1259"/>
      <c r="AGG1259"/>
      <c r="AGH1259"/>
      <c r="AGI1259"/>
      <c r="AGJ1259"/>
      <c r="AGK1259"/>
      <c r="AGL1259"/>
      <c r="AGM1259"/>
      <c r="AGN1259"/>
      <c r="AGO1259"/>
      <c r="AGP1259"/>
      <c r="AGQ1259"/>
      <c r="AGR1259"/>
      <c r="AGS1259"/>
      <c r="AGT1259"/>
      <c r="AGU1259"/>
      <c r="AGV1259"/>
      <c r="AGW1259"/>
      <c r="AGX1259"/>
      <c r="AGY1259"/>
      <c r="AGZ1259"/>
      <c r="AHA1259"/>
      <c r="AHB1259"/>
      <c r="AHC1259"/>
      <c r="AHD1259"/>
      <c r="AHE1259"/>
      <c r="AHF1259"/>
      <c r="AHG1259"/>
      <c r="AHH1259"/>
      <c r="AHI1259"/>
      <c r="AHJ1259"/>
      <c r="AHK1259"/>
      <c r="AHL1259"/>
      <c r="AHM1259"/>
      <c r="AHN1259"/>
      <c r="AHO1259"/>
      <c r="AHP1259"/>
      <c r="AHQ1259"/>
      <c r="AHR1259"/>
      <c r="AHS1259"/>
      <c r="AHT1259"/>
      <c r="AHU1259"/>
      <c r="AHV1259"/>
      <c r="AHW1259"/>
      <c r="AHX1259"/>
      <c r="AHY1259"/>
      <c r="AHZ1259"/>
      <c r="AIA1259"/>
      <c r="AIB1259"/>
      <c r="AIC1259"/>
      <c r="AID1259"/>
      <c r="AIE1259"/>
      <c r="AIF1259"/>
      <c r="AIG1259"/>
      <c r="AIH1259"/>
      <c r="AII1259"/>
      <c r="AIJ1259"/>
      <c r="AIK1259"/>
      <c r="AIL1259"/>
      <c r="AIM1259"/>
      <c r="AIN1259"/>
      <c r="AIO1259"/>
      <c r="AIP1259"/>
      <c r="AIQ1259"/>
      <c r="AIR1259"/>
      <c r="AIS1259"/>
      <c r="AIT1259"/>
      <c r="AIU1259"/>
      <c r="AIV1259"/>
      <c r="AIW1259"/>
      <c r="AIX1259"/>
      <c r="AIY1259"/>
      <c r="AIZ1259"/>
      <c r="AJA1259"/>
      <c r="AJB1259"/>
      <c r="AJC1259"/>
      <c r="AJD1259"/>
      <c r="AJE1259"/>
      <c r="AJF1259"/>
      <c r="AJG1259"/>
      <c r="AJH1259"/>
      <c r="AJI1259"/>
      <c r="AJJ1259"/>
      <c r="AJK1259"/>
      <c r="AJL1259"/>
      <c r="AJM1259"/>
      <c r="AJN1259"/>
      <c r="AJO1259"/>
      <c r="AJP1259"/>
      <c r="AJQ1259"/>
      <c r="AJR1259"/>
      <c r="AJS1259"/>
      <c r="AJT1259"/>
      <c r="AJU1259"/>
      <c r="AJV1259"/>
      <c r="AJW1259"/>
      <c r="AJX1259"/>
      <c r="AJY1259"/>
      <c r="AJZ1259"/>
      <c r="AKA1259"/>
      <c r="AKB1259"/>
      <c r="AKC1259"/>
      <c r="AKD1259"/>
      <c r="AKE1259"/>
      <c r="AKF1259"/>
      <c r="AKG1259"/>
      <c r="AKH1259"/>
      <c r="AKI1259"/>
      <c r="AKJ1259"/>
      <c r="AKK1259"/>
      <c r="AKL1259"/>
      <c r="AKM1259"/>
      <c r="AKN1259"/>
      <c r="AKO1259"/>
      <c r="AKP1259"/>
      <c r="AKQ1259"/>
      <c r="AKR1259"/>
      <c r="AKS1259"/>
      <c r="AKT1259"/>
      <c r="AKU1259"/>
      <c r="AKV1259"/>
      <c r="AKW1259"/>
      <c r="AKX1259"/>
      <c r="AKY1259"/>
      <c r="AKZ1259"/>
      <c r="ALA1259"/>
      <c r="ALB1259"/>
      <c r="ALC1259"/>
      <c r="ALD1259"/>
      <c r="ALE1259"/>
      <c r="ALF1259"/>
      <c r="ALG1259"/>
      <c r="ALH1259"/>
      <c r="ALI1259"/>
      <c r="ALJ1259"/>
      <c r="ALK1259"/>
      <c r="ALL1259"/>
      <c r="ALM1259"/>
      <c r="ALN1259"/>
      <c r="ALO1259"/>
      <c r="ALP1259"/>
      <c r="ALQ1259"/>
      <c r="ALR1259"/>
      <c r="ALS1259"/>
      <c r="ALT1259"/>
    </row>
    <row r="1260" spans="1:1008" ht="14">
      <c r="A1260" s="28" t="s">
        <v>4033</v>
      </c>
      <c r="B1260" s="26" t="s">
        <v>3897</v>
      </c>
      <c r="C1260" s="28" t="s">
        <v>3945</v>
      </c>
      <c r="D1260" s="25" t="s">
        <v>13</v>
      </c>
      <c r="E1260" s="28" t="s">
        <v>3945</v>
      </c>
      <c r="F1260" s="28" t="s">
        <v>3946</v>
      </c>
      <c r="G1260" s="28">
        <v>700</v>
      </c>
      <c r="H1260" s="28"/>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c r="AT1260"/>
      <c r="AU1260"/>
      <c r="AV1260"/>
      <c r="AW1260"/>
      <c r="AX1260"/>
      <c r="AY1260"/>
      <c r="AZ1260"/>
      <c r="BA1260"/>
      <c r="BB1260"/>
      <c r="BC1260"/>
      <c r="BD1260"/>
      <c r="BE1260"/>
      <c r="BF1260"/>
      <c r="BG1260"/>
      <c r="BH1260"/>
      <c r="BI1260"/>
      <c r="BJ1260"/>
      <c r="BK1260"/>
      <c r="BL1260"/>
      <c r="BM1260"/>
      <c r="BN1260"/>
      <c r="BO1260"/>
      <c r="BP1260"/>
      <c r="BQ1260"/>
      <c r="BR1260"/>
      <c r="BS1260"/>
      <c r="BT1260"/>
      <c r="BU1260"/>
      <c r="BV1260"/>
      <c r="BW1260"/>
      <c r="BX1260"/>
      <c r="BY1260"/>
      <c r="BZ1260"/>
      <c r="CA1260"/>
      <c r="CB1260"/>
      <c r="CC1260"/>
      <c r="CD1260"/>
      <c r="CE1260"/>
      <c r="CF1260"/>
      <c r="CG1260"/>
      <c r="CH1260"/>
      <c r="CI1260"/>
      <c r="CJ1260"/>
      <c r="CK1260"/>
      <c r="CL1260"/>
      <c r="CM1260"/>
      <c r="CN1260"/>
      <c r="CO1260"/>
      <c r="CP1260"/>
      <c r="CQ1260"/>
      <c r="CR1260"/>
      <c r="CS1260"/>
      <c r="CT1260"/>
      <c r="CU1260"/>
      <c r="CV1260"/>
      <c r="CW1260"/>
      <c r="CX1260"/>
      <c r="CY1260"/>
      <c r="CZ1260"/>
      <c r="DA1260"/>
      <c r="DB1260"/>
      <c r="DC1260"/>
      <c r="DD1260"/>
      <c r="DE1260"/>
      <c r="DF1260"/>
      <c r="DG1260"/>
      <c r="DH1260"/>
      <c r="DI1260"/>
      <c r="DJ1260"/>
      <c r="DK1260"/>
      <c r="DL1260"/>
      <c r="DM1260"/>
      <c r="DN1260"/>
      <c r="DO1260"/>
      <c r="DP1260"/>
      <c r="DQ1260"/>
      <c r="DR1260"/>
      <c r="DS1260"/>
      <c r="DT1260"/>
      <c r="DU1260"/>
      <c r="DV1260"/>
      <c r="DW1260"/>
      <c r="DX1260"/>
      <c r="DY1260"/>
      <c r="DZ1260"/>
      <c r="EA1260"/>
      <c r="EB1260"/>
      <c r="EC1260"/>
      <c r="ED1260"/>
      <c r="EE1260"/>
      <c r="EF1260"/>
      <c r="EG1260"/>
      <c r="EH1260"/>
      <c r="EI1260"/>
      <c r="EJ1260"/>
      <c r="EK1260"/>
      <c r="EL1260"/>
      <c r="EM1260"/>
      <c r="EN1260"/>
      <c r="EO1260"/>
      <c r="EP1260"/>
      <c r="EQ1260"/>
      <c r="ER1260"/>
      <c r="ES1260"/>
      <c r="ET1260"/>
      <c r="EU1260"/>
      <c r="EV1260"/>
      <c r="EW1260"/>
      <c r="EX1260"/>
      <c r="EY1260"/>
      <c r="EZ1260"/>
      <c r="FA1260"/>
      <c r="FB1260"/>
      <c r="FC1260"/>
      <c r="FD1260"/>
      <c r="FE1260"/>
      <c r="FF1260"/>
      <c r="FG1260"/>
      <c r="FH1260"/>
      <c r="FI1260"/>
      <c r="FJ1260"/>
      <c r="FK1260"/>
      <c r="FL1260"/>
      <c r="FM1260"/>
      <c r="FN1260"/>
      <c r="FO1260"/>
      <c r="FP1260"/>
      <c r="FQ1260"/>
      <c r="FR1260"/>
      <c r="FS1260"/>
      <c r="FT1260"/>
      <c r="FU1260"/>
      <c r="FV1260"/>
      <c r="FW1260"/>
      <c r="FX1260"/>
      <c r="FY1260"/>
      <c r="FZ1260"/>
      <c r="GA1260"/>
      <c r="GB1260"/>
      <c r="GC1260"/>
      <c r="GD1260"/>
      <c r="GE1260"/>
      <c r="GF1260"/>
      <c r="GG1260"/>
      <c r="GH1260"/>
      <c r="GI1260"/>
      <c r="GJ1260"/>
      <c r="GK1260"/>
      <c r="GL1260"/>
      <c r="GM1260"/>
      <c r="GN1260"/>
      <c r="GO1260"/>
      <c r="GP1260"/>
      <c r="GQ1260"/>
      <c r="GR1260"/>
      <c r="GS1260"/>
      <c r="GT1260"/>
      <c r="GU1260"/>
      <c r="GV1260"/>
      <c r="GW1260"/>
      <c r="GX1260"/>
      <c r="GY1260"/>
      <c r="GZ1260"/>
      <c r="HA1260"/>
      <c r="HB1260"/>
      <c r="HC1260"/>
      <c r="HD1260"/>
      <c r="HE1260"/>
      <c r="HF1260"/>
      <c r="HG1260"/>
      <c r="HH1260"/>
      <c r="HI1260"/>
      <c r="HJ1260"/>
      <c r="HK1260"/>
      <c r="HL1260"/>
      <c r="HM1260"/>
      <c r="HN1260"/>
      <c r="HO1260"/>
      <c r="HP1260"/>
      <c r="HQ1260"/>
      <c r="HR1260"/>
      <c r="HS1260"/>
      <c r="HT1260"/>
      <c r="HU1260"/>
      <c r="HV1260"/>
      <c r="HW1260"/>
      <c r="HX1260"/>
      <c r="HY1260"/>
      <c r="HZ1260"/>
      <c r="IA1260"/>
      <c r="IB1260"/>
      <c r="IC1260"/>
      <c r="ID1260"/>
      <c r="IE1260"/>
      <c r="IF1260"/>
      <c r="IG1260"/>
      <c r="IH1260"/>
      <c r="II1260"/>
      <c r="IJ1260"/>
      <c r="IK1260"/>
      <c r="IL1260"/>
      <c r="IM1260"/>
      <c r="IN1260"/>
      <c r="IO1260"/>
      <c r="IP1260"/>
      <c r="IQ1260"/>
      <c r="IR1260"/>
      <c r="IS1260"/>
      <c r="IT1260"/>
      <c r="IU1260"/>
      <c r="IV1260"/>
      <c r="IW1260"/>
      <c r="IX1260"/>
      <c r="IY1260"/>
      <c r="IZ1260"/>
      <c r="JA1260"/>
      <c r="JB1260"/>
      <c r="JC1260"/>
      <c r="JD1260"/>
      <c r="JE1260"/>
      <c r="JF1260"/>
      <c r="JG1260"/>
      <c r="JH1260"/>
      <c r="JI1260"/>
      <c r="JJ1260"/>
      <c r="JK1260"/>
      <c r="JL1260"/>
      <c r="JM1260"/>
      <c r="JN1260"/>
      <c r="JO1260"/>
      <c r="JP1260"/>
      <c r="JQ1260"/>
      <c r="JR1260"/>
      <c r="JS1260"/>
      <c r="JT1260"/>
      <c r="JU1260"/>
      <c r="JV1260"/>
      <c r="JW1260"/>
      <c r="JX1260"/>
      <c r="JY1260"/>
      <c r="JZ1260"/>
      <c r="KA1260"/>
      <c r="KB1260"/>
      <c r="KC1260"/>
      <c r="KD1260"/>
      <c r="KE1260"/>
      <c r="KF1260"/>
      <c r="KG1260"/>
      <c r="KH1260"/>
      <c r="KI1260"/>
      <c r="KJ1260"/>
      <c r="KK1260"/>
      <c r="KL1260"/>
      <c r="KM1260"/>
      <c r="KN1260"/>
      <c r="KO1260"/>
      <c r="KP1260"/>
      <c r="KQ1260"/>
      <c r="KR1260"/>
      <c r="KS1260"/>
      <c r="KT1260"/>
      <c r="KU1260"/>
      <c r="KV1260"/>
      <c r="KW1260"/>
      <c r="KX1260"/>
      <c r="KY1260"/>
      <c r="KZ1260"/>
      <c r="LA1260"/>
      <c r="LB1260"/>
      <c r="LC1260"/>
      <c r="LD1260"/>
      <c r="LE1260"/>
      <c r="LF1260"/>
      <c r="LG1260"/>
      <c r="LH1260"/>
      <c r="LI1260"/>
      <c r="LJ1260"/>
      <c r="LK1260"/>
      <c r="LL1260"/>
      <c r="LM1260"/>
      <c r="LN1260"/>
      <c r="LO1260"/>
      <c r="LP1260"/>
      <c r="LQ1260"/>
      <c r="LR1260"/>
      <c r="LS1260"/>
      <c r="LT1260"/>
      <c r="LU1260"/>
      <c r="LV1260"/>
      <c r="LW1260"/>
      <c r="LX1260"/>
      <c r="LY1260"/>
      <c r="LZ1260"/>
      <c r="MA1260"/>
      <c r="MB1260"/>
      <c r="MC1260"/>
      <c r="MD1260"/>
      <c r="ME1260"/>
      <c r="MF1260"/>
      <c r="MG1260"/>
      <c r="MH1260"/>
      <c r="MI1260"/>
      <c r="MJ1260"/>
      <c r="MK1260"/>
      <c r="ML1260"/>
      <c r="MM1260"/>
      <c r="MN1260"/>
      <c r="MO1260"/>
      <c r="MP1260"/>
      <c r="MQ1260"/>
      <c r="MR1260"/>
      <c r="MS1260"/>
      <c r="MT1260"/>
      <c r="MU1260"/>
      <c r="MV1260"/>
      <c r="MW1260"/>
      <c r="MX1260"/>
      <c r="MY1260"/>
      <c r="MZ1260"/>
      <c r="NA1260"/>
      <c r="NB1260"/>
      <c r="NC1260"/>
      <c r="ND1260"/>
      <c r="NE1260"/>
      <c r="NF1260"/>
      <c r="NG1260"/>
      <c r="NH1260"/>
      <c r="NI1260"/>
      <c r="NJ1260"/>
      <c r="NK1260"/>
      <c r="NL1260"/>
      <c r="NM1260"/>
      <c r="NN1260"/>
      <c r="NO1260"/>
      <c r="NP1260"/>
      <c r="NQ1260"/>
      <c r="NR1260"/>
      <c r="NS1260"/>
      <c r="NT1260"/>
      <c r="NU1260"/>
      <c r="NV1260"/>
      <c r="NW1260"/>
      <c r="NX1260"/>
      <c r="NY1260"/>
      <c r="NZ1260"/>
      <c r="OA1260"/>
      <c r="OB1260"/>
      <c r="OC1260"/>
      <c r="OD1260"/>
      <c r="OE1260"/>
      <c r="OF1260"/>
      <c r="OG1260"/>
      <c r="OH1260"/>
      <c r="OI1260"/>
      <c r="OJ1260"/>
      <c r="OK1260"/>
      <c r="OL1260"/>
      <c r="OM1260"/>
      <c r="ON1260"/>
      <c r="OO1260"/>
      <c r="OP1260"/>
      <c r="OQ1260"/>
      <c r="OR1260"/>
      <c r="OS1260"/>
      <c r="OT1260"/>
      <c r="OU1260"/>
      <c r="OV1260"/>
      <c r="OW1260"/>
      <c r="OX1260"/>
      <c r="OY1260"/>
      <c r="OZ1260"/>
      <c r="PA1260"/>
      <c r="PB1260"/>
      <c r="PC1260"/>
      <c r="PD1260"/>
      <c r="PE1260"/>
      <c r="PF1260"/>
      <c r="PG1260"/>
      <c r="PH1260"/>
      <c r="PI1260"/>
      <c r="PJ1260"/>
      <c r="PK1260"/>
      <c r="PL1260"/>
      <c r="PM1260"/>
      <c r="PN1260"/>
      <c r="PO1260"/>
      <c r="PP1260"/>
      <c r="PQ1260"/>
      <c r="PR1260"/>
      <c r="PS1260"/>
      <c r="PT1260"/>
      <c r="PU1260"/>
      <c r="PV1260"/>
      <c r="PW1260"/>
      <c r="PX1260"/>
      <c r="PY1260"/>
      <c r="PZ1260"/>
      <c r="QA1260"/>
      <c r="QB1260"/>
      <c r="QC1260"/>
      <c r="QD1260"/>
      <c r="QE1260"/>
      <c r="QF1260"/>
      <c r="QG1260"/>
      <c r="QH1260"/>
      <c r="QI1260"/>
      <c r="QJ1260"/>
      <c r="QK1260"/>
      <c r="QL1260"/>
      <c r="QM1260"/>
      <c r="QN1260"/>
      <c r="QO1260"/>
      <c r="QP1260"/>
      <c r="QQ1260"/>
      <c r="QR1260"/>
      <c r="QS1260"/>
      <c r="QT1260"/>
      <c r="QU1260"/>
      <c r="QV1260"/>
      <c r="QW1260"/>
      <c r="QX1260"/>
      <c r="QY1260"/>
      <c r="QZ1260"/>
      <c r="RA1260"/>
      <c r="RB1260"/>
      <c r="RC1260"/>
      <c r="RD1260"/>
      <c r="RE1260"/>
      <c r="RF1260"/>
      <c r="RG1260"/>
      <c r="RH1260"/>
      <c r="RI1260"/>
      <c r="RJ1260"/>
      <c r="RK1260"/>
      <c r="RL1260"/>
      <c r="RM1260"/>
      <c r="RN1260"/>
      <c r="RO1260"/>
      <c r="RP1260"/>
      <c r="RQ1260"/>
      <c r="RR1260"/>
      <c r="RS1260"/>
      <c r="RT1260"/>
      <c r="RU1260"/>
      <c r="RV1260"/>
      <c r="RW1260"/>
      <c r="RX1260"/>
      <c r="RY1260"/>
      <c r="RZ1260"/>
      <c r="SA1260"/>
      <c r="SB1260"/>
      <c r="SC1260"/>
      <c r="SD1260"/>
      <c r="SE1260"/>
      <c r="SF1260"/>
      <c r="SG1260"/>
      <c r="SH1260"/>
      <c r="SI1260"/>
      <c r="SJ1260"/>
      <c r="SK1260"/>
      <c r="SL1260"/>
      <c r="SM1260"/>
      <c r="SN1260"/>
      <c r="SO1260"/>
      <c r="SP1260"/>
      <c r="SQ1260"/>
      <c r="SR1260"/>
      <c r="SS1260"/>
      <c r="ST1260"/>
      <c r="SU1260"/>
      <c r="SV1260"/>
      <c r="SW1260"/>
      <c r="SX1260"/>
      <c r="SY1260"/>
      <c r="SZ1260"/>
      <c r="TA1260"/>
      <c r="TB1260"/>
      <c r="TC1260"/>
      <c r="TD1260"/>
      <c r="TE1260"/>
      <c r="TF1260"/>
      <c r="TG1260"/>
      <c r="TH1260"/>
      <c r="TI1260"/>
      <c r="TJ1260"/>
      <c r="TK1260"/>
      <c r="TL1260"/>
      <c r="TM1260"/>
      <c r="TN1260"/>
      <c r="TO1260"/>
      <c r="TP1260"/>
      <c r="TQ1260"/>
      <c r="TR1260"/>
      <c r="TS1260"/>
      <c r="TT1260"/>
      <c r="TU1260"/>
      <c r="TV1260"/>
      <c r="TW1260"/>
      <c r="TX1260"/>
      <c r="TY1260"/>
      <c r="TZ1260"/>
      <c r="UA1260"/>
      <c r="UB1260"/>
      <c r="UC1260"/>
      <c r="UD1260"/>
      <c r="UE1260"/>
      <c r="UF1260"/>
      <c r="UG1260"/>
      <c r="UH1260"/>
      <c r="UI1260"/>
      <c r="UJ1260"/>
      <c r="UK1260"/>
      <c r="UL1260"/>
      <c r="UM1260"/>
      <c r="UN1260"/>
      <c r="UO1260"/>
      <c r="UP1260"/>
      <c r="UQ1260"/>
      <c r="UR1260"/>
      <c r="US1260"/>
      <c r="UT1260"/>
      <c r="UU1260"/>
      <c r="UV1260"/>
      <c r="UW1260"/>
      <c r="UX1260"/>
      <c r="UY1260"/>
      <c r="UZ1260"/>
      <c r="VA1260"/>
      <c r="VB1260"/>
      <c r="VC1260"/>
      <c r="VD1260"/>
      <c r="VE1260"/>
      <c r="VF1260"/>
      <c r="VG1260"/>
      <c r="VH1260"/>
      <c r="VI1260"/>
      <c r="VJ1260"/>
      <c r="VK1260"/>
      <c r="VL1260"/>
      <c r="VM1260"/>
      <c r="VN1260"/>
      <c r="VO1260"/>
      <c r="VP1260"/>
      <c r="VQ1260"/>
      <c r="VR1260"/>
      <c r="VS1260"/>
      <c r="VT1260"/>
      <c r="VU1260"/>
      <c r="VV1260"/>
      <c r="VW1260"/>
      <c r="VX1260"/>
      <c r="VY1260"/>
      <c r="VZ1260"/>
      <c r="WA1260"/>
      <c r="WB1260"/>
      <c r="WC1260"/>
      <c r="WD1260"/>
      <c r="WE1260"/>
      <c r="WF1260"/>
      <c r="WG1260"/>
      <c r="WH1260"/>
      <c r="WI1260"/>
      <c r="WJ1260"/>
      <c r="WK1260"/>
      <c r="WL1260"/>
      <c r="WM1260"/>
      <c r="WN1260"/>
      <c r="WO1260"/>
      <c r="WP1260"/>
      <c r="WQ1260"/>
      <c r="WR1260"/>
      <c r="WS1260"/>
      <c r="WT1260"/>
      <c r="WU1260"/>
      <c r="WV1260"/>
      <c r="WW1260"/>
      <c r="WX1260"/>
      <c r="WY1260"/>
      <c r="WZ1260"/>
      <c r="XA1260"/>
      <c r="XB1260"/>
      <c r="XC1260"/>
      <c r="XD1260"/>
      <c r="XE1260"/>
      <c r="XF1260"/>
      <c r="XG1260"/>
      <c r="XH1260"/>
      <c r="XI1260"/>
      <c r="XJ1260"/>
      <c r="XK1260"/>
      <c r="XL1260"/>
      <c r="XM1260"/>
      <c r="XN1260"/>
      <c r="XO1260"/>
      <c r="XP1260"/>
      <c r="XQ1260"/>
      <c r="XR1260"/>
      <c r="XS1260"/>
      <c r="XT1260"/>
      <c r="XU1260"/>
      <c r="XV1260"/>
      <c r="XW1260"/>
      <c r="XX1260"/>
      <c r="XY1260"/>
      <c r="XZ1260"/>
      <c r="YA1260"/>
      <c r="YB1260"/>
      <c r="YC1260"/>
      <c r="YD1260"/>
      <c r="YE1260"/>
      <c r="YF1260"/>
      <c r="YG1260"/>
      <c r="YH1260"/>
      <c r="YI1260"/>
      <c r="YJ1260"/>
      <c r="YK1260"/>
      <c r="YL1260"/>
      <c r="YM1260"/>
      <c r="YN1260"/>
      <c r="YO1260"/>
      <c r="YP1260"/>
      <c r="YQ1260"/>
      <c r="YR1260"/>
      <c r="YS1260"/>
      <c r="YT1260"/>
      <c r="YU1260"/>
      <c r="YV1260"/>
      <c r="YW1260"/>
      <c r="YX1260"/>
      <c r="YY1260"/>
      <c r="YZ1260"/>
      <c r="ZA1260"/>
      <c r="ZB1260"/>
      <c r="ZC1260"/>
      <c r="ZD1260"/>
      <c r="ZE1260"/>
      <c r="ZF1260"/>
      <c r="ZG1260"/>
      <c r="ZH1260"/>
      <c r="ZI1260"/>
      <c r="ZJ1260"/>
      <c r="ZK1260"/>
      <c r="ZL1260"/>
      <c r="ZM1260"/>
      <c r="ZN1260"/>
      <c r="ZO1260"/>
      <c r="ZP1260"/>
      <c r="ZQ1260"/>
      <c r="ZR1260"/>
      <c r="ZS1260"/>
      <c r="ZT1260"/>
      <c r="ZU1260"/>
      <c r="ZV1260"/>
      <c r="ZW1260"/>
      <c r="ZX1260"/>
      <c r="ZY1260"/>
      <c r="ZZ1260"/>
      <c r="AAA1260"/>
      <c r="AAB1260"/>
      <c r="AAC1260"/>
      <c r="AAD1260"/>
      <c r="AAE1260"/>
      <c r="AAF1260"/>
      <c r="AAG1260"/>
      <c r="AAH1260"/>
      <c r="AAI1260"/>
      <c r="AAJ1260"/>
      <c r="AAK1260"/>
      <c r="AAL1260"/>
      <c r="AAM1260"/>
      <c r="AAN1260"/>
      <c r="AAO1260"/>
      <c r="AAP1260"/>
      <c r="AAQ1260"/>
      <c r="AAR1260"/>
      <c r="AAS1260"/>
      <c r="AAT1260"/>
      <c r="AAU1260"/>
      <c r="AAV1260"/>
      <c r="AAW1260"/>
      <c r="AAX1260"/>
      <c r="AAY1260"/>
      <c r="AAZ1260"/>
      <c r="ABA1260"/>
      <c r="ABB1260"/>
      <c r="ABC1260"/>
      <c r="ABD1260"/>
      <c r="ABE1260"/>
      <c r="ABF1260"/>
      <c r="ABG1260"/>
      <c r="ABH1260"/>
      <c r="ABI1260"/>
      <c r="ABJ1260"/>
      <c r="ABK1260"/>
      <c r="ABL1260"/>
      <c r="ABM1260"/>
      <c r="ABN1260"/>
      <c r="ABO1260"/>
      <c r="ABP1260"/>
      <c r="ABQ1260"/>
      <c r="ABR1260"/>
      <c r="ABS1260"/>
      <c r="ABT1260"/>
      <c r="ABU1260"/>
      <c r="ABV1260"/>
      <c r="ABW1260"/>
      <c r="ABX1260"/>
      <c r="ABY1260"/>
      <c r="ABZ1260"/>
      <c r="ACA1260"/>
      <c r="ACB1260"/>
      <c r="ACC1260"/>
      <c r="ACD1260"/>
      <c r="ACE1260"/>
      <c r="ACF1260"/>
      <c r="ACG1260"/>
      <c r="ACH1260"/>
      <c r="ACI1260"/>
      <c r="ACJ1260"/>
      <c r="ACK1260"/>
      <c r="ACL1260"/>
      <c r="ACM1260"/>
      <c r="ACN1260"/>
      <c r="ACO1260"/>
      <c r="ACP1260"/>
      <c r="ACQ1260"/>
      <c r="ACR1260"/>
      <c r="ACS1260"/>
      <c r="ACT1260"/>
      <c r="ACU1260"/>
      <c r="ACV1260"/>
      <c r="ACW1260"/>
      <c r="ACX1260"/>
      <c r="ACY1260"/>
      <c r="ACZ1260"/>
      <c r="ADA1260"/>
      <c r="ADB1260"/>
      <c r="ADC1260"/>
      <c r="ADD1260"/>
      <c r="ADE1260"/>
      <c r="ADF1260"/>
      <c r="ADG1260"/>
      <c r="ADH1260"/>
      <c r="ADI1260"/>
      <c r="ADJ1260"/>
      <c r="ADK1260"/>
      <c r="ADL1260"/>
      <c r="ADM1260"/>
      <c r="ADN1260"/>
      <c r="ADO1260"/>
      <c r="ADP1260"/>
      <c r="ADQ1260"/>
      <c r="ADR1260"/>
      <c r="ADS1260"/>
      <c r="ADT1260"/>
      <c r="ADU1260"/>
      <c r="ADV1260"/>
      <c r="ADW1260"/>
      <c r="ADX1260"/>
      <c r="ADY1260"/>
      <c r="ADZ1260"/>
      <c r="AEA1260"/>
      <c r="AEB1260"/>
      <c r="AEC1260"/>
      <c r="AED1260"/>
      <c r="AEE1260"/>
      <c r="AEF1260"/>
      <c r="AEG1260"/>
      <c r="AEH1260"/>
      <c r="AEI1260"/>
      <c r="AEJ1260"/>
      <c r="AEK1260"/>
      <c r="AEL1260"/>
      <c r="AEM1260"/>
      <c r="AEN1260"/>
      <c r="AEO1260"/>
      <c r="AEP1260"/>
      <c r="AEQ1260"/>
      <c r="AER1260"/>
      <c r="AES1260"/>
      <c r="AET1260"/>
      <c r="AEU1260"/>
      <c r="AEV1260"/>
      <c r="AEW1260"/>
      <c r="AEX1260"/>
      <c r="AEY1260"/>
      <c r="AEZ1260"/>
      <c r="AFA1260"/>
      <c r="AFB1260"/>
      <c r="AFC1260"/>
      <c r="AFD1260"/>
      <c r="AFE1260"/>
      <c r="AFF1260"/>
      <c r="AFG1260"/>
      <c r="AFH1260"/>
      <c r="AFI1260"/>
      <c r="AFJ1260"/>
      <c r="AFK1260"/>
      <c r="AFL1260"/>
      <c r="AFM1260"/>
      <c r="AFN1260"/>
      <c r="AFO1260"/>
      <c r="AFP1260"/>
      <c r="AFQ1260"/>
      <c r="AFR1260"/>
      <c r="AFS1260"/>
      <c r="AFT1260"/>
      <c r="AFU1260"/>
      <c r="AFV1260"/>
      <c r="AFW1260"/>
      <c r="AFX1260"/>
      <c r="AFY1260"/>
      <c r="AFZ1260"/>
      <c r="AGA1260"/>
      <c r="AGB1260"/>
      <c r="AGC1260"/>
      <c r="AGD1260"/>
      <c r="AGE1260"/>
      <c r="AGF1260"/>
      <c r="AGG1260"/>
      <c r="AGH1260"/>
      <c r="AGI1260"/>
      <c r="AGJ1260"/>
      <c r="AGK1260"/>
      <c r="AGL1260"/>
      <c r="AGM1260"/>
      <c r="AGN1260"/>
      <c r="AGO1260"/>
      <c r="AGP1260"/>
      <c r="AGQ1260"/>
      <c r="AGR1260"/>
      <c r="AGS1260"/>
      <c r="AGT1260"/>
      <c r="AGU1260"/>
      <c r="AGV1260"/>
      <c r="AGW1260"/>
      <c r="AGX1260"/>
      <c r="AGY1260"/>
      <c r="AGZ1260"/>
      <c r="AHA1260"/>
      <c r="AHB1260"/>
      <c r="AHC1260"/>
      <c r="AHD1260"/>
      <c r="AHE1260"/>
      <c r="AHF1260"/>
      <c r="AHG1260"/>
      <c r="AHH1260"/>
      <c r="AHI1260"/>
      <c r="AHJ1260"/>
      <c r="AHK1260"/>
      <c r="AHL1260"/>
      <c r="AHM1260"/>
      <c r="AHN1260"/>
      <c r="AHO1260"/>
      <c r="AHP1260"/>
      <c r="AHQ1260"/>
      <c r="AHR1260"/>
      <c r="AHS1260"/>
      <c r="AHT1260"/>
      <c r="AHU1260"/>
      <c r="AHV1260"/>
      <c r="AHW1260"/>
      <c r="AHX1260"/>
      <c r="AHY1260"/>
      <c r="AHZ1260"/>
      <c r="AIA1260"/>
      <c r="AIB1260"/>
      <c r="AIC1260"/>
      <c r="AID1260"/>
      <c r="AIE1260"/>
      <c r="AIF1260"/>
      <c r="AIG1260"/>
      <c r="AIH1260"/>
      <c r="AII1260"/>
      <c r="AIJ1260"/>
      <c r="AIK1260"/>
      <c r="AIL1260"/>
      <c r="AIM1260"/>
      <c r="AIN1260"/>
      <c r="AIO1260"/>
      <c r="AIP1260"/>
      <c r="AIQ1260"/>
      <c r="AIR1260"/>
      <c r="AIS1260"/>
      <c r="AIT1260"/>
      <c r="AIU1260"/>
      <c r="AIV1260"/>
      <c r="AIW1260"/>
      <c r="AIX1260"/>
      <c r="AIY1260"/>
      <c r="AIZ1260"/>
      <c r="AJA1260"/>
      <c r="AJB1260"/>
      <c r="AJC1260"/>
      <c r="AJD1260"/>
      <c r="AJE1260"/>
      <c r="AJF1260"/>
      <c r="AJG1260"/>
      <c r="AJH1260"/>
      <c r="AJI1260"/>
      <c r="AJJ1260"/>
      <c r="AJK1260"/>
      <c r="AJL1260"/>
      <c r="AJM1260"/>
      <c r="AJN1260"/>
      <c r="AJO1260"/>
      <c r="AJP1260"/>
      <c r="AJQ1260"/>
      <c r="AJR1260"/>
      <c r="AJS1260"/>
      <c r="AJT1260"/>
      <c r="AJU1260"/>
      <c r="AJV1260"/>
      <c r="AJW1260"/>
      <c r="AJX1260"/>
      <c r="AJY1260"/>
      <c r="AJZ1260"/>
      <c r="AKA1260"/>
      <c r="AKB1260"/>
      <c r="AKC1260"/>
      <c r="AKD1260"/>
      <c r="AKE1260"/>
      <c r="AKF1260"/>
      <c r="AKG1260"/>
      <c r="AKH1260"/>
      <c r="AKI1260"/>
      <c r="AKJ1260"/>
      <c r="AKK1260"/>
      <c r="AKL1260"/>
      <c r="AKM1260"/>
      <c r="AKN1260"/>
      <c r="AKO1260"/>
      <c r="AKP1260"/>
      <c r="AKQ1260"/>
      <c r="AKR1260"/>
      <c r="AKS1260"/>
      <c r="AKT1260"/>
      <c r="AKU1260"/>
      <c r="AKV1260"/>
      <c r="AKW1260"/>
      <c r="AKX1260"/>
      <c r="AKY1260"/>
      <c r="AKZ1260"/>
      <c r="ALA1260"/>
      <c r="ALB1260"/>
      <c r="ALC1260"/>
      <c r="ALD1260"/>
      <c r="ALE1260"/>
      <c r="ALF1260"/>
      <c r="ALG1260"/>
      <c r="ALH1260"/>
      <c r="ALI1260"/>
      <c r="ALJ1260"/>
      <c r="ALK1260"/>
      <c r="ALL1260"/>
      <c r="ALM1260"/>
      <c r="ALN1260"/>
      <c r="ALO1260"/>
      <c r="ALP1260"/>
      <c r="ALQ1260"/>
      <c r="ALR1260"/>
      <c r="ALS1260"/>
      <c r="ALT1260"/>
    </row>
    <row r="1261" spans="1:1008" ht="14">
      <c r="A1261" s="28" t="s">
        <v>4420</v>
      </c>
      <c r="B1261" s="26" t="s">
        <v>3895</v>
      </c>
      <c r="C1261" s="28" t="s">
        <v>3948</v>
      </c>
      <c r="D1261" s="25" t="s">
        <v>13</v>
      </c>
      <c r="E1261" s="28" t="s">
        <v>3948</v>
      </c>
      <c r="F1261" s="28" t="s">
        <v>3949</v>
      </c>
      <c r="G1261" s="28">
        <v>500</v>
      </c>
      <c r="H1261" s="28"/>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c r="AT1261"/>
      <c r="AU1261"/>
      <c r="AV1261"/>
      <c r="AW1261"/>
      <c r="AX1261"/>
      <c r="AY1261"/>
      <c r="AZ1261"/>
      <c r="BA1261"/>
      <c r="BB1261"/>
      <c r="BC1261"/>
      <c r="BD1261"/>
      <c r="BE1261"/>
      <c r="BF1261"/>
      <c r="BG1261"/>
      <c r="BH1261"/>
      <c r="BI1261"/>
      <c r="BJ1261"/>
      <c r="BK1261"/>
      <c r="BL1261"/>
      <c r="BM1261"/>
      <c r="BN1261"/>
      <c r="BO1261"/>
      <c r="BP1261"/>
      <c r="BQ1261"/>
      <c r="BR1261"/>
      <c r="BS1261"/>
      <c r="BT1261"/>
      <c r="BU1261"/>
      <c r="BV1261"/>
      <c r="BW1261"/>
      <c r="BX1261"/>
      <c r="BY1261"/>
      <c r="BZ1261"/>
      <c r="CA1261"/>
      <c r="CB1261"/>
      <c r="CC1261"/>
      <c r="CD1261"/>
      <c r="CE1261"/>
      <c r="CF1261"/>
      <c r="CG1261"/>
      <c r="CH1261"/>
      <c r="CI1261"/>
      <c r="CJ1261"/>
      <c r="CK1261"/>
      <c r="CL1261"/>
      <c r="CM1261"/>
      <c r="CN1261"/>
      <c r="CO1261"/>
      <c r="CP1261"/>
      <c r="CQ1261"/>
      <c r="CR1261"/>
      <c r="CS1261"/>
      <c r="CT1261"/>
      <c r="CU1261"/>
      <c r="CV1261"/>
      <c r="CW1261"/>
      <c r="CX1261"/>
      <c r="CY1261"/>
      <c r="CZ1261"/>
      <c r="DA1261"/>
      <c r="DB1261"/>
      <c r="DC1261"/>
      <c r="DD1261"/>
      <c r="DE1261"/>
      <c r="DF1261"/>
      <c r="DG1261"/>
      <c r="DH1261"/>
      <c r="DI1261"/>
      <c r="DJ1261"/>
      <c r="DK1261"/>
      <c r="DL1261"/>
      <c r="DM1261"/>
      <c r="DN1261"/>
      <c r="DO1261"/>
      <c r="DP1261"/>
      <c r="DQ1261"/>
      <c r="DR1261"/>
      <c r="DS1261"/>
      <c r="DT1261"/>
      <c r="DU1261"/>
      <c r="DV1261"/>
      <c r="DW1261"/>
      <c r="DX1261"/>
      <c r="DY1261"/>
      <c r="DZ1261"/>
      <c r="EA1261"/>
      <c r="EB1261"/>
      <c r="EC1261"/>
      <c r="ED1261"/>
      <c r="EE1261"/>
      <c r="EF1261"/>
      <c r="EG1261"/>
      <c r="EH1261"/>
      <c r="EI1261"/>
      <c r="EJ1261"/>
      <c r="EK1261"/>
      <c r="EL1261"/>
      <c r="EM1261"/>
      <c r="EN1261"/>
      <c r="EO1261"/>
      <c r="EP1261"/>
      <c r="EQ1261"/>
      <c r="ER1261"/>
      <c r="ES1261"/>
      <c r="ET1261"/>
      <c r="EU1261"/>
      <c r="EV1261"/>
      <c r="EW1261"/>
      <c r="EX1261"/>
      <c r="EY1261"/>
      <c r="EZ1261"/>
      <c r="FA1261"/>
      <c r="FB1261"/>
      <c r="FC1261"/>
      <c r="FD1261"/>
      <c r="FE1261"/>
      <c r="FF1261"/>
      <c r="FG1261"/>
      <c r="FH1261"/>
      <c r="FI1261"/>
      <c r="FJ1261"/>
      <c r="FK1261"/>
      <c r="FL1261"/>
      <c r="FM1261"/>
      <c r="FN1261"/>
      <c r="FO1261"/>
      <c r="FP1261"/>
      <c r="FQ1261"/>
      <c r="FR1261"/>
      <c r="FS1261"/>
      <c r="FT1261"/>
      <c r="FU1261"/>
      <c r="FV1261"/>
      <c r="FW1261"/>
      <c r="FX1261"/>
      <c r="FY1261"/>
      <c r="FZ1261"/>
      <c r="GA1261"/>
      <c r="GB1261"/>
      <c r="GC1261"/>
      <c r="GD1261"/>
      <c r="GE1261"/>
      <c r="GF1261"/>
      <c r="GG1261"/>
      <c r="GH1261"/>
      <c r="GI1261"/>
      <c r="GJ1261"/>
      <c r="GK1261"/>
      <c r="GL1261"/>
      <c r="GM1261"/>
      <c r="GN1261"/>
      <c r="GO1261"/>
      <c r="GP1261"/>
      <c r="GQ1261"/>
      <c r="GR1261"/>
      <c r="GS1261"/>
      <c r="GT1261"/>
      <c r="GU1261"/>
      <c r="GV1261"/>
      <c r="GW1261"/>
      <c r="GX1261"/>
      <c r="GY1261"/>
      <c r="GZ1261"/>
      <c r="HA1261"/>
      <c r="HB1261"/>
      <c r="HC1261"/>
      <c r="HD1261"/>
      <c r="HE1261"/>
      <c r="HF1261"/>
      <c r="HG1261"/>
      <c r="HH1261"/>
      <c r="HI1261"/>
      <c r="HJ1261"/>
      <c r="HK1261"/>
      <c r="HL1261"/>
      <c r="HM1261"/>
      <c r="HN1261"/>
      <c r="HO1261"/>
      <c r="HP1261"/>
      <c r="HQ1261"/>
      <c r="HR1261"/>
      <c r="HS1261"/>
      <c r="HT1261"/>
      <c r="HU1261"/>
      <c r="HV1261"/>
      <c r="HW1261"/>
      <c r="HX1261"/>
      <c r="HY1261"/>
      <c r="HZ1261"/>
      <c r="IA1261"/>
      <c r="IB1261"/>
      <c r="IC1261"/>
      <c r="ID1261"/>
      <c r="IE1261"/>
      <c r="IF1261"/>
      <c r="IG1261"/>
      <c r="IH1261"/>
      <c r="II1261"/>
      <c r="IJ1261"/>
      <c r="IK1261"/>
      <c r="IL1261"/>
      <c r="IM1261"/>
      <c r="IN1261"/>
      <c r="IO1261"/>
      <c r="IP1261"/>
      <c r="IQ1261"/>
      <c r="IR1261"/>
      <c r="IS1261"/>
      <c r="IT1261"/>
      <c r="IU1261"/>
      <c r="IV1261"/>
      <c r="IW1261"/>
      <c r="IX1261"/>
      <c r="IY1261"/>
      <c r="IZ1261"/>
      <c r="JA1261"/>
      <c r="JB1261"/>
      <c r="JC1261"/>
      <c r="JD1261"/>
      <c r="JE1261"/>
      <c r="JF1261"/>
      <c r="JG1261"/>
      <c r="JH1261"/>
      <c r="JI1261"/>
      <c r="JJ1261"/>
      <c r="JK1261"/>
      <c r="JL1261"/>
      <c r="JM1261"/>
      <c r="JN1261"/>
      <c r="JO1261"/>
      <c r="JP1261"/>
      <c r="JQ1261"/>
      <c r="JR1261"/>
      <c r="JS1261"/>
      <c r="JT1261"/>
      <c r="JU1261"/>
      <c r="JV1261"/>
      <c r="JW1261"/>
      <c r="JX1261"/>
      <c r="JY1261"/>
      <c r="JZ1261"/>
      <c r="KA1261"/>
      <c r="KB1261"/>
      <c r="KC1261"/>
      <c r="KD1261"/>
      <c r="KE1261"/>
      <c r="KF1261"/>
      <c r="KG1261"/>
      <c r="KH1261"/>
      <c r="KI1261"/>
      <c r="KJ1261"/>
      <c r="KK1261"/>
      <c r="KL1261"/>
      <c r="KM1261"/>
      <c r="KN1261"/>
      <c r="KO1261"/>
      <c r="KP1261"/>
      <c r="KQ1261"/>
      <c r="KR1261"/>
      <c r="KS1261"/>
      <c r="KT1261"/>
      <c r="KU1261"/>
      <c r="KV1261"/>
      <c r="KW1261"/>
      <c r="KX1261"/>
      <c r="KY1261"/>
      <c r="KZ1261"/>
      <c r="LA1261"/>
      <c r="LB1261"/>
      <c r="LC1261"/>
      <c r="LD1261"/>
      <c r="LE1261"/>
      <c r="LF1261"/>
      <c r="LG1261"/>
      <c r="LH1261"/>
      <c r="LI1261"/>
      <c r="LJ1261"/>
      <c r="LK1261"/>
      <c r="LL1261"/>
      <c r="LM1261"/>
      <c r="LN1261"/>
      <c r="LO1261"/>
      <c r="LP1261"/>
      <c r="LQ1261"/>
      <c r="LR1261"/>
      <c r="LS1261"/>
      <c r="LT1261"/>
      <c r="LU1261"/>
      <c r="LV1261"/>
      <c r="LW1261"/>
      <c r="LX1261"/>
      <c r="LY1261"/>
      <c r="LZ1261"/>
      <c r="MA1261"/>
      <c r="MB1261"/>
      <c r="MC1261"/>
      <c r="MD1261"/>
      <c r="ME1261"/>
      <c r="MF1261"/>
      <c r="MG1261"/>
      <c r="MH1261"/>
      <c r="MI1261"/>
      <c r="MJ1261"/>
      <c r="MK1261"/>
      <c r="ML1261"/>
      <c r="MM1261"/>
      <c r="MN1261"/>
      <c r="MO1261"/>
      <c r="MP1261"/>
      <c r="MQ1261"/>
      <c r="MR1261"/>
      <c r="MS1261"/>
      <c r="MT1261"/>
      <c r="MU1261"/>
      <c r="MV1261"/>
      <c r="MW1261"/>
      <c r="MX1261"/>
      <c r="MY1261"/>
      <c r="MZ1261"/>
      <c r="NA1261"/>
      <c r="NB1261"/>
      <c r="NC1261"/>
      <c r="ND1261"/>
      <c r="NE1261"/>
      <c r="NF1261"/>
      <c r="NG1261"/>
      <c r="NH1261"/>
      <c r="NI1261"/>
      <c r="NJ1261"/>
      <c r="NK1261"/>
      <c r="NL1261"/>
      <c r="NM1261"/>
      <c r="NN1261"/>
      <c r="NO1261"/>
      <c r="NP1261"/>
      <c r="NQ1261"/>
      <c r="NR1261"/>
      <c r="NS1261"/>
      <c r="NT1261"/>
      <c r="NU1261"/>
      <c r="NV1261"/>
      <c r="NW1261"/>
      <c r="NX1261"/>
      <c r="NY1261"/>
      <c r="NZ1261"/>
      <c r="OA1261"/>
      <c r="OB1261"/>
      <c r="OC1261"/>
      <c r="OD1261"/>
      <c r="OE1261"/>
      <c r="OF1261"/>
      <c r="OG1261"/>
      <c r="OH1261"/>
      <c r="OI1261"/>
      <c r="OJ1261"/>
      <c r="OK1261"/>
      <c r="OL1261"/>
      <c r="OM1261"/>
      <c r="ON1261"/>
      <c r="OO1261"/>
      <c r="OP1261"/>
      <c r="OQ1261"/>
      <c r="OR1261"/>
      <c r="OS1261"/>
      <c r="OT1261"/>
      <c r="OU1261"/>
      <c r="OV1261"/>
      <c r="OW1261"/>
      <c r="OX1261"/>
      <c r="OY1261"/>
      <c r="OZ1261"/>
      <c r="PA1261"/>
      <c r="PB1261"/>
      <c r="PC1261"/>
      <c r="PD1261"/>
      <c r="PE1261"/>
      <c r="PF1261"/>
      <c r="PG1261"/>
      <c r="PH1261"/>
      <c r="PI1261"/>
      <c r="PJ1261"/>
      <c r="PK1261"/>
      <c r="PL1261"/>
      <c r="PM1261"/>
      <c r="PN1261"/>
      <c r="PO1261"/>
      <c r="PP1261"/>
      <c r="PQ1261"/>
      <c r="PR1261"/>
      <c r="PS1261"/>
      <c r="PT1261"/>
      <c r="PU1261"/>
      <c r="PV1261"/>
      <c r="PW1261"/>
      <c r="PX1261"/>
      <c r="PY1261"/>
      <c r="PZ1261"/>
      <c r="QA1261"/>
      <c r="QB1261"/>
      <c r="QC1261"/>
      <c r="QD1261"/>
      <c r="QE1261"/>
      <c r="QF1261"/>
      <c r="QG1261"/>
      <c r="QH1261"/>
      <c r="QI1261"/>
      <c r="QJ1261"/>
      <c r="QK1261"/>
      <c r="QL1261"/>
      <c r="QM1261"/>
      <c r="QN1261"/>
      <c r="QO1261"/>
      <c r="QP1261"/>
      <c r="QQ1261"/>
      <c r="QR1261"/>
      <c r="QS1261"/>
      <c r="QT1261"/>
      <c r="QU1261"/>
      <c r="QV1261"/>
      <c r="QW1261"/>
      <c r="QX1261"/>
      <c r="QY1261"/>
      <c r="QZ1261"/>
      <c r="RA1261"/>
      <c r="RB1261"/>
      <c r="RC1261"/>
      <c r="RD1261"/>
      <c r="RE1261"/>
      <c r="RF1261"/>
      <c r="RG1261"/>
      <c r="RH1261"/>
      <c r="RI1261"/>
      <c r="RJ1261"/>
      <c r="RK1261"/>
      <c r="RL1261"/>
      <c r="RM1261"/>
      <c r="RN1261"/>
      <c r="RO1261"/>
      <c r="RP1261"/>
      <c r="RQ1261"/>
      <c r="RR1261"/>
      <c r="RS1261"/>
      <c r="RT1261"/>
      <c r="RU1261"/>
      <c r="RV1261"/>
      <c r="RW1261"/>
      <c r="RX1261"/>
      <c r="RY1261"/>
      <c r="RZ1261"/>
      <c r="SA1261"/>
      <c r="SB1261"/>
      <c r="SC1261"/>
      <c r="SD1261"/>
      <c r="SE1261"/>
      <c r="SF1261"/>
      <c r="SG1261"/>
      <c r="SH1261"/>
      <c r="SI1261"/>
      <c r="SJ1261"/>
      <c r="SK1261"/>
      <c r="SL1261"/>
      <c r="SM1261"/>
      <c r="SN1261"/>
      <c r="SO1261"/>
      <c r="SP1261"/>
      <c r="SQ1261"/>
      <c r="SR1261"/>
      <c r="SS1261"/>
      <c r="ST1261"/>
      <c r="SU1261"/>
      <c r="SV1261"/>
      <c r="SW1261"/>
      <c r="SX1261"/>
      <c r="SY1261"/>
      <c r="SZ1261"/>
      <c r="TA1261"/>
      <c r="TB1261"/>
      <c r="TC1261"/>
      <c r="TD1261"/>
      <c r="TE1261"/>
      <c r="TF1261"/>
      <c r="TG1261"/>
      <c r="TH1261"/>
      <c r="TI1261"/>
      <c r="TJ1261"/>
      <c r="TK1261"/>
      <c r="TL1261"/>
      <c r="TM1261"/>
      <c r="TN1261"/>
      <c r="TO1261"/>
      <c r="TP1261"/>
      <c r="TQ1261"/>
      <c r="TR1261"/>
      <c r="TS1261"/>
      <c r="TT1261"/>
      <c r="TU1261"/>
      <c r="TV1261"/>
      <c r="TW1261"/>
      <c r="TX1261"/>
      <c r="TY1261"/>
      <c r="TZ1261"/>
      <c r="UA1261"/>
      <c r="UB1261"/>
      <c r="UC1261"/>
      <c r="UD1261"/>
      <c r="UE1261"/>
      <c r="UF1261"/>
      <c r="UG1261"/>
      <c r="UH1261"/>
      <c r="UI1261"/>
      <c r="UJ1261"/>
      <c r="UK1261"/>
      <c r="UL1261"/>
      <c r="UM1261"/>
      <c r="UN1261"/>
      <c r="UO1261"/>
      <c r="UP1261"/>
      <c r="UQ1261"/>
      <c r="UR1261"/>
      <c r="US1261"/>
      <c r="UT1261"/>
      <c r="UU1261"/>
      <c r="UV1261"/>
      <c r="UW1261"/>
      <c r="UX1261"/>
      <c r="UY1261"/>
      <c r="UZ1261"/>
      <c r="VA1261"/>
      <c r="VB1261"/>
      <c r="VC1261"/>
      <c r="VD1261"/>
      <c r="VE1261"/>
      <c r="VF1261"/>
      <c r="VG1261"/>
      <c r="VH1261"/>
      <c r="VI1261"/>
      <c r="VJ1261"/>
      <c r="VK1261"/>
      <c r="VL1261"/>
      <c r="VM1261"/>
      <c r="VN1261"/>
      <c r="VO1261"/>
      <c r="VP1261"/>
      <c r="VQ1261"/>
      <c r="VR1261"/>
      <c r="VS1261"/>
      <c r="VT1261"/>
      <c r="VU1261"/>
      <c r="VV1261"/>
      <c r="VW1261"/>
      <c r="VX1261"/>
      <c r="VY1261"/>
      <c r="VZ1261"/>
      <c r="WA1261"/>
      <c r="WB1261"/>
      <c r="WC1261"/>
      <c r="WD1261"/>
      <c r="WE1261"/>
      <c r="WF1261"/>
      <c r="WG1261"/>
      <c r="WH1261"/>
      <c r="WI1261"/>
      <c r="WJ1261"/>
      <c r="WK1261"/>
      <c r="WL1261"/>
      <c r="WM1261"/>
      <c r="WN1261"/>
      <c r="WO1261"/>
      <c r="WP1261"/>
      <c r="WQ1261"/>
      <c r="WR1261"/>
      <c r="WS1261"/>
      <c r="WT1261"/>
      <c r="WU1261"/>
      <c r="WV1261"/>
      <c r="WW1261"/>
      <c r="WX1261"/>
      <c r="WY1261"/>
      <c r="WZ1261"/>
      <c r="XA1261"/>
      <c r="XB1261"/>
      <c r="XC1261"/>
      <c r="XD1261"/>
      <c r="XE1261"/>
      <c r="XF1261"/>
      <c r="XG1261"/>
      <c r="XH1261"/>
      <c r="XI1261"/>
      <c r="XJ1261"/>
      <c r="XK1261"/>
      <c r="XL1261"/>
      <c r="XM1261"/>
      <c r="XN1261"/>
      <c r="XO1261"/>
      <c r="XP1261"/>
      <c r="XQ1261"/>
      <c r="XR1261"/>
      <c r="XS1261"/>
      <c r="XT1261"/>
      <c r="XU1261"/>
      <c r="XV1261"/>
      <c r="XW1261"/>
      <c r="XX1261"/>
      <c r="XY1261"/>
      <c r="XZ1261"/>
      <c r="YA1261"/>
      <c r="YB1261"/>
      <c r="YC1261"/>
      <c r="YD1261"/>
      <c r="YE1261"/>
      <c r="YF1261"/>
      <c r="YG1261"/>
      <c r="YH1261"/>
      <c r="YI1261"/>
      <c r="YJ1261"/>
      <c r="YK1261"/>
      <c r="YL1261"/>
      <c r="YM1261"/>
      <c r="YN1261"/>
      <c r="YO1261"/>
      <c r="YP1261"/>
      <c r="YQ1261"/>
      <c r="YR1261"/>
      <c r="YS1261"/>
      <c r="YT1261"/>
      <c r="YU1261"/>
      <c r="YV1261"/>
      <c r="YW1261"/>
      <c r="YX1261"/>
      <c r="YY1261"/>
      <c r="YZ1261"/>
      <c r="ZA1261"/>
      <c r="ZB1261"/>
      <c r="ZC1261"/>
      <c r="ZD1261"/>
      <c r="ZE1261"/>
      <c r="ZF1261"/>
      <c r="ZG1261"/>
      <c r="ZH1261"/>
      <c r="ZI1261"/>
      <c r="ZJ1261"/>
      <c r="ZK1261"/>
      <c r="ZL1261"/>
      <c r="ZM1261"/>
      <c r="ZN1261"/>
      <c r="ZO1261"/>
      <c r="ZP1261"/>
      <c r="ZQ1261"/>
      <c r="ZR1261"/>
      <c r="ZS1261"/>
      <c r="ZT1261"/>
      <c r="ZU1261"/>
      <c r="ZV1261"/>
      <c r="ZW1261"/>
      <c r="ZX1261"/>
      <c r="ZY1261"/>
      <c r="ZZ1261"/>
      <c r="AAA1261"/>
      <c r="AAB1261"/>
      <c r="AAC1261"/>
      <c r="AAD1261"/>
      <c r="AAE1261"/>
      <c r="AAF1261"/>
      <c r="AAG1261"/>
      <c r="AAH1261"/>
      <c r="AAI1261"/>
      <c r="AAJ1261"/>
      <c r="AAK1261"/>
      <c r="AAL1261"/>
      <c r="AAM1261"/>
      <c r="AAN1261"/>
      <c r="AAO1261"/>
      <c r="AAP1261"/>
      <c r="AAQ1261"/>
      <c r="AAR1261"/>
      <c r="AAS1261"/>
      <c r="AAT1261"/>
      <c r="AAU1261"/>
      <c r="AAV1261"/>
      <c r="AAW1261"/>
      <c r="AAX1261"/>
      <c r="AAY1261"/>
      <c r="AAZ1261"/>
      <c r="ABA1261"/>
      <c r="ABB1261"/>
      <c r="ABC1261"/>
      <c r="ABD1261"/>
      <c r="ABE1261"/>
      <c r="ABF1261"/>
      <c r="ABG1261"/>
      <c r="ABH1261"/>
      <c r="ABI1261"/>
      <c r="ABJ1261"/>
      <c r="ABK1261"/>
      <c r="ABL1261"/>
      <c r="ABM1261"/>
      <c r="ABN1261"/>
      <c r="ABO1261"/>
      <c r="ABP1261"/>
      <c r="ABQ1261"/>
      <c r="ABR1261"/>
      <c r="ABS1261"/>
      <c r="ABT1261"/>
      <c r="ABU1261"/>
      <c r="ABV1261"/>
      <c r="ABW1261"/>
      <c r="ABX1261"/>
      <c r="ABY1261"/>
      <c r="ABZ1261"/>
      <c r="ACA1261"/>
      <c r="ACB1261"/>
      <c r="ACC1261"/>
      <c r="ACD1261"/>
      <c r="ACE1261"/>
      <c r="ACF1261"/>
      <c r="ACG1261"/>
      <c r="ACH1261"/>
      <c r="ACI1261"/>
      <c r="ACJ1261"/>
      <c r="ACK1261"/>
      <c r="ACL1261"/>
      <c r="ACM1261"/>
      <c r="ACN1261"/>
      <c r="ACO1261"/>
      <c r="ACP1261"/>
      <c r="ACQ1261"/>
      <c r="ACR1261"/>
      <c r="ACS1261"/>
      <c r="ACT1261"/>
      <c r="ACU1261"/>
      <c r="ACV1261"/>
      <c r="ACW1261"/>
      <c r="ACX1261"/>
      <c r="ACY1261"/>
      <c r="ACZ1261"/>
      <c r="ADA1261"/>
      <c r="ADB1261"/>
      <c r="ADC1261"/>
      <c r="ADD1261"/>
      <c r="ADE1261"/>
      <c r="ADF1261"/>
      <c r="ADG1261"/>
      <c r="ADH1261"/>
      <c r="ADI1261"/>
      <c r="ADJ1261"/>
      <c r="ADK1261"/>
      <c r="ADL1261"/>
      <c r="ADM1261"/>
      <c r="ADN1261"/>
      <c r="ADO1261"/>
      <c r="ADP1261"/>
      <c r="ADQ1261"/>
      <c r="ADR1261"/>
      <c r="ADS1261"/>
      <c r="ADT1261"/>
      <c r="ADU1261"/>
      <c r="ADV1261"/>
      <c r="ADW1261"/>
      <c r="ADX1261"/>
      <c r="ADY1261"/>
      <c r="ADZ1261"/>
      <c r="AEA1261"/>
      <c r="AEB1261"/>
      <c r="AEC1261"/>
      <c r="AED1261"/>
      <c r="AEE1261"/>
      <c r="AEF1261"/>
      <c r="AEG1261"/>
      <c r="AEH1261"/>
      <c r="AEI1261"/>
      <c r="AEJ1261"/>
      <c r="AEK1261"/>
      <c r="AEL1261"/>
      <c r="AEM1261"/>
      <c r="AEN1261"/>
      <c r="AEO1261"/>
      <c r="AEP1261"/>
      <c r="AEQ1261"/>
      <c r="AER1261"/>
      <c r="AES1261"/>
      <c r="AET1261"/>
      <c r="AEU1261"/>
      <c r="AEV1261"/>
      <c r="AEW1261"/>
      <c r="AEX1261"/>
      <c r="AEY1261"/>
      <c r="AEZ1261"/>
      <c r="AFA1261"/>
      <c r="AFB1261"/>
      <c r="AFC1261"/>
      <c r="AFD1261"/>
      <c r="AFE1261"/>
      <c r="AFF1261"/>
      <c r="AFG1261"/>
      <c r="AFH1261"/>
      <c r="AFI1261"/>
      <c r="AFJ1261"/>
      <c r="AFK1261"/>
      <c r="AFL1261"/>
      <c r="AFM1261"/>
      <c r="AFN1261"/>
      <c r="AFO1261"/>
      <c r="AFP1261"/>
      <c r="AFQ1261"/>
      <c r="AFR1261"/>
      <c r="AFS1261"/>
      <c r="AFT1261"/>
      <c r="AFU1261"/>
      <c r="AFV1261"/>
      <c r="AFW1261"/>
      <c r="AFX1261"/>
      <c r="AFY1261"/>
      <c r="AFZ1261"/>
      <c r="AGA1261"/>
      <c r="AGB1261"/>
      <c r="AGC1261"/>
      <c r="AGD1261"/>
      <c r="AGE1261"/>
      <c r="AGF1261"/>
      <c r="AGG1261"/>
      <c r="AGH1261"/>
      <c r="AGI1261"/>
      <c r="AGJ1261"/>
      <c r="AGK1261"/>
      <c r="AGL1261"/>
      <c r="AGM1261"/>
      <c r="AGN1261"/>
      <c r="AGO1261"/>
      <c r="AGP1261"/>
      <c r="AGQ1261"/>
      <c r="AGR1261"/>
      <c r="AGS1261"/>
      <c r="AGT1261"/>
      <c r="AGU1261"/>
      <c r="AGV1261"/>
      <c r="AGW1261"/>
      <c r="AGX1261"/>
      <c r="AGY1261"/>
      <c r="AGZ1261"/>
      <c r="AHA1261"/>
      <c r="AHB1261"/>
      <c r="AHC1261"/>
      <c r="AHD1261"/>
      <c r="AHE1261"/>
      <c r="AHF1261"/>
      <c r="AHG1261"/>
      <c r="AHH1261"/>
      <c r="AHI1261"/>
      <c r="AHJ1261"/>
      <c r="AHK1261"/>
      <c r="AHL1261"/>
      <c r="AHM1261"/>
      <c r="AHN1261"/>
      <c r="AHO1261"/>
      <c r="AHP1261"/>
      <c r="AHQ1261"/>
      <c r="AHR1261"/>
      <c r="AHS1261"/>
      <c r="AHT1261"/>
      <c r="AHU1261"/>
      <c r="AHV1261"/>
      <c r="AHW1261"/>
      <c r="AHX1261"/>
      <c r="AHY1261"/>
      <c r="AHZ1261"/>
      <c r="AIA1261"/>
      <c r="AIB1261"/>
      <c r="AIC1261"/>
      <c r="AID1261"/>
      <c r="AIE1261"/>
      <c r="AIF1261"/>
      <c r="AIG1261"/>
      <c r="AIH1261"/>
      <c r="AII1261"/>
      <c r="AIJ1261"/>
      <c r="AIK1261"/>
      <c r="AIL1261"/>
      <c r="AIM1261"/>
      <c r="AIN1261"/>
      <c r="AIO1261"/>
      <c r="AIP1261"/>
      <c r="AIQ1261"/>
      <c r="AIR1261"/>
      <c r="AIS1261"/>
      <c r="AIT1261"/>
      <c r="AIU1261"/>
      <c r="AIV1261"/>
      <c r="AIW1261"/>
      <c r="AIX1261"/>
      <c r="AIY1261"/>
      <c r="AIZ1261"/>
      <c r="AJA1261"/>
      <c r="AJB1261"/>
      <c r="AJC1261"/>
      <c r="AJD1261"/>
      <c r="AJE1261"/>
      <c r="AJF1261"/>
      <c r="AJG1261"/>
      <c r="AJH1261"/>
      <c r="AJI1261"/>
      <c r="AJJ1261"/>
      <c r="AJK1261"/>
      <c r="AJL1261"/>
      <c r="AJM1261"/>
      <c r="AJN1261"/>
      <c r="AJO1261"/>
      <c r="AJP1261"/>
      <c r="AJQ1261"/>
      <c r="AJR1261"/>
      <c r="AJS1261"/>
      <c r="AJT1261"/>
      <c r="AJU1261"/>
      <c r="AJV1261"/>
      <c r="AJW1261"/>
      <c r="AJX1261"/>
      <c r="AJY1261"/>
      <c r="AJZ1261"/>
      <c r="AKA1261"/>
      <c r="AKB1261"/>
      <c r="AKC1261"/>
      <c r="AKD1261"/>
      <c r="AKE1261"/>
      <c r="AKF1261"/>
      <c r="AKG1261"/>
      <c r="AKH1261"/>
      <c r="AKI1261"/>
      <c r="AKJ1261"/>
      <c r="AKK1261"/>
      <c r="AKL1261"/>
      <c r="AKM1261"/>
      <c r="AKN1261"/>
      <c r="AKO1261"/>
      <c r="AKP1261"/>
      <c r="AKQ1261"/>
      <c r="AKR1261"/>
      <c r="AKS1261"/>
      <c r="AKT1261"/>
      <c r="AKU1261"/>
      <c r="AKV1261"/>
      <c r="AKW1261"/>
      <c r="AKX1261"/>
      <c r="AKY1261"/>
      <c r="AKZ1261"/>
      <c r="ALA1261"/>
      <c r="ALB1261"/>
      <c r="ALC1261"/>
      <c r="ALD1261"/>
      <c r="ALE1261"/>
      <c r="ALF1261"/>
      <c r="ALG1261"/>
      <c r="ALH1261"/>
      <c r="ALI1261"/>
      <c r="ALJ1261"/>
      <c r="ALK1261"/>
      <c r="ALL1261"/>
      <c r="ALM1261"/>
      <c r="ALN1261"/>
      <c r="ALO1261"/>
      <c r="ALP1261"/>
      <c r="ALQ1261"/>
      <c r="ALR1261"/>
      <c r="ALS1261"/>
      <c r="ALT1261"/>
    </row>
    <row r="1262" spans="1:1008" ht="14">
      <c r="A1262" s="28" t="s">
        <v>4419</v>
      </c>
      <c r="B1262" s="26" t="s">
        <v>3895</v>
      </c>
      <c r="C1262" s="28" t="s">
        <v>3950</v>
      </c>
      <c r="D1262" s="25" t="s">
        <v>13</v>
      </c>
      <c r="E1262" s="28" t="s">
        <v>3950</v>
      </c>
      <c r="F1262" s="28" t="s">
        <v>3951</v>
      </c>
      <c r="G1262" s="28">
        <v>550</v>
      </c>
      <c r="H1262" s="28"/>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c r="AT1262"/>
      <c r="AU1262"/>
      <c r="AV1262"/>
      <c r="AW1262"/>
      <c r="AX1262"/>
      <c r="AY1262"/>
      <c r="AZ1262"/>
      <c r="BA1262"/>
      <c r="BB1262"/>
      <c r="BC1262"/>
      <c r="BD1262"/>
      <c r="BE1262"/>
      <c r="BF1262"/>
      <c r="BG1262"/>
      <c r="BH1262"/>
      <c r="BI1262"/>
      <c r="BJ1262"/>
      <c r="BK1262"/>
      <c r="BL1262"/>
      <c r="BM1262"/>
      <c r="BN1262"/>
      <c r="BO1262"/>
      <c r="BP1262"/>
      <c r="BQ1262"/>
      <c r="BR1262"/>
      <c r="BS1262"/>
      <c r="BT1262"/>
      <c r="BU1262"/>
      <c r="BV1262"/>
      <c r="BW1262"/>
      <c r="BX1262"/>
      <c r="BY1262"/>
      <c r="BZ1262"/>
      <c r="CA1262"/>
      <c r="CB1262"/>
      <c r="CC1262"/>
      <c r="CD1262"/>
      <c r="CE1262"/>
      <c r="CF1262"/>
      <c r="CG1262"/>
      <c r="CH1262"/>
      <c r="CI1262"/>
      <c r="CJ1262"/>
      <c r="CK1262"/>
      <c r="CL1262"/>
      <c r="CM1262"/>
      <c r="CN1262"/>
      <c r="CO1262"/>
      <c r="CP1262"/>
      <c r="CQ1262"/>
      <c r="CR1262"/>
      <c r="CS1262"/>
      <c r="CT1262"/>
      <c r="CU1262"/>
      <c r="CV1262"/>
      <c r="CW1262"/>
      <c r="CX1262"/>
      <c r="CY1262"/>
      <c r="CZ1262"/>
      <c r="DA1262"/>
      <c r="DB1262"/>
      <c r="DC1262"/>
      <c r="DD1262"/>
      <c r="DE1262"/>
      <c r="DF1262"/>
      <c r="DG1262"/>
      <c r="DH1262"/>
      <c r="DI1262"/>
      <c r="DJ1262"/>
      <c r="DK1262"/>
      <c r="DL1262"/>
      <c r="DM1262"/>
      <c r="DN1262"/>
      <c r="DO1262"/>
      <c r="DP1262"/>
      <c r="DQ1262"/>
      <c r="DR1262"/>
      <c r="DS1262"/>
      <c r="DT1262"/>
      <c r="DU1262"/>
      <c r="DV1262"/>
      <c r="DW1262"/>
      <c r="DX1262"/>
      <c r="DY1262"/>
      <c r="DZ1262"/>
      <c r="EA1262"/>
      <c r="EB1262"/>
      <c r="EC1262"/>
      <c r="ED1262"/>
      <c r="EE1262"/>
      <c r="EF1262"/>
      <c r="EG1262"/>
      <c r="EH1262"/>
      <c r="EI1262"/>
      <c r="EJ1262"/>
      <c r="EK1262"/>
      <c r="EL1262"/>
      <c r="EM1262"/>
      <c r="EN1262"/>
      <c r="EO1262"/>
      <c r="EP1262"/>
      <c r="EQ1262"/>
      <c r="ER1262"/>
      <c r="ES1262"/>
      <c r="ET1262"/>
      <c r="EU1262"/>
      <c r="EV1262"/>
      <c r="EW1262"/>
      <c r="EX1262"/>
      <c r="EY1262"/>
      <c r="EZ1262"/>
      <c r="FA1262"/>
      <c r="FB1262"/>
      <c r="FC1262"/>
      <c r="FD1262"/>
      <c r="FE1262"/>
      <c r="FF1262"/>
      <c r="FG1262"/>
      <c r="FH1262"/>
      <c r="FI1262"/>
      <c r="FJ1262"/>
      <c r="FK1262"/>
      <c r="FL1262"/>
      <c r="FM1262"/>
      <c r="FN1262"/>
      <c r="FO1262"/>
      <c r="FP1262"/>
      <c r="FQ1262"/>
      <c r="FR1262"/>
      <c r="FS1262"/>
      <c r="FT1262"/>
      <c r="FU1262"/>
      <c r="FV1262"/>
      <c r="FW1262"/>
      <c r="FX1262"/>
      <c r="FY1262"/>
      <c r="FZ1262"/>
      <c r="GA1262"/>
      <c r="GB1262"/>
      <c r="GC1262"/>
      <c r="GD1262"/>
      <c r="GE1262"/>
      <c r="GF1262"/>
      <c r="GG1262"/>
      <c r="GH1262"/>
      <c r="GI1262"/>
      <c r="GJ1262"/>
      <c r="GK1262"/>
      <c r="GL1262"/>
      <c r="GM1262"/>
      <c r="GN1262"/>
      <c r="GO1262"/>
      <c r="GP1262"/>
      <c r="GQ1262"/>
      <c r="GR1262"/>
      <c r="GS1262"/>
      <c r="GT1262"/>
      <c r="GU1262"/>
      <c r="GV1262"/>
      <c r="GW1262"/>
      <c r="GX1262"/>
      <c r="GY1262"/>
      <c r="GZ1262"/>
      <c r="HA1262"/>
      <c r="HB1262"/>
      <c r="HC1262"/>
      <c r="HD1262"/>
      <c r="HE1262"/>
      <c r="HF1262"/>
      <c r="HG1262"/>
      <c r="HH1262"/>
      <c r="HI1262"/>
      <c r="HJ1262"/>
      <c r="HK1262"/>
      <c r="HL1262"/>
      <c r="HM1262"/>
      <c r="HN1262"/>
      <c r="HO1262"/>
      <c r="HP1262"/>
      <c r="HQ1262"/>
      <c r="HR1262"/>
      <c r="HS1262"/>
      <c r="HT1262"/>
      <c r="HU1262"/>
      <c r="HV1262"/>
      <c r="HW1262"/>
      <c r="HX1262"/>
      <c r="HY1262"/>
      <c r="HZ1262"/>
      <c r="IA1262"/>
      <c r="IB1262"/>
      <c r="IC1262"/>
      <c r="ID1262"/>
      <c r="IE1262"/>
      <c r="IF1262"/>
      <c r="IG1262"/>
      <c r="IH1262"/>
      <c r="II1262"/>
      <c r="IJ1262"/>
      <c r="IK1262"/>
      <c r="IL1262"/>
      <c r="IM1262"/>
      <c r="IN1262"/>
      <c r="IO1262"/>
      <c r="IP1262"/>
      <c r="IQ1262"/>
      <c r="IR1262"/>
      <c r="IS1262"/>
      <c r="IT1262"/>
      <c r="IU1262"/>
      <c r="IV1262"/>
      <c r="IW1262"/>
      <c r="IX1262"/>
      <c r="IY1262"/>
      <c r="IZ1262"/>
      <c r="JA1262"/>
      <c r="JB1262"/>
      <c r="JC1262"/>
      <c r="JD1262"/>
      <c r="JE1262"/>
      <c r="JF1262"/>
      <c r="JG1262"/>
      <c r="JH1262"/>
      <c r="JI1262"/>
      <c r="JJ1262"/>
      <c r="JK1262"/>
      <c r="JL1262"/>
      <c r="JM1262"/>
      <c r="JN1262"/>
      <c r="JO1262"/>
      <c r="JP1262"/>
      <c r="JQ1262"/>
      <c r="JR1262"/>
      <c r="JS1262"/>
      <c r="JT1262"/>
      <c r="JU1262"/>
      <c r="JV1262"/>
      <c r="JW1262"/>
      <c r="JX1262"/>
      <c r="JY1262"/>
      <c r="JZ1262"/>
      <c r="KA1262"/>
      <c r="KB1262"/>
      <c r="KC1262"/>
      <c r="KD1262"/>
      <c r="KE1262"/>
      <c r="KF1262"/>
      <c r="KG1262"/>
      <c r="KH1262"/>
      <c r="KI1262"/>
      <c r="KJ1262"/>
      <c r="KK1262"/>
      <c r="KL1262"/>
      <c r="KM1262"/>
      <c r="KN1262"/>
      <c r="KO1262"/>
      <c r="KP1262"/>
      <c r="KQ1262"/>
      <c r="KR1262"/>
      <c r="KS1262"/>
      <c r="KT1262"/>
      <c r="KU1262"/>
      <c r="KV1262"/>
      <c r="KW1262"/>
      <c r="KX1262"/>
      <c r="KY1262"/>
      <c r="KZ1262"/>
      <c r="LA1262"/>
      <c r="LB1262"/>
      <c r="LC1262"/>
      <c r="LD1262"/>
      <c r="LE1262"/>
      <c r="LF1262"/>
      <c r="LG1262"/>
      <c r="LH1262"/>
      <c r="LI1262"/>
      <c r="LJ1262"/>
      <c r="LK1262"/>
      <c r="LL1262"/>
      <c r="LM1262"/>
      <c r="LN1262"/>
      <c r="LO1262"/>
      <c r="LP1262"/>
      <c r="LQ1262"/>
      <c r="LR1262"/>
      <c r="LS1262"/>
      <c r="LT1262"/>
      <c r="LU1262"/>
      <c r="LV1262"/>
      <c r="LW1262"/>
      <c r="LX1262"/>
      <c r="LY1262"/>
      <c r="LZ1262"/>
      <c r="MA1262"/>
      <c r="MB1262"/>
      <c r="MC1262"/>
      <c r="MD1262"/>
      <c r="ME1262"/>
      <c r="MF1262"/>
      <c r="MG1262"/>
      <c r="MH1262"/>
      <c r="MI1262"/>
      <c r="MJ1262"/>
      <c r="MK1262"/>
      <c r="ML1262"/>
      <c r="MM1262"/>
      <c r="MN1262"/>
      <c r="MO1262"/>
      <c r="MP1262"/>
      <c r="MQ1262"/>
      <c r="MR1262"/>
      <c r="MS1262"/>
      <c r="MT1262"/>
      <c r="MU1262"/>
      <c r="MV1262"/>
      <c r="MW1262"/>
      <c r="MX1262"/>
      <c r="MY1262"/>
      <c r="MZ1262"/>
      <c r="NA1262"/>
      <c r="NB1262"/>
      <c r="NC1262"/>
      <c r="ND1262"/>
      <c r="NE1262"/>
      <c r="NF1262"/>
      <c r="NG1262"/>
      <c r="NH1262"/>
      <c r="NI1262"/>
      <c r="NJ1262"/>
      <c r="NK1262"/>
      <c r="NL1262"/>
      <c r="NM1262"/>
      <c r="NN1262"/>
      <c r="NO1262"/>
      <c r="NP1262"/>
      <c r="NQ1262"/>
      <c r="NR1262"/>
      <c r="NS1262"/>
      <c r="NT1262"/>
      <c r="NU1262"/>
      <c r="NV1262"/>
      <c r="NW1262"/>
      <c r="NX1262"/>
      <c r="NY1262"/>
      <c r="NZ1262"/>
      <c r="OA1262"/>
      <c r="OB1262"/>
      <c r="OC1262"/>
      <c r="OD1262"/>
      <c r="OE1262"/>
      <c r="OF1262"/>
      <c r="OG1262"/>
      <c r="OH1262"/>
      <c r="OI1262"/>
      <c r="OJ1262"/>
      <c r="OK1262"/>
      <c r="OL1262"/>
      <c r="OM1262"/>
      <c r="ON1262"/>
      <c r="OO1262"/>
      <c r="OP1262"/>
      <c r="OQ1262"/>
      <c r="OR1262"/>
      <c r="OS1262"/>
      <c r="OT1262"/>
      <c r="OU1262"/>
      <c r="OV1262"/>
      <c r="OW1262"/>
      <c r="OX1262"/>
      <c r="OY1262"/>
      <c r="OZ1262"/>
      <c r="PA1262"/>
      <c r="PB1262"/>
      <c r="PC1262"/>
      <c r="PD1262"/>
      <c r="PE1262"/>
      <c r="PF1262"/>
      <c r="PG1262"/>
      <c r="PH1262"/>
      <c r="PI1262"/>
      <c r="PJ1262"/>
      <c r="PK1262"/>
      <c r="PL1262"/>
      <c r="PM1262"/>
      <c r="PN1262"/>
      <c r="PO1262"/>
      <c r="PP1262"/>
      <c r="PQ1262"/>
      <c r="PR1262"/>
      <c r="PS1262"/>
      <c r="PT1262"/>
      <c r="PU1262"/>
      <c r="PV1262"/>
      <c r="PW1262"/>
      <c r="PX1262"/>
      <c r="PY1262"/>
      <c r="PZ1262"/>
      <c r="QA1262"/>
      <c r="QB1262"/>
      <c r="QC1262"/>
      <c r="QD1262"/>
      <c r="QE1262"/>
      <c r="QF1262"/>
      <c r="QG1262"/>
      <c r="QH1262"/>
      <c r="QI1262"/>
      <c r="QJ1262"/>
      <c r="QK1262"/>
      <c r="QL1262"/>
      <c r="QM1262"/>
      <c r="QN1262"/>
      <c r="QO1262"/>
      <c r="QP1262"/>
      <c r="QQ1262"/>
      <c r="QR1262"/>
      <c r="QS1262"/>
      <c r="QT1262"/>
      <c r="QU1262"/>
      <c r="QV1262"/>
      <c r="QW1262"/>
      <c r="QX1262"/>
      <c r="QY1262"/>
      <c r="QZ1262"/>
      <c r="RA1262"/>
      <c r="RB1262"/>
      <c r="RC1262"/>
      <c r="RD1262"/>
      <c r="RE1262"/>
      <c r="RF1262"/>
      <c r="RG1262"/>
      <c r="RH1262"/>
      <c r="RI1262"/>
      <c r="RJ1262"/>
      <c r="RK1262"/>
      <c r="RL1262"/>
      <c r="RM1262"/>
      <c r="RN1262"/>
      <c r="RO1262"/>
      <c r="RP1262"/>
      <c r="RQ1262"/>
      <c r="RR1262"/>
      <c r="RS1262"/>
      <c r="RT1262"/>
      <c r="RU1262"/>
      <c r="RV1262"/>
      <c r="RW1262"/>
      <c r="RX1262"/>
      <c r="RY1262"/>
      <c r="RZ1262"/>
      <c r="SA1262"/>
      <c r="SB1262"/>
      <c r="SC1262"/>
      <c r="SD1262"/>
      <c r="SE1262"/>
      <c r="SF1262"/>
      <c r="SG1262"/>
      <c r="SH1262"/>
      <c r="SI1262"/>
      <c r="SJ1262"/>
      <c r="SK1262"/>
      <c r="SL1262"/>
      <c r="SM1262"/>
      <c r="SN1262"/>
      <c r="SO1262"/>
      <c r="SP1262"/>
      <c r="SQ1262"/>
      <c r="SR1262"/>
      <c r="SS1262"/>
      <c r="ST1262"/>
      <c r="SU1262"/>
      <c r="SV1262"/>
      <c r="SW1262"/>
      <c r="SX1262"/>
      <c r="SY1262"/>
      <c r="SZ1262"/>
      <c r="TA1262"/>
      <c r="TB1262"/>
      <c r="TC1262"/>
      <c r="TD1262"/>
      <c r="TE1262"/>
      <c r="TF1262"/>
      <c r="TG1262"/>
      <c r="TH1262"/>
      <c r="TI1262"/>
      <c r="TJ1262"/>
      <c r="TK1262"/>
      <c r="TL1262"/>
      <c r="TM1262"/>
      <c r="TN1262"/>
      <c r="TO1262"/>
      <c r="TP1262"/>
      <c r="TQ1262"/>
      <c r="TR1262"/>
      <c r="TS1262"/>
      <c r="TT1262"/>
      <c r="TU1262"/>
      <c r="TV1262"/>
      <c r="TW1262"/>
      <c r="TX1262"/>
      <c r="TY1262"/>
      <c r="TZ1262"/>
      <c r="UA1262"/>
      <c r="UB1262"/>
      <c r="UC1262"/>
      <c r="UD1262"/>
      <c r="UE1262"/>
      <c r="UF1262"/>
      <c r="UG1262"/>
      <c r="UH1262"/>
      <c r="UI1262"/>
      <c r="UJ1262"/>
      <c r="UK1262"/>
      <c r="UL1262"/>
      <c r="UM1262"/>
      <c r="UN1262"/>
      <c r="UO1262"/>
      <c r="UP1262"/>
      <c r="UQ1262"/>
      <c r="UR1262"/>
      <c r="US1262"/>
      <c r="UT1262"/>
      <c r="UU1262"/>
      <c r="UV1262"/>
      <c r="UW1262"/>
      <c r="UX1262"/>
      <c r="UY1262"/>
      <c r="UZ1262"/>
      <c r="VA1262"/>
      <c r="VB1262"/>
      <c r="VC1262"/>
      <c r="VD1262"/>
      <c r="VE1262"/>
      <c r="VF1262"/>
      <c r="VG1262"/>
      <c r="VH1262"/>
      <c r="VI1262"/>
      <c r="VJ1262"/>
      <c r="VK1262"/>
      <c r="VL1262"/>
      <c r="VM1262"/>
      <c r="VN1262"/>
      <c r="VO1262"/>
      <c r="VP1262"/>
      <c r="VQ1262"/>
      <c r="VR1262"/>
      <c r="VS1262"/>
      <c r="VT1262"/>
      <c r="VU1262"/>
      <c r="VV1262"/>
      <c r="VW1262"/>
      <c r="VX1262"/>
      <c r="VY1262"/>
      <c r="VZ1262"/>
      <c r="WA1262"/>
      <c r="WB1262"/>
      <c r="WC1262"/>
      <c r="WD1262"/>
      <c r="WE1262"/>
      <c r="WF1262"/>
      <c r="WG1262"/>
      <c r="WH1262"/>
      <c r="WI1262"/>
      <c r="WJ1262"/>
      <c r="WK1262"/>
      <c r="WL1262"/>
      <c r="WM1262"/>
      <c r="WN1262"/>
      <c r="WO1262"/>
      <c r="WP1262"/>
      <c r="WQ1262"/>
      <c r="WR1262"/>
      <c r="WS1262"/>
      <c r="WT1262"/>
      <c r="WU1262"/>
      <c r="WV1262"/>
      <c r="WW1262"/>
      <c r="WX1262"/>
      <c r="WY1262"/>
      <c r="WZ1262"/>
      <c r="XA1262"/>
      <c r="XB1262"/>
      <c r="XC1262"/>
      <c r="XD1262"/>
      <c r="XE1262"/>
      <c r="XF1262"/>
      <c r="XG1262"/>
      <c r="XH1262"/>
      <c r="XI1262"/>
      <c r="XJ1262"/>
      <c r="XK1262"/>
      <c r="XL1262"/>
      <c r="XM1262"/>
      <c r="XN1262"/>
      <c r="XO1262"/>
      <c r="XP1262"/>
      <c r="XQ1262"/>
      <c r="XR1262"/>
      <c r="XS1262"/>
      <c r="XT1262"/>
      <c r="XU1262"/>
      <c r="XV1262"/>
      <c r="XW1262"/>
      <c r="XX1262"/>
      <c r="XY1262"/>
      <c r="XZ1262"/>
      <c r="YA1262"/>
      <c r="YB1262"/>
      <c r="YC1262"/>
      <c r="YD1262"/>
      <c r="YE1262"/>
      <c r="YF1262"/>
      <c r="YG1262"/>
      <c r="YH1262"/>
      <c r="YI1262"/>
      <c r="YJ1262"/>
      <c r="YK1262"/>
      <c r="YL1262"/>
      <c r="YM1262"/>
      <c r="YN1262"/>
      <c r="YO1262"/>
      <c r="YP1262"/>
      <c r="YQ1262"/>
      <c r="YR1262"/>
      <c r="YS1262"/>
      <c r="YT1262"/>
      <c r="YU1262"/>
      <c r="YV1262"/>
      <c r="YW1262"/>
      <c r="YX1262"/>
      <c r="YY1262"/>
      <c r="YZ1262"/>
      <c r="ZA1262"/>
      <c r="ZB1262"/>
      <c r="ZC1262"/>
      <c r="ZD1262"/>
      <c r="ZE1262"/>
      <c r="ZF1262"/>
      <c r="ZG1262"/>
      <c r="ZH1262"/>
      <c r="ZI1262"/>
      <c r="ZJ1262"/>
      <c r="ZK1262"/>
      <c r="ZL1262"/>
      <c r="ZM1262"/>
      <c r="ZN1262"/>
      <c r="ZO1262"/>
      <c r="ZP1262"/>
      <c r="ZQ1262"/>
      <c r="ZR1262"/>
      <c r="ZS1262"/>
      <c r="ZT1262"/>
      <c r="ZU1262"/>
      <c r="ZV1262"/>
      <c r="ZW1262"/>
      <c r="ZX1262"/>
      <c r="ZY1262"/>
      <c r="ZZ1262"/>
      <c r="AAA1262"/>
      <c r="AAB1262"/>
      <c r="AAC1262"/>
      <c r="AAD1262"/>
      <c r="AAE1262"/>
      <c r="AAF1262"/>
      <c r="AAG1262"/>
      <c r="AAH1262"/>
      <c r="AAI1262"/>
      <c r="AAJ1262"/>
      <c r="AAK1262"/>
      <c r="AAL1262"/>
      <c r="AAM1262"/>
      <c r="AAN1262"/>
      <c r="AAO1262"/>
      <c r="AAP1262"/>
      <c r="AAQ1262"/>
      <c r="AAR1262"/>
      <c r="AAS1262"/>
      <c r="AAT1262"/>
      <c r="AAU1262"/>
      <c r="AAV1262"/>
      <c r="AAW1262"/>
      <c r="AAX1262"/>
      <c r="AAY1262"/>
      <c r="AAZ1262"/>
      <c r="ABA1262"/>
      <c r="ABB1262"/>
      <c r="ABC1262"/>
      <c r="ABD1262"/>
      <c r="ABE1262"/>
      <c r="ABF1262"/>
      <c r="ABG1262"/>
      <c r="ABH1262"/>
      <c r="ABI1262"/>
      <c r="ABJ1262"/>
      <c r="ABK1262"/>
      <c r="ABL1262"/>
      <c r="ABM1262"/>
      <c r="ABN1262"/>
      <c r="ABO1262"/>
      <c r="ABP1262"/>
      <c r="ABQ1262"/>
      <c r="ABR1262"/>
      <c r="ABS1262"/>
      <c r="ABT1262"/>
      <c r="ABU1262"/>
      <c r="ABV1262"/>
      <c r="ABW1262"/>
      <c r="ABX1262"/>
      <c r="ABY1262"/>
      <c r="ABZ1262"/>
      <c r="ACA1262"/>
      <c r="ACB1262"/>
      <c r="ACC1262"/>
      <c r="ACD1262"/>
      <c r="ACE1262"/>
      <c r="ACF1262"/>
      <c r="ACG1262"/>
      <c r="ACH1262"/>
      <c r="ACI1262"/>
      <c r="ACJ1262"/>
      <c r="ACK1262"/>
      <c r="ACL1262"/>
      <c r="ACM1262"/>
      <c r="ACN1262"/>
      <c r="ACO1262"/>
      <c r="ACP1262"/>
      <c r="ACQ1262"/>
      <c r="ACR1262"/>
      <c r="ACS1262"/>
      <c r="ACT1262"/>
      <c r="ACU1262"/>
      <c r="ACV1262"/>
      <c r="ACW1262"/>
      <c r="ACX1262"/>
      <c r="ACY1262"/>
      <c r="ACZ1262"/>
      <c r="ADA1262"/>
      <c r="ADB1262"/>
      <c r="ADC1262"/>
      <c r="ADD1262"/>
      <c r="ADE1262"/>
      <c r="ADF1262"/>
      <c r="ADG1262"/>
      <c r="ADH1262"/>
      <c r="ADI1262"/>
      <c r="ADJ1262"/>
      <c r="ADK1262"/>
      <c r="ADL1262"/>
      <c r="ADM1262"/>
      <c r="ADN1262"/>
      <c r="ADO1262"/>
      <c r="ADP1262"/>
      <c r="ADQ1262"/>
      <c r="ADR1262"/>
      <c r="ADS1262"/>
      <c r="ADT1262"/>
      <c r="ADU1262"/>
      <c r="ADV1262"/>
      <c r="ADW1262"/>
      <c r="ADX1262"/>
      <c r="ADY1262"/>
      <c r="ADZ1262"/>
      <c r="AEA1262"/>
      <c r="AEB1262"/>
      <c r="AEC1262"/>
      <c r="AED1262"/>
      <c r="AEE1262"/>
      <c r="AEF1262"/>
      <c r="AEG1262"/>
      <c r="AEH1262"/>
      <c r="AEI1262"/>
      <c r="AEJ1262"/>
      <c r="AEK1262"/>
      <c r="AEL1262"/>
      <c r="AEM1262"/>
      <c r="AEN1262"/>
      <c r="AEO1262"/>
      <c r="AEP1262"/>
      <c r="AEQ1262"/>
      <c r="AER1262"/>
      <c r="AES1262"/>
      <c r="AET1262"/>
      <c r="AEU1262"/>
      <c r="AEV1262"/>
      <c r="AEW1262"/>
      <c r="AEX1262"/>
      <c r="AEY1262"/>
      <c r="AEZ1262"/>
      <c r="AFA1262"/>
      <c r="AFB1262"/>
      <c r="AFC1262"/>
      <c r="AFD1262"/>
      <c r="AFE1262"/>
      <c r="AFF1262"/>
      <c r="AFG1262"/>
      <c r="AFH1262"/>
      <c r="AFI1262"/>
      <c r="AFJ1262"/>
      <c r="AFK1262"/>
      <c r="AFL1262"/>
      <c r="AFM1262"/>
      <c r="AFN1262"/>
      <c r="AFO1262"/>
      <c r="AFP1262"/>
      <c r="AFQ1262"/>
      <c r="AFR1262"/>
      <c r="AFS1262"/>
      <c r="AFT1262"/>
      <c r="AFU1262"/>
      <c r="AFV1262"/>
      <c r="AFW1262"/>
      <c r="AFX1262"/>
      <c r="AFY1262"/>
      <c r="AFZ1262"/>
      <c r="AGA1262"/>
      <c r="AGB1262"/>
      <c r="AGC1262"/>
      <c r="AGD1262"/>
      <c r="AGE1262"/>
      <c r="AGF1262"/>
      <c r="AGG1262"/>
      <c r="AGH1262"/>
      <c r="AGI1262"/>
      <c r="AGJ1262"/>
      <c r="AGK1262"/>
      <c r="AGL1262"/>
      <c r="AGM1262"/>
      <c r="AGN1262"/>
      <c r="AGO1262"/>
      <c r="AGP1262"/>
      <c r="AGQ1262"/>
      <c r="AGR1262"/>
      <c r="AGS1262"/>
      <c r="AGT1262"/>
      <c r="AGU1262"/>
      <c r="AGV1262"/>
      <c r="AGW1262"/>
      <c r="AGX1262"/>
      <c r="AGY1262"/>
      <c r="AGZ1262"/>
      <c r="AHA1262"/>
      <c r="AHB1262"/>
      <c r="AHC1262"/>
      <c r="AHD1262"/>
      <c r="AHE1262"/>
      <c r="AHF1262"/>
      <c r="AHG1262"/>
      <c r="AHH1262"/>
      <c r="AHI1262"/>
      <c r="AHJ1262"/>
      <c r="AHK1262"/>
      <c r="AHL1262"/>
      <c r="AHM1262"/>
      <c r="AHN1262"/>
      <c r="AHO1262"/>
      <c r="AHP1262"/>
      <c r="AHQ1262"/>
      <c r="AHR1262"/>
      <c r="AHS1262"/>
      <c r="AHT1262"/>
      <c r="AHU1262"/>
      <c r="AHV1262"/>
      <c r="AHW1262"/>
      <c r="AHX1262"/>
      <c r="AHY1262"/>
      <c r="AHZ1262"/>
      <c r="AIA1262"/>
      <c r="AIB1262"/>
      <c r="AIC1262"/>
      <c r="AID1262"/>
      <c r="AIE1262"/>
      <c r="AIF1262"/>
      <c r="AIG1262"/>
      <c r="AIH1262"/>
      <c r="AII1262"/>
      <c r="AIJ1262"/>
      <c r="AIK1262"/>
      <c r="AIL1262"/>
      <c r="AIM1262"/>
      <c r="AIN1262"/>
      <c r="AIO1262"/>
      <c r="AIP1262"/>
      <c r="AIQ1262"/>
      <c r="AIR1262"/>
      <c r="AIS1262"/>
      <c r="AIT1262"/>
      <c r="AIU1262"/>
      <c r="AIV1262"/>
      <c r="AIW1262"/>
      <c r="AIX1262"/>
      <c r="AIY1262"/>
      <c r="AIZ1262"/>
      <c r="AJA1262"/>
      <c r="AJB1262"/>
      <c r="AJC1262"/>
      <c r="AJD1262"/>
      <c r="AJE1262"/>
      <c r="AJF1262"/>
      <c r="AJG1262"/>
      <c r="AJH1262"/>
      <c r="AJI1262"/>
      <c r="AJJ1262"/>
      <c r="AJK1262"/>
      <c r="AJL1262"/>
      <c r="AJM1262"/>
      <c r="AJN1262"/>
      <c r="AJO1262"/>
      <c r="AJP1262"/>
      <c r="AJQ1262"/>
      <c r="AJR1262"/>
      <c r="AJS1262"/>
      <c r="AJT1262"/>
      <c r="AJU1262"/>
      <c r="AJV1262"/>
      <c r="AJW1262"/>
      <c r="AJX1262"/>
      <c r="AJY1262"/>
      <c r="AJZ1262"/>
      <c r="AKA1262"/>
      <c r="AKB1262"/>
      <c r="AKC1262"/>
      <c r="AKD1262"/>
      <c r="AKE1262"/>
      <c r="AKF1262"/>
      <c r="AKG1262"/>
      <c r="AKH1262"/>
      <c r="AKI1262"/>
      <c r="AKJ1262"/>
      <c r="AKK1262"/>
      <c r="AKL1262"/>
      <c r="AKM1262"/>
      <c r="AKN1262"/>
      <c r="AKO1262"/>
      <c r="AKP1262"/>
      <c r="AKQ1262"/>
      <c r="AKR1262"/>
      <c r="AKS1262"/>
      <c r="AKT1262"/>
      <c r="AKU1262"/>
      <c r="AKV1262"/>
      <c r="AKW1262"/>
      <c r="AKX1262"/>
      <c r="AKY1262"/>
      <c r="AKZ1262"/>
      <c r="ALA1262"/>
      <c r="ALB1262"/>
      <c r="ALC1262"/>
      <c r="ALD1262"/>
      <c r="ALE1262"/>
      <c r="ALF1262"/>
      <c r="ALG1262"/>
      <c r="ALH1262"/>
      <c r="ALI1262"/>
      <c r="ALJ1262"/>
      <c r="ALK1262"/>
      <c r="ALL1262"/>
      <c r="ALM1262"/>
      <c r="ALN1262"/>
      <c r="ALO1262"/>
      <c r="ALP1262"/>
      <c r="ALQ1262"/>
      <c r="ALR1262"/>
      <c r="ALS1262"/>
      <c r="ALT1262"/>
    </row>
    <row r="1263" spans="1:1008" ht="14">
      <c r="A1263" s="28" t="s">
        <v>3952</v>
      </c>
      <c r="B1263" s="26" t="s">
        <v>3900</v>
      </c>
      <c r="C1263" s="28" t="s">
        <v>3952</v>
      </c>
      <c r="D1263" s="25" t="s">
        <v>13</v>
      </c>
      <c r="E1263" s="28" t="s">
        <v>3952</v>
      </c>
      <c r="F1263" s="28" t="s">
        <v>3953</v>
      </c>
      <c r="G1263" s="28">
        <v>500</v>
      </c>
      <c r="H1263" s="28"/>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c r="AT1263"/>
      <c r="AU1263"/>
      <c r="AV1263"/>
      <c r="AW1263"/>
      <c r="AX1263"/>
      <c r="AY1263"/>
      <c r="AZ1263"/>
      <c r="BA1263"/>
      <c r="BB1263"/>
      <c r="BC1263"/>
      <c r="BD1263"/>
      <c r="BE1263"/>
      <c r="BF1263"/>
      <c r="BG1263"/>
      <c r="BH1263"/>
      <c r="BI1263"/>
      <c r="BJ1263"/>
      <c r="BK1263"/>
      <c r="BL1263"/>
      <c r="BM1263"/>
      <c r="BN1263"/>
      <c r="BO1263"/>
      <c r="BP1263"/>
      <c r="BQ1263"/>
      <c r="BR1263"/>
      <c r="BS1263"/>
      <c r="BT1263"/>
      <c r="BU1263"/>
      <c r="BV1263"/>
      <c r="BW1263"/>
      <c r="BX1263"/>
      <c r="BY1263"/>
      <c r="BZ1263"/>
      <c r="CA1263"/>
      <c r="CB1263"/>
      <c r="CC1263"/>
      <c r="CD1263"/>
      <c r="CE1263"/>
      <c r="CF1263"/>
      <c r="CG1263"/>
      <c r="CH1263"/>
      <c r="CI1263"/>
      <c r="CJ1263"/>
      <c r="CK1263"/>
      <c r="CL1263"/>
      <c r="CM1263"/>
      <c r="CN1263"/>
      <c r="CO1263"/>
      <c r="CP1263"/>
      <c r="CQ1263"/>
      <c r="CR1263"/>
      <c r="CS1263"/>
      <c r="CT1263"/>
      <c r="CU1263"/>
      <c r="CV1263"/>
      <c r="CW1263"/>
      <c r="CX1263"/>
      <c r="CY1263"/>
      <c r="CZ1263"/>
      <c r="DA1263"/>
      <c r="DB1263"/>
      <c r="DC1263"/>
      <c r="DD1263"/>
      <c r="DE1263"/>
      <c r="DF1263"/>
      <c r="DG1263"/>
      <c r="DH1263"/>
      <c r="DI1263"/>
      <c r="DJ1263"/>
      <c r="DK1263"/>
      <c r="DL1263"/>
      <c r="DM1263"/>
      <c r="DN1263"/>
      <c r="DO1263"/>
      <c r="DP1263"/>
      <c r="DQ1263"/>
      <c r="DR1263"/>
      <c r="DS1263"/>
      <c r="DT1263"/>
      <c r="DU1263"/>
      <c r="DV1263"/>
      <c r="DW1263"/>
      <c r="DX1263"/>
      <c r="DY1263"/>
      <c r="DZ1263"/>
      <c r="EA1263"/>
      <c r="EB1263"/>
      <c r="EC1263"/>
      <c r="ED1263"/>
      <c r="EE1263"/>
      <c r="EF1263"/>
      <c r="EG1263"/>
      <c r="EH1263"/>
      <c r="EI1263"/>
      <c r="EJ1263"/>
      <c r="EK1263"/>
      <c r="EL1263"/>
      <c r="EM1263"/>
      <c r="EN1263"/>
      <c r="EO1263"/>
      <c r="EP1263"/>
      <c r="EQ1263"/>
      <c r="ER1263"/>
      <c r="ES1263"/>
      <c r="ET1263"/>
      <c r="EU1263"/>
      <c r="EV1263"/>
      <c r="EW1263"/>
      <c r="EX1263"/>
      <c r="EY1263"/>
      <c r="EZ1263"/>
      <c r="FA1263"/>
      <c r="FB1263"/>
      <c r="FC1263"/>
      <c r="FD1263"/>
      <c r="FE1263"/>
      <c r="FF1263"/>
      <c r="FG1263"/>
      <c r="FH1263"/>
      <c r="FI1263"/>
      <c r="FJ1263"/>
      <c r="FK1263"/>
      <c r="FL1263"/>
      <c r="FM1263"/>
      <c r="FN1263"/>
      <c r="FO1263"/>
      <c r="FP1263"/>
      <c r="FQ1263"/>
      <c r="FR1263"/>
      <c r="FS1263"/>
      <c r="FT1263"/>
      <c r="FU1263"/>
      <c r="FV1263"/>
      <c r="FW1263"/>
      <c r="FX1263"/>
      <c r="FY1263"/>
      <c r="FZ1263"/>
      <c r="GA1263"/>
      <c r="GB1263"/>
      <c r="GC1263"/>
      <c r="GD1263"/>
      <c r="GE1263"/>
      <c r="GF1263"/>
      <c r="GG1263"/>
      <c r="GH1263"/>
      <c r="GI1263"/>
      <c r="GJ1263"/>
      <c r="GK1263"/>
      <c r="GL1263"/>
      <c r="GM1263"/>
      <c r="GN1263"/>
      <c r="GO1263"/>
      <c r="GP1263"/>
      <c r="GQ1263"/>
      <c r="GR1263"/>
      <c r="GS1263"/>
      <c r="GT1263"/>
      <c r="GU1263"/>
      <c r="GV1263"/>
      <c r="GW1263"/>
      <c r="GX1263"/>
      <c r="GY1263"/>
      <c r="GZ1263"/>
      <c r="HA1263"/>
      <c r="HB1263"/>
      <c r="HC1263"/>
      <c r="HD1263"/>
      <c r="HE1263"/>
      <c r="HF1263"/>
      <c r="HG1263"/>
      <c r="HH1263"/>
      <c r="HI1263"/>
      <c r="HJ1263"/>
      <c r="HK1263"/>
      <c r="HL1263"/>
      <c r="HM1263"/>
      <c r="HN1263"/>
      <c r="HO1263"/>
      <c r="HP1263"/>
      <c r="HQ1263"/>
      <c r="HR1263"/>
      <c r="HS1263"/>
      <c r="HT1263"/>
      <c r="HU1263"/>
      <c r="HV1263"/>
      <c r="HW1263"/>
      <c r="HX1263"/>
      <c r="HY1263"/>
      <c r="HZ1263"/>
      <c r="IA1263"/>
      <c r="IB1263"/>
      <c r="IC1263"/>
      <c r="ID1263"/>
      <c r="IE1263"/>
      <c r="IF1263"/>
      <c r="IG1263"/>
      <c r="IH1263"/>
      <c r="II1263"/>
      <c r="IJ1263"/>
      <c r="IK1263"/>
      <c r="IL1263"/>
      <c r="IM1263"/>
      <c r="IN1263"/>
      <c r="IO1263"/>
      <c r="IP1263"/>
      <c r="IQ1263"/>
      <c r="IR1263"/>
      <c r="IS1263"/>
      <c r="IT1263"/>
      <c r="IU1263"/>
      <c r="IV1263"/>
      <c r="IW1263"/>
      <c r="IX1263"/>
      <c r="IY1263"/>
      <c r="IZ1263"/>
      <c r="JA1263"/>
      <c r="JB1263"/>
      <c r="JC1263"/>
      <c r="JD1263"/>
      <c r="JE1263"/>
      <c r="JF1263"/>
      <c r="JG1263"/>
      <c r="JH1263"/>
      <c r="JI1263"/>
      <c r="JJ1263"/>
      <c r="JK1263"/>
      <c r="JL1263"/>
      <c r="JM1263"/>
      <c r="JN1263"/>
      <c r="JO1263"/>
      <c r="JP1263"/>
      <c r="JQ1263"/>
      <c r="JR1263"/>
      <c r="JS1263"/>
      <c r="JT1263"/>
      <c r="JU1263"/>
      <c r="JV1263"/>
      <c r="JW1263"/>
      <c r="JX1263"/>
      <c r="JY1263"/>
      <c r="JZ1263"/>
      <c r="KA1263"/>
      <c r="KB1263"/>
      <c r="KC1263"/>
      <c r="KD1263"/>
      <c r="KE1263"/>
      <c r="KF1263"/>
      <c r="KG1263"/>
      <c r="KH1263"/>
      <c r="KI1263"/>
      <c r="KJ1263"/>
      <c r="KK1263"/>
      <c r="KL1263"/>
      <c r="KM1263"/>
      <c r="KN1263"/>
      <c r="KO1263"/>
      <c r="KP1263"/>
      <c r="KQ1263"/>
      <c r="KR1263"/>
      <c r="KS1263"/>
      <c r="KT1263"/>
      <c r="KU1263"/>
      <c r="KV1263"/>
      <c r="KW1263"/>
      <c r="KX1263"/>
      <c r="KY1263"/>
      <c r="KZ1263"/>
      <c r="LA1263"/>
      <c r="LB1263"/>
      <c r="LC1263"/>
      <c r="LD1263"/>
      <c r="LE1263"/>
      <c r="LF1263"/>
      <c r="LG1263"/>
      <c r="LH1263"/>
      <c r="LI1263"/>
      <c r="LJ1263"/>
      <c r="LK1263"/>
      <c r="LL1263"/>
      <c r="LM1263"/>
      <c r="LN1263"/>
      <c r="LO1263"/>
      <c r="LP1263"/>
      <c r="LQ1263"/>
      <c r="LR1263"/>
      <c r="LS1263"/>
      <c r="LT1263"/>
      <c r="LU1263"/>
      <c r="LV1263"/>
      <c r="LW1263"/>
      <c r="LX1263"/>
      <c r="LY1263"/>
      <c r="LZ1263"/>
      <c r="MA1263"/>
      <c r="MB1263"/>
      <c r="MC1263"/>
      <c r="MD1263"/>
      <c r="ME1263"/>
      <c r="MF1263"/>
      <c r="MG1263"/>
      <c r="MH1263"/>
      <c r="MI1263"/>
      <c r="MJ1263"/>
      <c r="MK1263"/>
      <c r="ML1263"/>
      <c r="MM1263"/>
      <c r="MN1263"/>
      <c r="MO1263"/>
      <c r="MP1263"/>
      <c r="MQ1263"/>
      <c r="MR1263"/>
      <c r="MS1263"/>
      <c r="MT1263"/>
      <c r="MU1263"/>
      <c r="MV1263"/>
      <c r="MW1263"/>
      <c r="MX1263"/>
      <c r="MY1263"/>
      <c r="MZ1263"/>
      <c r="NA1263"/>
      <c r="NB1263"/>
      <c r="NC1263"/>
      <c r="ND1263"/>
      <c r="NE1263"/>
      <c r="NF1263"/>
      <c r="NG1263"/>
      <c r="NH1263"/>
      <c r="NI1263"/>
      <c r="NJ1263"/>
      <c r="NK1263"/>
      <c r="NL1263"/>
      <c r="NM1263"/>
      <c r="NN1263"/>
      <c r="NO1263"/>
      <c r="NP1263"/>
      <c r="NQ1263"/>
      <c r="NR1263"/>
      <c r="NS1263"/>
      <c r="NT1263"/>
      <c r="NU1263"/>
      <c r="NV1263"/>
      <c r="NW1263"/>
      <c r="NX1263"/>
      <c r="NY1263"/>
      <c r="NZ1263"/>
      <c r="OA1263"/>
      <c r="OB1263"/>
      <c r="OC1263"/>
      <c r="OD1263"/>
      <c r="OE1263"/>
      <c r="OF1263"/>
      <c r="OG1263"/>
      <c r="OH1263"/>
      <c r="OI1263"/>
      <c r="OJ1263"/>
      <c r="OK1263"/>
      <c r="OL1263"/>
      <c r="OM1263"/>
      <c r="ON1263"/>
      <c r="OO1263"/>
      <c r="OP1263"/>
      <c r="OQ1263"/>
      <c r="OR1263"/>
      <c r="OS1263"/>
      <c r="OT1263"/>
      <c r="OU1263"/>
      <c r="OV1263"/>
      <c r="OW1263"/>
      <c r="OX1263"/>
      <c r="OY1263"/>
      <c r="OZ1263"/>
      <c r="PA1263"/>
      <c r="PB1263"/>
      <c r="PC1263"/>
      <c r="PD1263"/>
      <c r="PE1263"/>
      <c r="PF1263"/>
      <c r="PG1263"/>
      <c r="PH1263"/>
      <c r="PI1263"/>
      <c r="PJ1263"/>
      <c r="PK1263"/>
      <c r="PL1263"/>
      <c r="PM1263"/>
      <c r="PN1263"/>
      <c r="PO1263"/>
      <c r="PP1263"/>
      <c r="PQ1263"/>
      <c r="PR1263"/>
      <c r="PS1263"/>
      <c r="PT1263"/>
      <c r="PU1263"/>
      <c r="PV1263"/>
      <c r="PW1263"/>
      <c r="PX1263"/>
      <c r="PY1263"/>
      <c r="PZ1263"/>
      <c r="QA1263"/>
      <c r="QB1263"/>
      <c r="QC1263"/>
      <c r="QD1263"/>
      <c r="QE1263"/>
      <c r="QF1263"/>
      <c r="QG1263"/>
      <c r="QH1263"/>
      <c r="QI1263"/>
      <c r="QJ1263"/>
      <c r="QK1263"/>
      <c r="QL1263"/>
      <c r="QM1263"/>
      <c r="QN1263"/>
      <c r="QO1263"/>
      <c r="QP1263"/>
      <c r="QQ1263"/>
      <c r="QR1263"/>
      <c r="QS1263"/>
      <c r="QT1263"/>
      <c r="QU1263"/>
      <c r="QV1263"/>
      <c r="QW1263"/>
      <c r="QX1263"/>
      <c r="QY1263"/>
      <c r="QZ1263"/>
      <c r="RA1263"/>
      <c r="RB1263"/>
      <c r="RC1263"/>
      <c r="RD1263"/>
      <c r="RE1263"/>
      <c r="RF1263"/>
      <c r="RG1263"/>
      <c r="RH1263"/>
      <c r="RI1263"/>
      <c r="RJ1263"/>
      <c r="RK1263"/>
      <c r="RL1263"/>
      <c r="RM1263"/>
      <c r="RN1263"/>
      <c r="RO1263"/>
      <c r="RP1263"/>
      <c r="RQ1263"/>
      <c r="RR1263"/>
      <c r="RS1263"/>
      <c r="RT1263"/>
      <c r="RU1263"/>
      <c r="RV1263"/>
      <c r="RW1263"/>
      <c r="RX1263"/>
      <c r="RY1263"/>
      <c r="RZ1263"/>
      <c r="SA1263"/>
      <c r="SB1263"/>
      <c r="SC1263"/>
      <c r="SD1263"/>
      <c r="SE1263"/>
      <c r="SF1263"/>
      <c r="SG1263"/>
      <c r="SH1263"/>
      <c r="SI1263"/>
      <c r="SJ1263"/>
      <c r="SK1263"/>
      <c r="SL1263"/>
      <c r="SM1263"/>
      <c r="SN1263"/>
      <c r="SO1263"/>
      <c r="SP1263"/>
      <c r="SQ1263"/>
      <c r="SR1263"/>
      <c r="SS1263"/>
      <c r="ST1263"/>
      <c r="SU1263"/>
      <c r="SV1263"/>
      <c r="SW1263"/>
      <c r="SX1263"/>
      <c r="SY1263"/>
      <c r="SZ1263"/>
      <c r="TA1263"/>
      <c r="TB1263"/>
      <c r="TC1263"/>
      <c r="TD1263"/>
      <c r="TE1263"/>
      <c r="TF1263"/>
      <c r="TG1263"/>
      <c r="TH1263"/>
      <c r="TI1263"/>
      <c r="TJ1263"/>
      <c r="TK1263"/>
      <c r="TL1263"/>
      <c r="TM1263"/>
      <c r="TN1263"/>
      <c r="TO1263"/>
      <c r="TP1263"/>
      <c r="TQ1263"/>
      <c r="TR1263"/>
      <c r="TS1263"/>
      <c r="TT1263"/>
      <c r="TU1263"/>
      <c r="TV1263"/>
      <c r="TW1263"/>
      <c r="TX1263"/>
      <c r="TY1263"/>
      <c r="TZ1263"/>
      <c r="UA1263"/>
      <c r="UB1263"/>
      <c r="UC1263"/>
      <c r="UD1263"/>
      <c r="UE1263"/>
      <c r="UF1263"/>
      <c r="UG1263"/>
      <c r="UH1263"/>
      <c r="UI1263"/>
      <c r="UJ1263"/>
      <c r="UK1263"/>
      <c r="UL1263"/>
      <c r="UM1263"/>
      <c r="UN1263"/>
      <c r="UO1263"/>
      <c r="UP1263"/>
      <c r="UQ1263"/>
      <c r="UR1263"/>
      <c r="US1263"/>
      <c r="UT1263"/>
      <c r="UU1263"/>
      <c r="UV1263"/>
      <c r="UW1263"/>
      <c r="UX1263"/>
      <c r="UY1263"/>
      <c r="UZ1263"/>
      <c r="VA1263"/>
      <c r="VB1263"/>
      <c r="VC1263"/>
      <c r="VD1263"/>
      <c r="VE1263"/>
      <c r="VF1263"/>
      <c r="VG1263"/>
      <c r="VH1263"/>
      <c r="VI1263"/>
      <c r="VJ1263"/>
      <c r="VK1263"/>
      <c r="VL1263"/>
      <c r="VM1263"/>
      <c r="VN1263"/>
      <c r="VO1263"/>
      <c r="VP1263"/>
      <c r="VQ1263"/>
      <c r="VR1263"/>
      <c r="VS1263"/>
      <c r="VT1263"/>
      <c r="VU1263"/>
      <c r="VV1263"/>
      <c r="VW1263"/>
      <c r="VX1263"/>
      <c r="VY1263"/>
      <c r="VZ1263"/>
      <c r="WA1263"/>
      <c r="WB1263"/>
      <c r="WC1263"/>
      <c r="WD1263"/>
      <c r="WE1263"/>
      <c r="WF1263"/>
      <c r="WG1263"/>
      <c r="WH1263"/>
      <c r="WI1263"/>
      <c r="WJ1263"/>
      <c r="WK1263"/>
      <c r="WL1263"/>
      <c r="WM1263"/>
      <c r="WN1263"/>
      <c r="WO1263"/>
      <c r="WP1263"/>
      <c r="WQ1263"/>
      <c r="WR1263"/>
      <c r="WS1263"/>
      <c r="WT1263"/>
      <c r="WU1263"/>
      <c r="WV1263"/>
      <c r="WW1263"/>
      <c r="WX1263"/>
      <c r="WY1263"/>
      <c r="WZ1263"/>
      <c r="XA1263"/>
      <c r="XB1263"/>
      <c r="XC1263"/>
      <c r="XD1263"/>
      <c r="XE1263"/>
      <c r="XF1263"/>
      <c r="XG1263"/>
      <c r="XH1263"/>
      <c r="XI1263"/>
      <c r="XJ1263"/>
      <c r="XK1263"/>
      <c r="XL1263"/>
      <c r="XM1263"/>
      <c r="XN1263"/>
      <c r="XO1263"/>
      <c r="XP1263"/>
      <c r="XQ1263"/>
      <c r="XR1263"/>
      <c r="XS1263"/>
      <c r="XT1263"/>
      <c r="XU1263"/>
      <c r="XV1263"/>
      <c r="XW1263"/>
      <c r="XX1263"/>
      <c r="XY1263"/>
      <c r="XZ1263"/>
      <c r="YA1263"/>
      <c r="YB1263"/>
      <c r="YC1263"/>
      <c r="YD1263"/>
      <c r="YE1263"/>
      <c r="YF1263"/>
      <c r="YG1263"/>
      <c r="YH1263"/>
      <c r="YI1263"/>
      <c r="YJ1263"/>
      <c r="YK1263"/>
      <c r="YL1263"/>
      <c r="YM1263"/>
      <c r="YN1263"/>
      <c r="YO1263"/>
      <c r="YP1263"/>
      <c r="YQ1263"/>
      <c r="YR1263"/>
      <c r="YS1263"/>
      <c r="YT1263"/>
      <c r="YU1263"/>
      <c r="YV1263"/>
      <c r="YW1263"/>
      <c r="YX1263"/>
      <c r="YY1263"/>
      <c r="YZ1263"/>
      <c r="ZA1263"/>
      <c r="ZB1263"/>
      <c r="ZC1263"/>
      <c r="ZD1263"/>
      <c r="ZE1263"/>
      <c r="ZF1263"/>
      <c r="ZG1263"/>
      <c r="ZH1263"/>
      <c r="ZI1263"/>
      <c r="ZJ1263"/>
      <c r="ZK1263"/>
      <c r="ZL1263"/>
      <c r="ZM1263"/>
      <c r="ZN1263"/>
      <c r="ZO1263"/>
      <c r="ZP1263"/>
      <c r="ZQ1263"/>
      <c r="ZR1263"/>
      <c r="ZS1263"/>
      <c r="ZT1263"/>
      <c r="ZU1263"/>
      <c r="ZV1263"/>
      <c r="ZW1263"/>
      <c r="ZX1263"/>
      <c r="ZY1263"/>
      <c r="ZZ1263"/>
      <c r="AAA1263"/>
      <c r="AAB1263"/>
      <c r="AAC1263"/>
      <c r="AAD1263"/>
      <c r="AAE1263"/>
      <c r="AAF1263"/>
      <c r="AAG1263"/>
      <c r="AAH1263"/>
      <c r="AAI1263"/>
      <c r="AAJ1263"/>
      <c r="AAK1263"/>
      <c r="AAL1263"/>
      <c r="AAM1263"/>
      <c r="AAN1263"/>
      <c r="AAO1263"/>
      <c r="AAP1263"/>
      <c r="AAQ1263"/>
      <c r="AAR1263"/>
      <c r="AAS1263"/>
      <c r="AAT1263"/>
      <c r="AAU1263"/>
      <c r="AAV1263"/>
      <c r="AAW1263"/>
      <c r="AAX1263"/>
      <c r="AAY1263"/>
      <c r="AAZ1263"/>
      <c r="ABA1263"/>
      <c r="ABB1263"/>
      <c r="ABC1263"/>
      <c r="ABD1263"/>
      <c r="ABE1263"/>
      <c r="ABF1263"/>
      <c r="ABG1263"/>
      <c r="ABH1263"/>
      <c r="ABI1263"/>
      <c r="ABJ1263"/>
      <c r="ABK1263"/>
      <c r="ABL1263"/>
      <c r="ABM1263"/>
      <c r="ABN1263"/>
      <c r="ABO1263"/>
      <c r="ABP1263"/>
      <c r="ABQ1263"/>
      <c r="ABR1263"/>
      <c r="ABS1263"/>
      <c r="ABT1263"/>
      <c r="ABU1263"/>
      <c r="ABV1263"/>
      <c r="ABW1263"/>
      <c r="ABX1263"/>
      <c r="ABY1263"/>
      <c r="ABZ1263"/>
      <c r="ACA1263"/>
      <c r="ACB1263"/>
      <c r="ACC1263"/>
      <c r="ACD1263"/>
      <c r="ACE1263"/>
      <c r="ACF1263"/>
      <c r="ACG1263"/>
      <c r="ACH1263"/>
      <c r="ACI1263"/>
      <c r="ACJ1263"/>
      <c r="ACK1263"/>
      <c r="ACL1263"/>
      <c r="ACM1263"/>
      <c r="ACN1263"/>
      <c r="ACO1263"/>
      <c r="ACP1263"/>
      <c r="ACQ1263"/>
      <c r="ACR1263"/>
      <c r="ACS1263"/>
      <c r="ACT1263"/>
      <c r="ACU1263"/>
      <c r="ACV1263"/>
      <c r="ACW1263"/>
      <c r="ACX1263"/>
      <c r="ACY1263"/>
      <c r="ACZ1263"/>
      <c r="ADA1263"/>
      <c r="ADB1263"/>
      <c r="ADC1263"/>
      <c r="ADD1263"/>
      <c r="ADE1263"/>
      <c r="ADF1263"/>
      <c r="ADG1263"/>
      <c r="ADH1263"/>
      <c r="ADI1263"/>
      <c r="ADJ1263"/>
      <c r="ADK1263"/>
      <c r="ADL1263"/>
      <c r="ADM1263"/>
      <c r="ADN1263"/>
      <c r="ADO1263"/>
      <c r="ADP1263"/>
      <c r="ADQ1263"/>
      <c r="ADR1263"/>
      <c r="ADS1263"/>
      <c r="ADT1263"/>
      <c r="ADU1263"/>
      <c r="ADV1263"/>
      <c r="ADW1263"/>
      <c r="ADX1263"/>
      <c r="ADY1263"/>
      <c r="ADZ1263"/>
      <c r="AEA1263"/>
      <c r="AEB1263"/>
      <c r="AEC1263"/>
      <c r="AED1263"/>
      <c r="AEE1263"/>
      <c r="AEF1263"/>
      <c r="AEG1263"/>
      <c r="AEH1263"/>
      <c r="AEI1263"/>
      <c r="AEJ1263"/>
      <c r="AEK1263"/>
      <c r="AEL1263"/>
      <c r="AEM1263"/>
      <c r="AEN1263"/>
      <c r="AEO1263"/>
      <c r="AEP1263"/>
      <c r="AEQ1263"/>
      <c r="AER1263"/>
      <c r="AES1263"/>
      <c r="AET1263"/>
      <c r="AEU1263"/>
      <c r="AEV1263"/>
      <c r="AEW1263"/>
      <c r="AEX1263"/>
      <c r="AEY1263"/>
      <c r="AEZ1263"/>
      <c r="AFA1263"/>
      <c r="AFB1263"/>
      <c r="AFC1263"/>
      <c r="AFD1263"/>
      <c r="AFE1263"/>
      <c r="AFF1263"/>
      <c r="AFG1263"/>
      <c r="AFH1263"/>
      <c r="AFI1263"/>
      <c r="AFJ1263"/>
      <c r="AFK1263"/>
      <c r="AFL1263"/>
      <c r="AFM1263"/>
      <c r="AFN1263"/>
      <c r="AFO1263"/>
      <c r="AFP1263"/>
      <c r="AFQ1263"/>
      <c r="AFR1263"/>
      <c r="AFS1263"/>
      <c r="AFT1263"/>
      <c r="AFU1263"/>
      <c r="AFV1263"/>
      <c r="AFW1263"/>
      <c r="AFX1263"/>
      <c r="AFY1263"/>
      <c r="AFZ1263"/>
      <c r="AGA1263"/>
      <c r="AGB1263"/>
      <c r="AGC1263"/>
      <c r="AGD1263"/>
      <c r="AGE1263"/>
      <c r="AGF1263"/>
      <c r="AGG1263"/>
      <c r="AGH1263"/>
      <c r="AGI1263"/>
      <c r="AGJ1263"/>
      <c r="AGK1263"/>
      <c r="AGL1263"/>
      <c r="AGM1263"/>
      <c r="AGN1263"/>
      <c r="AGO1263"/>
      <c r="AGP1263"/>
      <c r="AGQ1263"/>
      <c r="AGR1263"/>
      <c r="AGS1263"/>
      <c r="AGT1263"/>
      <c r="AGU1263"/>
      <c r="AGV1263"/>
      <c r="AGW1263"/>
      <c r="AGX1263"/>
      <c r="AGY1263"/>
      <c r="AGZ1263"/>
      <c r="AHA1263"/>
      <c r="AHB1263"/>
      <c r="AHC1263"/>
      <c r="AHD1263"/>
      <c r="AHE1263"/>
      <c r="AHF1263"/>
      <c r="AHG1263"/>
      <c r="AHH1263"/>
      <c r="AHI1263"/>
      <c r="AHJ1263"/>
      <c r="AHK1263"/>
      <c r="AHL1263"/>
      <c r="AHM1263"/>
      <c r="AHN1263"/>
      <c r="AHO1263"/>
      <c r="AHP1263"/>
      <c r="AHQ1263"/>
      <c r="AHR1263"/>
      <c r="AHS1263"/>
      <c r="AHT1263"/>
      <c r="AHU1263"/>
      <c r="AHV1263"/>
      <c r="AHW1263"/>
      <c r="AHX1263"/>
      <c r="AHY1263"/>
      <c r="AHZ1263"/>
      <c r="AIA1263"/>
      <c r="AIB1263"/>
      <c r="AIC1263"/>
      <c r="AID1263"/>
      <c r="AIE1263"/>
      <c r="AIF1263"/>
      <c r="AIG1263"/>
      <c r="AIH1263"/>
      <c r="AII1263"/>
      <c r="AIJ1263"/>
      <c r="AIK1263"/>
      <c r="AIL1263"/>
      <c r="AIM1263"/>
      <c r="AIN1263"/>
      <c r="AIO1263"/>
      <c r="AIP1263"/>
      <c r="AIQ1263"/>
      <c r="AIR1263"/>
      <c r="AIS1263"/>
      <c r="AIT1263"/>
      <c r="AIU1263"/>
      <c r="AIV1263"/>
      <c r="AIW1263"/>
      <c r="AIX1263"/>
      <c r="AIY1263"/>
      <c r="AIZ1263"/>
      <c r="AJA1263"/>
      <c r="AJB1263"/>
      <c r="AJC1263"/>
      <c r="AJD1263"/>
      <c r="AJE1263"/>
      <c r="AJF1263"/>
      <c r="AJG1263"/>
      <c r="AJH1263"/>
      <c r="AJI1263"/>
      <c r="AJJ1263"/>
      <c r="AJK1263"/>
      <c r="AJL1263"/>
      <c r="AJM1263"/>
      <c r="AJN1263"/>
      <c r="AJO1263"/>
      <c r="AJP1263"/>
      <c r="AJQ1263"/>
      <c r="AJR1263"/>
      <c r="AJS1263"/>
      <c r="AJT1263"/>
      <c r="AJU1263"/>
      <c r="AJV1263"/>
      <c r="AJW1263"/>
      <c r="AJX1263"/>
      <c r="AJY1263"/>
      <c r="AJZ1263"/>
      <c r="AKA1263"/>
      <c r="AKB1263"/>
      <c r="AKC1263"/>
      <c r="AKD1263"/>
      <c r="AKE1263"/>
      <c r="AKF1263"/>
      <c r="AKG1263"/>
      <c r="AKH1263"/>
      <c r="AKI1263"/>
      <c r="AKJ1263"/>
      <c r="AKK1263"/>
      <c r="AKL1263"/>
      <c r="AKM1263"/>
      <c r="AKN1263"/>
      <c r="AKO1263"/>
      <c r="AKP1263"/>
      <c r="AKQ1263"/>
      <c r="AKR1263"/>
      <c r="AKS1263"/>
      <c r="AKT1263"/>
      <c r="AKU1263"/>
      <c r="AKV1263"/>
      <c r="AKW1263"/>
      <c r="AKX1263"/>
      <c r="AKY1263"/>
      <c r="AKZ1263"/>
      <c r="ALA1263"/>
      <c r="ALB1263"/>
      <c r="ALC1263"/>
      <c r="ALD1263"/>
      <c r="ALE1263"/>
      <c r="ALF1263"/>
      <c r="ALG1263"/>
      <c r="ALH1263"/>
      <c r="ALI1263"/>
      <c r="ALJ1263"/>
      <c r="ALK1263"/>
      <c r="ALL1263"/>
      <c r="ALM1263"/>
      <c r="ALN1263"/>
      <c r="ALO1263"/>
      <c r="ALP1263"/>
      <c r="ALQ1263"/>
      <c r="ALR1263"/>
      <c r="ALS1263"/>
      <c r="ALT1263"/>
    </row>
    <row r="1264" spans="1:1008" ht="14">
      <c r="A1264" s="28" t="s">
        <v>3954</v>
      </c>
      <c r="B1264" s="26" t="s">
        <v>3900</v>
      </c>
      <c r="C1264" s="28" t="s">
        <v>3954</v>
      </c>
      <c r="D1264" s="25" t="s">
        <v>13</v>
      </c>
      <c r="E1264" s="28" t="s">
        <v>3954</v>
      </c>
      <c r="F1264" s="28" t="s">
        <v>3955</v>
      </c>
      <c r="G1264" s="28">
        <v>700</v>
      </c>
      <c r="H1264" s="28"/>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c r="AT1264"/>
      <c r="AU1264"/>
      <c r="AV1264"/>
      <c r="AW1264"/>
      <c r="AX1264"/>
      <c r="AY1264"/>
      <c r="AZ1264"/>
      <c r="BA1264"/>
      <c r="BB1264"/>
      <c r="BC1264"/>
      <c r="BD1264"/>
      <c r="BE1264"/>
      <c r="BF1264"/>
      <c r="BG1264"/>
      <c r="BH1264"/>
      <c r="BI1264"/>
      <c r="BJ1264"/>
      <c r="BK1264"/>
      <c r="BL1264"/>
      <c r="BM1264"/>
      <c r="BN1264"/>
      <c r="BO1264"/>
      <c r="BP1264"/>
      <c r="BQ1264"/>
      <c r="BR1264"/>
      <c r="BS1264"/>
      <c r="BT1264"/>
      <c r="BU1264"/>
      <c r="BV1264"/>
      <c r="BW1264"/>
      <c r="BX1264"/>
      <c r="BY1264"/>
      <c r="BZ1264"/>
      <c r="CA1264"/>
      <c r="CB1264"/>
      <c r="CC1264"/>
      <c r="CD1264"/>
      <c r="CE1264"/>
      <c r="CF1264"/>
      <c r="CG1264"/>
      <c r="CH1264"/>
      <c r="CI1264"/>
      <c r="CJ1264"/>
      <c r="CK1264"/>
      <c r="CL1264"/>
      <c r="CM1264"/>
      <c r="CN1264"/>
      <c r="CO1264"/>
      <c r="CP1264"/>
      <c r="CQ1264"/>
      <c r="CR1264"/>
      <c r="CS1264"/>
      <c r="CT1264"/>
      <c r="CU1264"/>
      <c r="CV1264"/>
      <c r="CW1264"/>
      <c r="CX1264"/>
      <c r="CY1264"/>
      <c r="CZ1264"/>
      <c r="DA1264"/>
      <c r="DB1264"/>
      <c r="DC1264"/>
      <c r="DD1264"/>
      <c r="DE1264"/>
      <c r="DF1264"/>
      <c r="DG1264"/>
      <c r="DH1264"/>
      <c r="DI1264"/>
      <c r="DJ1264"/>
      <c r="DK1264"/>
      <c r="DL1264"/>
      <c r="DM1264"/>
      <c r="DN1264"/>
      <c r="DO1264"/>
      <c r="DP1264"/>
      <c r="DQ1264"/>
      <c r="DR1264"/>
      <c r="DS1264"/>
      <c r="DT1264"/>
      <c r="DU1264"/>
      <c r="DV1264"/>
      <c r="DW1264"/>
      <c r="DX1264"/>
      <c r="DY1264"/>
      <c r="DZ1264"/>
      <c r="EA1264"/>
      <c r="EB1264"/>
      <c r="EC1264"/>
      <c r="ED1264"/>
      <c r="EE1264"/>
      <c r="EF1264"/>
      <c r="EG1264"/>
      <c r="EH1264"/>
      <c r="EI1264"/>
      <c r="EJ1264"/>
      <c r="EK1264"/>
      <c r="EL1264"/>
      <c r="EM1264"/>
      <c r="EN1264"/>
      <c r="EO1264"/>
      <c r="EP1264"/>
      <c r="EQ1264"/>
      <c r="ER1264"/>
      <c r="ES1264"/>
      <c r="ET1264"/>
      <c r="EU1264"/>
      <c r="EV1264"/>
      <c r="EW1264"/>
      <c r="EX1264"/>
      <c r="EY1264"/>
      <c r="EZ1264"/>
      <c r="FA1264"/>
      <c r="FB1264"/>
      <c r="FC1264"/>
      <c r="FD1264"/>
      <c r="FE1264"/>
      <c r="FF1264"/>
      <c r="FG1264"/>
      <c r="FH1264"/>
      <c r="FI1264"/>
      <c r="FJ1264"/>
      <c r="FK1264"/>
      <c r="FL1264"/>
      <c r="FM1264"/>
      <c r="FN1264"/>
      <c r="FO1264"/>
      <c r="FP1264"/>
      <c r="FQ1264"/>
      <c r="FR1264"/>
      <c r="FS1264"/>
      <c r="FT1264"/>
      <c r="FU1264"/>
      <c r="FV1264"/>
      <c r="FW1264"/>
      <c r="FX1264"/>
      <c r="FY1264"/>
      <c r="FZ1264"/>
      <c r="GA1264"/>
      <c r="GB1264"/>
      <c r="GC1264"/>
      <c r="GD1264"/>
      <c r="GE1264"/>
      <c r="GF1264"/>
      <c r="GG1264"/>
      <c r="GH1264"/>
      <c r="GI1264"/>
      <c r="GJ1264"/>
      <c r="GK1264"/>
      <c r="GL1264"/>
      <c r="GM1264"/>
      <c r="GN1264"/>
      <c r="GO1264"/>
      <c r="GP1264"/>
      <c r="GQ1264"/>
      <c r="GR1264"/>
      <c r="GS1264"/>
      <c r="GT1264"/>
      <c r="GU1264"/>
      <c r="GV1264"/>
      <c r="GW1264"/>
      <c r="GX1264"/>
      <c r="GY1264"/>
      <c r="GZ1264"/>
      <c r="HA1264"/>
      <c r="HB1264"/>
      <c r="HC1264"/>
      <c r="HD1264"/>
      <c r="HE1264"/>
      <c r="HF1264"/>
      <c r="HG1264"/>
      <c r="HH1264"/>
      <c r="HI1264"/>
      <c r="HJ1264"/>
      <c r="HK1264"/>
      <c r="HL1264"/>
      <c r="HM1264"/>
      <c r="HN1264"/>
      <c r="HO1264"/>
      <c r="HP1264"/>
      <c r="HQ1264"/>
      <c r="HR1264"/>
      <c r="HS1264"/>
      <c r="HT1264"/>
      <c r="HU1264"/>
      <c r="HV1264"/>
      <c r="HW1264"/>
      <c r="HX1264"/>
      <c r="HY1264"/>
      <c r="HZ1264"/>
      <c r="IA1264"/>
      <c r="IB1264"/>
      <c r="IC1264"/>
      <c r="ID1264"/>
      <c r="IE1264"/>
      <c r="IF1264"/>
      <c r="IG1264"/>
      <c r="IH1264"/>
      <c r="II1264"/>
      <c r="IJ1264"/>
      <c r="IK1264"/>
      <c r="IL1264"/>
      <c r="IM1264"/>
      <c r="IN1264"/>
      <c r="IO1264"/>
      <c r="IP1264"/>
      <c r="IQ1264"/>
      <c r="IR1264"/>
      <c r="IS1264"/>
      <c r="IT1264"/>
      <c r="IU1264"/>
      <c r="IV1264"/>
      <c r="IW1264"/>
      <c r="IX1264"/>
      <c r="IY1264"/>
      <c r="IZ1264"/>
      <c r="JA1264"/>
      <c r="JB1264"/>
      <c r="JC1264"/>
      <c r="JD1264"/>
      <c r="JE1264"/>
      <c r="JF1264"/>
      <c r="JG1264"/>
      <c r="JH1264"/>
      <c r="JI1264"/>
      <c r="JJ1264"/>
      <c r="JK1264"/>
      <c r="JL1264"/>
      <c r="JM1264"/>
      <c r="JN1264"/>
      <c r="JO1264"/>
      <c r="JP1264"/>
      <c r="JQ1264"/>
      <c r="JR1264"/>
      <c r="JS1264"/>
      <c r="JT1264"/>
      <c r="JU1264"/>
      <c r="JV1264"/>
      <c r="JW1264"/>
      <c r="JX1264"/>
      <c r="JY1264"/>
      <c r="JZ1264"/>
      <c r="KA1264"/>
      <c r="KB1264"/>
      <c r="KC1264"/>
      <c r="KD1264"/>
      <c r="KE1264"/>
      <c r="KF1264"/>
      <c r="KG1264"/>
      <c r="KH1264"/>
      <c r="KI1264"/>
      <c r="KJ1264"/>
      <c r="KK1264"/>
      <c r="KL1264"/>
      <c r="KM1264"/>
      <c r="KN1264"/>
      <c r="KO1264"/>
      <c r="KP1264"/>
      <c r="KQ1264"/>
      <c r="KR1264"/>
      <c r="KS1264"/>
      <c r="KT1264"/>
      <c r="KU1264"/>
      <c r="KV1264"/>
      <c r="KW1264"/>
      <c r="KX1264"/>
      <c r="KY1264"/>
      <c r="KZ1264"/>
      <c r="LA1264"/>
      <c r="LB1264"/>
      <c r="LC1264"/>
      <c r="LD1264"/>
      <c r="LE1264"/>
      <c r="LF1264"/>
      <c r="LG1264"/>
      <c r="LH1264"/>
      <c r="LI1264"/>
      <c r="LJ1264"/>
      <c r="LK1264"/>
      <c r="LL1264"/>
      <c r="LM1264"/>
      <c r="LN1264"/>
      <c r="LO1264"/>
      <c r="LP1264"/>
      <c r="LQ1264"/>
      <c r="LR1264"/>
      <c r="LS1264"/>
      <c r="LT1264"/>
      <c r="LU1264"/>
      <c r="LV1264"/>
      <c r="LW1264"/>
      <c r="LX1264"/>
      <c r="LY1264"/>
      <c r="LZ1264"/>
      <c r="MA1264"/>
      <c r="MB1264"/>
      <c r="MC1264"/>
      <c r="MD1264"/>
      <c r="ME1264"/>
      <c r="MF1264"/>
      <c r="MG1264"/>
      <c r="MH1264"/>
      <c r="MI1264"/>
      <c r="MJ1264"/>
      <c r="MK1264"/>
      <c r="ML1264"/>
      <c r="MM1264"/>
      <c r="MN1264"/>
      <c r="MO1264"/>
      <c r="MP1264"/>
      <c r="MQ1264"/>
      <c r="MR1264"/>
      <c r="MS1264"/>
      <c r="MT1264"/>
      <c r="MU1264"/>
      <c r="MV1264"/>
      <c r="MW1264"/>
      <c r="MX1264"/>
      <c r="MY1264"/>
      <c r="MZ1264"/>
      <c r="NA1264"/>
      <c r="NB1264"/>
      <c r="NC1264"/>
      <c r="ND1264"/>
      <c r="NE1264"/>
      <c r="NF1264"/>
      <c r="NG1264"/>
      <c r="NH1264"/>
      <c r="NI1264"/>
      <c r="NJ1264"/>
      <c r="NK1264"/>
      <c r="NL1264"/>
      <c r="NM1264"/>
      <c r="NN1264"/>
      <c r="NO1264"/>
      <c r="NP1264"/>
      <c r="NQ1264"/>
      <c r="NR1264"/>
      <c r="NS1264"/>
      <c r="NT1264"/>
      <c r="NU1264"/>
      <c r="NV1264"/>
      <c r="NW1264"/>
      <c r="NX1264"/>
      <c r="NY1264"/>
      <c r="NZ1264"/>
      <c r="OA1264"/>
      <c r="OB1264"/>
      <c r="OC1264"/>
      <c r="OD1264"/>
      <c r="OE1264"/>
      <c r="OF1264"/>
      <c r="OG1264"/>
      <c r="OH1264"/>
      <c r="OI1264"/>
      <c r="OJ1264"/>
      <c r="OK1264"/>
      <c r="OL1264"/>
      <c r="OM1264"/>
      <c r="ON1264"/>
      <c r="OO1264"/>
      <c r="OP1264"/>
      <c r="OQ1264"/>
      <c r="OR1264"/>
      <c r="OS1264"/>
      <c r="OT1264"/>
      <c r="OU1264"/>
      <c r="OV1264"/>
      <c r="OW1264"/>
      <c r="OX1264"/>
      <c r="OY1264"/>
      <c r="OZ1264"/>
      <c r="PA1264"/>
      <c r="PB1264"/>
      <c r="PC1264"/>
      <c r="PD1264"/>
      <c r="PE1264"/>
      <c r="PF1264"/>
      <c r="PG1264"/>
      <c r="PH1264"/>
      <c r="PI1264"/>
      <c r="PJ1264"/>
      <c r="PK1264"/>
      <c r="PL1264"/>
      <c r="PM1264"/>
      <c r="PN1264"/>
      <c r="PO1264"/>
      <c r="PP1264"/>
      <c r="PQ1264"/>
      <c r="PR1264"/>
      <c r="PS1264"/>
      <c r="PT1264"/>
      <c r="PU1264"/>
      <c r="PV1264"/>
      <c r="PW1264"/>
      <c r="PX1264"/>
      <c r="PY1264"/>
      <c r="PZ1264"/>
      <c r="QA1264"/>
      <c r="QB1264"/>
      <c r="QC1264"/>
      <c r="QD1264"/>
      <c r="QE1264"/>
      <c r="QF1264"/>
      <c r="QG1264"/>
      <c r="QH1264"/>
      <c r="QI1264"/>
      <c r="QJ1264"/>
      <c r="QK1264"/>
      <c r="QL1264"/>
      <c r="QM1264"/>
      <c r="QN1264"/>
      <c r="QO1264"/>
      <c r="QP1264"/>
      <c r="QQ1264"/>
      <c r="QR1264"/>
      <c r="QS1264"/>
      <c r="QT1264"/>
      <c r="QU1264"/>
      <c r="QV1264"/>
      <c r="QW1264"/>
      <c r="QX1264"/>
      <c r="QY1264"/>
      <c r="QZ1264"/>
      <c r="RA1264"/>
      <c r="RB1264"/>
      <c r="RC1264"/>
      <c r="RD1264"/>
      <c r="RE1264"/>
      <c r="RF1264"/>
      <c r="RG1264"/>
      <c r="RH1264"/>
      <c r="RI1264"/>
      <c r="RJ1264"/>
      <c r="RK1264"/>
      <c r="RL1264"/>
      <c r="RM1264"/>
      <c r="RN1264"/>
      <c r="RO1264"/>
      <c r="RP1264"/>
      <c r="RQ1264"/>
      <c r="RR1264"/>
      <c r="RS1264"/>
      <c r="RT1264"/>
      <c r="RU1264"/>
      <c r="RV1264"/>
      <c r="RW1264"/>
      <c r="RX1264"/>
      <c r="RY1264"/>
      <c r="RZ1264"/>
      <c r="SA1264"/>
      <c r="SB1264"/>
      <c r="SC1264"/>
      <c r="SD1264"/>
      <c r="SE1264"/>
      <c r="SF1264"/>
      <c r="SG1264"/>
      <c r="SH1264"/>
      <c r="SI1264"/>
      <c r="SJ1264"/>
      <c r="SK1264"/>
      <c r="SL1264"/>
      <c r="SM1264"/>
      <c r="SN1264"/>
      <c r="SO1264"/>
      <c r="SP1264"/>
      <c r="SQ1264"/>
      <c r="SR1264"/>
      <c r="SS1264"/>
      <c r="ST1264"/>
      <c r="SU1264"/>
      <c r="SV1264"/>
      <c r="SW1264"/>
      <c r="SX1264"/>
      <c r="SY1264"/>
      <c r="SZ1264"/>
      <c r="TA1264"/>
      <c r="TB1264"/>
      <c r="TC1264"/>
      <c r="TD1264"/>
      <c r="TE1264"/>
      <c r="TF1264"/>
      <c r="TG1264"/>
      <c r="TH1264"/>
      <c r="TI1264"/>
      <c r="TJ1264"/>
      <c r="TK1264"/>
      <c r="TL1264"/>
      <c r="TM1264"/>
      <c r="TN1264"/>
      <c r="TO1264"/>
      <c r="TP1264"/>
      <c r="TQ1264"/>
      <c r="TR1264"/>
      <c r="TS1264"/>
      <c r="TT1264"/>
      <c r="TU1264"/>
      <c r="TV1264"/>
      <c r="TW1264"/>
      <c r="TX1264"/>
      <c r="TY1264"/>
      <c r="TZ1264"/>
      <c r="UA1264"/>
      <c r="UB1264"/>
      <c r="UC1264"/>
      <c r="UD1264"/>
      <c r="UE1264"/>
      <c r="UF1264"/>
      <c r="UG1264"/>
      <c r="UH1264"/>
      <c r="UI1264"/>
      <c r="UJ1264"/>
      <c r="UK1264"/>
      <c r="UL1264"/>
      <c r="UM1264"/>
      <c r="UN1264"/>
      <c r="UO1264"/>
      <c r="UP1264"/>
      <c r="UQ1264"/>
      <c r="UR1264"/>
      <c r="US1264"/>
      <c r="UT1264"/>
      <c r="UU1264"/>
      <c r="UV1264"/>
      <c r="UW1264"/>
      <c r="UX1264"/>
      <c r="UY1264"/>
      <c r="UZ1264"/>
      <c r="VA1264"/>
      <c r="VB1264"/>
      <c r="VC1264"/>
      <c r="VD1264"/>
      <c r="VE1264"/>
      <c r="VF1264"/>
      <c r="VG1264"/>
      <c r="VH1264"/>
      <c r="VI1264"/>
      <c r="VJ1264"/>
      <c r="VK1264"/>
      <c r="VL1264"/>
      <c r="VM1264"/>
      <c r="VN1264"/>
      <c r="VO1264"/>
      <c r="VP1264"/>
      <c r="VQ1264"/>
      <c r="VR1264"/>
      <c r="VS1264"/>
      <c r="VT1264"/>
      <c r="VU1264"/>
      <c r="VV1264"/>
      <c r="VW1264"/>
      <c r="VX1264"/>
      <c r="VY1264"/>
      <c r="VZ1264"/>
      <c r="WA1264"/>
      <c r="WB1264"/>
      <c r="WC1264"/>
      <c r="WD1264"/>
      <c r="WE1264"/>
      <c r="WF1264"/>
      <c r="WG1264"/>
      <c r="WH1264"/>
      <c r="WI1264"/>
      <c r="WJ1264"/>
      <c r="WK1264"/>
      <c r="WL1264"/>
      <c r="WM1264"/>
      <c r="WN1264"/>
      <c r="WO1264"/>
      <c r="WP1264"/>
      <c r="WQ1264"/>
      <c r="WR1264"/>
      <c r="WS1264"/>
      <c r="WT1264"/>
      <c r="WU1264"/>
      <c r="WV1264"/>
      <c r="WW1264"/>
      <c r="WX1264"/>
      <c r="WY1264"/>
      <c r="WZ1264"/>
      <c r="XA1264"/>
      <c r="XB1264"/>
      <c r="XC1264"/>
      <c r="XD1264"/>
      <c r="XE1264"/>
      <c r="XF1264"/>
      <c r="XG1264"/>
      <c r="XH1264"/>
      <c r="XI1264"/>
      <c r="XJ1264"/>
      <c r="XK1264"/>
      <c r="XL1264"/>
      <c r="XM1264"/>
      <c r="XN1264"/>
      <c r="XO1264"/>
      <c r="XP1264"/>
      <c r="XQ1264"/>
      <c r="XR1264"/>
      <c r="XS1264"/>
      <c r="XT1264"/>
      <c r="XU1264"/>
      <c r="XV1264"/>
      <c r="XW1264"/>
      <c r="XX1264"/>
      <c r="XY1264"/>
      <c r="XZ1264"/>
      <c r="YA1264"/>
      <c r="YB1264"/>
      <c r="YC1264"/>
      <c r="YD1264"/>
      <c r="YE1264"/>
      <c r="YF1264"/>
      <c r="YG1264"/>
      <c r="YH1264"/>
      <c r="YI1264"/>
      <c r="YJ1264"/>
      <c r="YK1264"/>
      <c r="YL1264"/>
      <c r="YM1264"/>
      <c r="YN1264"/>
      <c r="YO1264"/>
      <c r="YP1264"/>
      <c r="YQ1264"/>
      <c r="YR1264"/>
      <c r="YS1264"/>
      <c r="YT1264"/>
      <c r="YU1264"/>
      <c r="YV1264"/>
      <c r="YW1264"/>
      <c r="YX1264"/>
      <c r="YY1264"/>
      <c r="YZ1264"/>
      <c r="ZA1264"/>
      <c r="ZB1264"/>
      <c r="ZC1264"/>
      <c r="ZD1264"/>
      <c r="ZE1264"/>
      <c r="ZF1264"/>
      <c r="ZG1264"/>
      <c r="ZH1264"/>
      <c r="ZI1264"/>
      <c r="ZJ1264"/>
      <c r="ZK1264"/>
      <c r="ZL1264"/>
      <c r="ZM1264"/>
      <c r="ZN1264"/>
      <c r="ZO1264"/>
      <c r="ZP1264"/>
      <c r="ZQ1264"/>
      <c r="ZR1264"/>
      <c r="ZS1264"/>
      <c r="ZT1264"/>
      <c r="ZU1264"/>
      <c r="ZV1264"/>
      <c r="ZW1264"/>
      <c r="ZX1264"/>
      <c r="ZY1264"/>
      <c r="ZZ1264"/>
      <c r="AAA1264"/>
      <c r="AAB1264"/>
      <c r="AAC1264"/>
      <c r="AAD1264"/>
      <c r="AAE1264"/>
      <c r="AAF1264"/>
      <c r="AAG1264"/>
      <c r="AAH1264"/>
      <c r="AAI1264"/>
      <c r="AAJ1264"/>
      <c r="AAK1264"/>
      <c r="AAL1264"/>
      <c r="AAM1264"/>
      <c r="AAN1264"/>
      <c r="AAO1264"/>
      <c r="AAP1264"/>
      <c r="AAQ1264"/>
      <c r="AAR1264"/>
      <c r="AAS1264"/>
      <c r="AAT1264"/>
      <c r="AAU1264"/>
      <c r="AAV1264"/>
      <c r="AAW1264"/>
      <c r="AAX1264"/>
      <c r="AAY1264"/>
      <c r="AAZ1264"/>
      <c r="ABA1264"/>
      <c r="ABB1264"/>
      <c r="ABC1264"/>
      <c r="ABD1264"/>
      <c r="ABE1264"/>
      <c r="ABF1264"/>
      <c r="ABG1264"/>
      <c r="ABH1264"/>
      <c r="ABI1264"/>
      <c r="ABJ1264"/>
      <c r="ABK1264"/>
      <c r="ABL1264"/>
      <c r="ABM1264"/>
      <c r="ABN1264"/>
      <c r="ABO1264"/>
      <c r="ABP1264"/>
      <c r="ABQ1264"/>
      <c r="ABR1264"/>
      <c r="ABS1264"/>
      <c r="ABT1264"/>
      <c r="ABU1264"/>
      <c r="ABV1264"/>
      <c r="ABW1264"/>
      <c r="ABX1264"/>
      <c r="ABY1264"/>
      <c r="ABZ1264"/>
      <c r="ACA1264"/>
      <c r="ACB1264"/>
      <c r="ACC1264"/>
      <c r="ACD1264"/>
      <c r="ACE1264"/>
      <c r="ACF1264"/>
      <c r="ACG1264"/>
      <c r="ACH1264"/>
      <c r="ACI1264"/>
      <c r="ACJ1264"/>
      <c r="ACK1264"/>
      <c r="ACL1264"/>
      <c r="ACM1264"/>
      <c r="ACN1264"/>
      <c r="ACO1264"/>
      <c r="ACP1264"/>
      <c r="ACQ1264"/>
      <c r="ACR1264"/>
      <c r="ACS1264"/>
      <c r="ACT1264"/>
      <c r="ACU1264"/>
      <c r="ACV1264"/>
      <c r="ACW1264"/>
      <c r="ACX1264"/>
      <c r="ACY1264"/>
      <c r="ACZ1264"/>
      <c r="ADA1264"/>
      <c r="ADB1264"/>
      <c r="ADC1264"/>
      <c r="ADD1264"/>
      <c r="ADE1264"/>
      <c r="ADF1264"/>
      <c r="ADG1264"/>
      <c r="ADH1264"/>
      <c r="ADI1264"/>
      <c r="ADJ1264"/>
      <c r="ADK1264"/>
      <c r="ADL1264"/>
      <c r="ADM1264"/>
      <c r="ADN1264"/>
      <c r="ADO1264"/>
      <c r="ADP1264"/>
      <c r="ADQ1264"/>
      <c r="ADR1264"/>
      <c r="ADS1264"/>
      <c r="ADT1264"/>
      <c r="ADU1264"/>
      <c r="ADV1264"/>
      <c r="ADW1264"/>
      <c r="ADX1264"/>
      <c r="ADY1264"/>
      <c r="ADZ1264"/>
      <c r="AEA1264"/>
      <c r="AEB1264"/>
      <c r="AEC1264"/>
      <c r="AED1264"/>
      <c r="AEE1264"/>
      <c r="AEF1264"/>
      <c r="AEG1264"/>
      <c r="AEH1264"/>
      <c r="AEI1264"/>
      <c r="AEJ1264"/>
      <c r="AEK1264"/>
      <c r="AEL1264"/>
      <c r="AEM1264"/>
      <c r="AEN1264"/>
      <c r="AEO1264"/>
      <c r="AEP1264"/>
      <c r="AEQ1264"/>
      <c r="AER1264"/>
      <c r="AES1264"/>
      <c r="AET1264"/>
      <c r="AEU1264"/>
      <c r="AEV1264"/>
      <c r="AEW1264"/>
      <c r="AEX1264"/>
      <c r="AEY1264"/>
      <c r="AEZ1264"/>
      <c r="AFA1264"/>
      <c r="AFB1264"/>
      <c r="AFC1264"/>
      <c r="AFD1264"/>
      <c r="AFE1264"/>
      <c r="AFF1264"/>
      <c r="AFG1264"/>
      <c r="AFH1264"/>
      <c r="AFI1264"/>
      <c r="AFJ1264"/>
      <c r="AFK1264"/>
      <c r="AFL1264"/>
      <c r="AFM1264"/>
      <c r="AFN1264"/>
      <c r="AFO1264"/>
      <c r="AFP1264"/>
      <c r="AFQ1264"/>
      <c r="AFR1264"/>
      <c r="AFS1264"/>
      <c r="AFT1264"/>
      <c r="AFU1264"/>
      <c r="AFV1264"/>
      <c r="AFW1264"/>
      <c r="AFX1264"/>
      <c r="AFY1264"/>
      <c r="AFZ1264"/>
      <c r="AGA1264"/>
      <c r="AGB1264"/>
      <c r="AGC1264"/>
      <c r="AGD1264"/>
      <c r="AGE1264"/>
      <c r="AGF1264"/>
      <c r="AGG1264"/>
      <c r="AGH1264"/>
      <c r="AGI1264"/>
      <c r="AGJ1264"/>
      <c r="AGK1264"/>
      <c r="AGL1264"/>
      <c r="AGM1264"/>
      <c r="AGN1264"/>
      <c r="AGO1264"/>
      <c r="AGP1264"/>
      <c r="AGQ1264"/>
      <c r="AGR1264"/>
      <c r="AGS1264"/>
      <c r="AGT1264"/>
      <c r="AGU1264"/>
      <c r="AGV1264"/>
      <c r="AGW1264"/>
      <c r="AGX1264"/>
      <c r="AGY1264"/>
      <c r="AGZ1264"/>
      <c r="AHA1264"/>
      <c r="AHB1264"/>
      <c r="AHC1264"/>
      <c r="AHD1264"/>
      <c r="AHE1264"/>
      <c r="AHF1264"/>
      <c r="AHG1264"/>
      <c r="AHH1264"/>
      <c r="AHI1264"/>
      <c r="AHJ1264"/>
      <c r="AHK1264"/>
      <c r="AHL1264"/>
      <c r="AHM1264"/>
      <c r="AHN1264"/>
      <c r="AHO1264"/>
      <c r="AHP1264"/>
      <c r="AHQ1264"/>
      <c r="AHR1264"/>
      <c r="AHS1264"/>
      <c r="AHT1264"/>
      <c r="AHU1264"/>
      <c r="AHV1264"/>
      <c r="AHW1264"/>
      <c r="AHX1264"/>
      <c r="AHY1264"/>
      <c r="AHZ1264"/>
      <c r="AIA1264"/>
      <c r="AIB1264"/>
      <c r="AIC1264"/>
      <c r="AID1264"/>
      <c r="AIE1264"/>
      <c r="AIF1264"/>
      <c r="AIG1264"/>
      <c r="AIH1264"/>
      <c r="AII1264"/>
      <c r="AIJ1264"/>
      <c r="AIK1264"/>
      <c r="AIL1264"/>
      <c r="AIM1264"/>
      <c r="AIN1264"/>
      <c r="AIO1264"/>
      <c r="AIP1264"/>
      <c r="AIQ1264"/>
      <c r="AIR1264"/>
      <c r="AIS1264"/>
      <c r="AIT1264"/>
      <c r="AIU1264"/>
      <c r="AIV1264"/>
      <c r="AIW1264"/>
      <c r="AIX1264"/>
      <c r="AIY1264"/>
      <c r="AIZ1264"/>
      <c r="AJA1264"/>
      <c r="AJB1264"/>
      <c r="AJC1264"/>
      <c r="AJD1264"/>
      <c r="AJE1264"/>
      <c r="AJF1264"/>
      <c r="AJG1264"/>
      <c r="AJH1264"/>
      <c r="AJI1264"/>
      <c r="AJJ1264"/>
      <c r="AJK1264"/>
      <c r="AJL1264"/>
      <c r="AJM1264"/>
      <c r="AJN1264"/>
      <c r="AJO1264"/>
      <c r="AJP1264"/>
      <c r="AJQ1264"/>
      <c r="AJR1264"/>
      <c r="AJS1264"/>
      <c r="AJT1264"/>
      <c r="AJU1264"/>
      <c r="AJV1264"/>
      <c r="AJW1264"/>
      <c r="AJX1264"/>
      <c r="AJY1264"/>
      <c r="AJZ1264"/>
      <c r="AKA1264"/>
      <c r="AKB1264"/>
      <c r="AKC1264"/>
      <c r="AKD1264"/>
      <c r="AKE1264"/>
      <c r="AKF1264"/>
      <c r="AKG1264"/>
      <c r="AKH1264"/>
      <c r="AKI1264"/>
      <c r="AKJ1264"/>
      <c r="AKK1264"/>
      <c r="AKL1264"/>
      <c r="AKM1264"/>
      <c r="AKN1264"/>
      <c r="AKO1264"/>
      <c r="AKP1264"/>
      <c r="AKQ1264"/>
      <c r="AKR1264"/>
      <c r="AKS1264"/>
      <c r="AKT1264"/>
      <c r="AKU1264"/>
      <c r="AKV1264"/>
      <c r="AKW1264"/>
      <c r="AKX1264"/>
      <c r="AKY1264"/>
      <c r="AKZ1264"/>
      <c r="ALA1264"/>
      <c r="ALB1264"/>
      <c r="ALC1264"/>
      <c r="ALD1264"/>
      <c r="ALE1264"/>
      <c r="ALF1264"/>
      <c r="ALG1264"/>
      <c r="ALH1264"/>
      <c r="ALI1264"/>
      <c r="ALJ1264"/>
      <c r="ALK1264"/>
      <c r="ALL1264"/>
      <c r="ALM1264"/>
      <c r="ALN1264"/>
      <c r="ALO1264"/>
      <c r="ALP1264"/>
      <c r="ALQ1264"/>
      <c r="ALR1264"/>
      <c r="ALS1264"/>
      <c r="ALT1264"/>
    </row>
    <row r="1265" spans="1:1008" ht="14">
      <c r="A1265" s="28" t="s">
        <v>3956</v>
      </c>
      <c r="B1265" s="26" t="s">
        <v>3900</v>
      </c>
      <c r="C1265" s="28" t="s">
        <v>3956</v>
      </c>
      <c r="D1265" s="25" t="s">
        <v>13</v>
      </c>
      <c r="E1265" s="28" t="s">
        <v>3956</v>
      </c>
      <c r="F1265" s="28" t="s">
        <v>3957</v>
      </c>
      <c r="G1265" s="28">
        <v>800</v>
      </c>
      <c r="H1265" s="28"/>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c r="AT1265"/>
      <c r="AU1265"/>
      <c r="AV1265"/>
      <c r="AW1265"/>
      <c r="AX1265"/>
      <c r="AY1265"/>
      <c r="AZ1265"/>
      <c r="BA1265"/>
      <c r="BB1265"/>
      <c r="BC1265"/>
      <c r="BD1265"/>
      <c r="BE1265"/>
      <c r="BF1265"/>
      <c r="BG1265"/>
      <c r="BH1265"/>
      <c r="BI1265"/>
      <c r="BJ1265"/>
      <c r="BK1265"/>
      <c r="BL1265"/>
      <c r="BM1265"/>
      <c r="BN1265"/>
      <c r="BO1265"/>
      <c r="BP1265"/>
      <c r="BQ1265"/>
      <c r="BR1265"/>
      <c r="BS1265"/>
      <c r="BT1265"/>
      <c r="BU1265"/>
      <c r="BV1265"/>
      <c r="BW1265"/>
      <c r="BX1265"/>
      <c r="BY1265"/>
      <c r="BZ1265"/>
      <c r="CA1265"/>
      <c r="CB1265"/>
      <c r="CC1265"/>
      <c r="CD1265"/>
      <c r="CE1265"/>
      <c r="CF1265"/>
      <c r="CG1265"/>
      <c r="CH1265"/>
      <c r="CI1265"/>
      <c r="CJ1265"/>
      <c r="CK1265"/>
      <c r="CL1265"/>
      <c r="CM1265"/>
      <c r="CN1265"/>
      <c r="CO1265"/>
      <c r="CP1265"/>
      <c r="CQ1265"/>
      <c r="CR1265"/>
      <c r="CS1265"/>
      <c r="CT1265"/>
      <c r="CU1265"/>
      <c r="CV1265"/>
      <c r="CW1265"/>
      <c r="CX1265"/>
      <c r="CY1265"/>
      <c r="CZ1265"/>
      <c r="DA1265"/>
      <c r="DB1265"/>
      <c r="DC1265"/>
      <c r="DD1265"/>
      <c r="DE1265"/>
      <c r="DF1265"/>
      <c r="DG1265"/>
      <c r="DH1265"/>
      <c r="DI1265"/>
      <c r="DJ1265"/>
      <c r="DK1265"/>
      <c r="DL1265"/>
      <c r="DM1265"/>
      <c r="DN1265"/>
      <c r="DO1265"/>
      <c r="DP1265"/>
      <c r="DQ1265"/>
      <c r="DR1265"/>
      <c r="DS1265"/>
      <c r="DT1265"/>
      <c r="DU1265"/>
      <c r="DV1265"/>
      <c r="DW1265"/>
      <c r="DX1265"/>
      <c r="DY1265"/>
      <c r="DZ1265"/>
      <c r="EA1265"/>
      <c r="EB1265"/>
      <c r="EC1265"/>
      <c r="ED1265"/>
      <c r="EE1265"/>
      <c r="EF1265"/>
      <c r="EG1265"/>
      <c r="EH1265"/>
      <c r="EI1265"/>
      <c r="EJ1265"/>
      <c r="EK1265"/>
      <c r="EL1265"/>
      <c r="EM1265"/>
      <c r="EN1265"/>
      <c r="EO1265"/>
      <c r="EP1265"/>
      <c r="EQ1265"/>
      <c r="ER1265"/>
      <c r="ES1265"/>
      <c r="ET1265"/>
      <c r="EU1265"/>
      <c r="EV1265"/>
      <c r="EW1265"/>
      <c r="EX1265"/>
      <c r="EY1265"/>
      <c r="EZ1265"/>
      <c r="FA1265"/>
      <c r="FB1265"/>
      <c r="FC1265"/>
      <c r="FD1265"/>
      <c r="FE1265"/>
      <c r="FF1265"/>
      <c r="FG1265"/>
      <c r="FH1265"/>
      <c r="FI1265"/>
      <c r="FJ1265"/>
      <c r="FK1265"/>
      <c r="FL1265"/>
      <c r="FM1265"/>
      <c r="FN1265"/>
      <c r="FO1265"/>
      <c r="FP1265"/>
      <c r="FQ1265"/>
      <c r="FR1265"/>
      <c r="FS1265"/>
      <c r="FT1265"/>
      <c r="FU1265"/>
      <c r="FV1265"/>
      <c r="FW1265"/>
      <c r="FX1265"/>
      <c r="FY1265"/>
      <c r="FZ1265"/>
      <c r="GA1265"/>
      <c r="GB1265"/>
      <c r="GC1265"/>
      <c r="GD1265"/>
      <c r="GE1265"/>
      <c r="GF1265"/>
      <c r="GG1265"/>
      <c r="GH1265"/>
      <c r="GI1265"/>
      <c r="GJ1265"/>
      <c r="GK1265"/>
      <c r="GL1265"/>
      <c r="GM1265"/>
      <c r="GN1265"/>
      <c r="GO1265"/>
      <c r="GP1265"/>
      <c r="GQ1265"/>
      <c r="GR1265"/>
      <c r="GS1265"/>
      <c r="GT1265"/>
      <c r="GU1265"/>
      <c r="GV1265"/>
      <c r="GW1265"/>
      <c r="GX1265"/>
      <c r="GY1265"/>
      <c r="GZ1265"/>
      <c r="HA1265"/>
      <c r="HB1265"/>
      <c r="HC1265"/>
      <c r="HD1265"/>
      <c r="HE1265"/>
      <c r="HF1265"/>
      <c r="HG1265"/>
      <c r="HH1265"/>
      <c r="HI1265"/>
      <c r="HJ1265"/>
      <c r="HK1265"/>
      <c r="HL1265"/>
      <c r="HM1265"/>
      <c r="HN1265"/>
      <c r="HO1265"/>
      <c r="HP1265"/>
      <c r="HQ1265"/>
      <c r="HR1265"/>
      <c r="HS1265"/>
      <c r="HT1265"/>
      <c r="HU1265"/>
      <c r="HV1265"/>
      <c r="HW1265"/>
      <c r="HX1265"/>
      <c r="HY1265"/>
      <c r="HZ1265"/>
      <c r="IA1265"/>
      <c r="IB1265"/>
      <c r="IC1265"/>
      <c r="ID1265"/>
      <c r="IE1265"/>
      <c r="IF1265"/>
      <c r="IG1265"/>
      <c r="IH1265"/>
      <c r="II1265"/>
      <c r="IJ1265"/>
      <c r="IK1265"/>
      <c r="IL1265"/>
      <c r="IM1265"/>
      <c r="IN1265"/>
      <c r="IO1265"/>
      <c r="IP1265"/>
      <c r="IQ1265"/>
      <c r="IR1265"/>
      <c r="IS1265"/>
      <c r="IT1265"/>
      <c r="IU1265"/>
      <c r="IV1265"/>
      <c r="IW1265"/>
      <c r="IX1265"/>
      <c r="IY1265"/>
      <c r="IZ1265"/>
      <c r="JA1265"/>
      <c r="JB1265"/>
      <c r="JC1265"/>
      <c r="JD1265"/>
      <c r="JE1265"/>
      <c r="JF1265"/>
      <c r="JG1265"/>
      <c r="JH1265"/>
      <c r="JI1265"/>
      <c r="JJ1265"/>
      <c r="JK1265"/>
      <c r="JL1265"/>
      <c r="JM1265"/>
      <c r="JN1265"/>
      <c r="JO1265"/>
      <c r="JP1265"/>
      <c r="JQ1265"/>
      <c r="JR1265"/>
      <c r="JS1265"/>
      <c r="JT1265"/>
      <c r="JU1265"/>
      <c r="JV1265"/>
      <c r="JW1265"/>
      <c r="JX1265"/>
      <c r="JY1265"/>
      <c r="JZ1265"/>
      <c r="KA1265"/>
      <c r="KB1265"/>
      <c r="KC1265"/>
      <c r="KD1265"/>
      <c r="KE1265"/>
      <c r="KF1265"/>
      <c r="KG1265"/>
      <c r="KH1265"/>
      <c r="KI1265"/>
      <c r="KJ1265"/>
      <c r="KK1265"/>
      <c r="KL1265"/>
      <c r="KM1265"/>
      <c r="KN1265"/>
      <c r="KO1265"/>
      <c r="KP1265"/>
      <c r="KQ1265"/>
      <c r="KR1265"/>
      <c r="KS1265"/>
      <c r="KT1265"/>
      <c r="KU1265"/>
      <c r="KV1265"/>
      <c r="KW1265"/>
      <c r="KX1265"/>
      <c r="KY1265"/>
      <c r="KZ1265"/>
      <c r="LA1265"/>
      <c r="LB1265"/>
      <c r="LC1265"/>
      <c r="LD1265"/>
      <c r="LE1265"/>
      <c r="LF1265"/>
      <c r="LG1265"/>
      <c r="LH1265"/>
      <c r="LI1265"/>
      <c r="LJ1265"/>
      <c r="LK1265"/>
      <c r="LL1265"/>
      <c r="LM1265"/>
      <c r="LN1265"/>
      <c r="LO1265"/>
      <c r="LP1265"/>
      <c r="LQ1265"/>
      <c r="LR1265"/>
      <c r="LS1265"/>
      <c r="LT1265"/>
      <c r="LU1265"/>
      <c r="LV1265"/>
      <c r="LW1265"/>
      <c r="LX1265"/>
      <c r="LY1265"/>
      <c r="LZ1265"/>
      <c r="MA1265"/>
      <c r="MB1265"/>
      <c r="MC1265"/>
      <c r="MD1265"/>
      <c r="ME1265"/>
      <c r="MF1265"/>
      <c r="MG1265"/>
      <c r="MH1265"/>
      <c r="MI1265"/>
      <c r="MJ1265"/>
      <c r="MK1265"/>
      <c r="ML1265"/>
      <c r="MM1265"/>
      <c r="MN1265"/>
      <c r="MO1265"/>
      <c r="MP1265"/>
      <c r="MQ1265"/>
      <c r="MR1265"/>
      <c r="MS1265"/>
      <c r="MT1265"/>
      <c r="MU1265"/>
      <c r="MV1265"/>
      <c r="MW1265"/>
      <c r="MX1265"/>
      <c r="MY1265"/>
      <c r="MZ1265"/>
      <c r="NA1265"/>
      <c r="NB1265"/>
      <c r="NC1265"/>
      <c r="ND1265"/>
      <c r="NE1265"/>
      <c r="NF1265"/>
      <c r="NG1265"/>
      <c r="NH1265"/>
      <c r="NI1265"/>
      <c r="NJ1265"/>
      <c r="NK1265"/>
      <c r="NL1265"/>
      <c r="NM1265"/>
      <c r="NN1265"/>
      <c r="NO1265"/>
      <c r="NP1265"/>
      <c r="NQ1265"/>
      <c r="NR1265"/>
      <c r="NS1265"/>
      <c r="NT1265"/>
      <c r="NU1265"/>
      <c r="NV1265"/>
      <c r="NW1265"/>
      <c r="NX1265"/>
      <c r="NY1265"/>
      <c r="NZ1265"/>
      <c r="OA1265"/>
      <c r="OB1265"/>
      <c r="OC1265"/>
      <c r="OD1265"/>
      <c r="OE1265"/>
      <c r="OF1265"/>
      <c r="OG1265"/>
      <c r="OH1265"/>
      <c r="OI1265"/>
      <c r="OJ1265"/>
      <c r="OK1265"/>
      <c r="OL1265"/>
      <c r="OM1265"/>
      <c r="ON1265"/>
      <c r="OO1265"/>
      <c r="OP1265"/>
      <c r="OQ1265"/>
      <c r="OR1265"/>
      <c r="OS1265"/>
      <c r="OT1265"/>
      <c r="OU1265"/>
      <c r="OV1265"/>
      <c r="OW1265"/>
      <c r="OX1265"/>
      <c r="OY1265"/>
      <c r="OZ1265"/>
      <c r="PA1265"/>
      <c r="PB1265"/>
      <c r="PC1265"/>
      <c r="PD1265"/>
      <c r="PE1265"/>
      <c r="PF1265"/>
      <c r="PG1265"/>
      <c r="PH1265"/>
      <c r="PI1265"/>
      <c r="PJ1265"/>
      <c r="PK1265"/>
      <c r="PL1265"/>
      <c r="PM1265"/>
      <c r="PN1265"/>
      <c r="PO1265"/>
      <c r="PP1265"/>
      <c r="PQ1265"/>
      <c r="PR1265"/>
      <c r="PS1265"/>
      <c r="PT1265"/>
      <c r="PU1265"/>
      <c r="PV1265"/>
      <c r="PW1265"/>
      <c r="PX1265"/>
      <c r="PY1265"/>
      <c r="PZ1265"/>
      <c r="QA1265"/>
      <c r="QB1265"/>
      <c r="QC1265"/>
      <c r="QD1265"/>
      <c r="QE1265"/>
      <c r="QF1265"/>
      <c r="QG1265"/>
      <c r="QH1265"/>
      <c r="QI1265"/>
      <c r="QJ1265"/>
      <c r="QK1265"/>
      <c r="QL1265"/>
      <c r="QM1265"/>
      <c r="QN1265"/>
      <c r="QO1265"/>
      <c r="QP1265"/>
      <c r="QQ1265"/>
      <c r="QR1265"/>
      <c r="QS1265"/>
      <c r="QT1265"/>
      <c r="QU1265"/>
      <c r="QV1265"/>
      <c r="QW1265"/>
      <c r="QX1265"/>
      <c r="QY1265"/>
      <c r="QZ1265"/>
      <c r="RA1265"/>
      <c r="RB1265"/>
      <c r="RC1265"/>
      <c r="RD1265"/>
      <c r="RE1265"/>
      <c r="RF1265"/>
      <c r="RG1265"/>
      <c r="RH1265"/>
      <c r="RI1265"/>
      <c r="RJ1265"/>
      <c r="RK1265"/>
      <c r="RL1265"/>
      <c r="RM1265"/>
      <c r="RN1265"/>
      <c r="RO1265"/>
      <c r="RP1265"/>
      <c r="RQ1265"/>
      <c r="RR1265"/>
      <c r="RS1265"/>
      <c r="RT1265"/>
      <c r="RU1265"/>
      <c r="RV1265"/>
      <c r="RW1265"/>
      <c r="RX1265"/>
      <c r="RY1265"/>
      <c r="RZ1265"/>
      <c r="SA1265"/>
      <c r="SB1265"/>
      <c r="SC1265"/>
      <c r="SD1265"/>
      <c r="SE1265"/>
      <c r="SF1265"/>
      <c r="SG1265"/>
      <c r="SH1265"/>
      <c r="SI1265"/>
      <c r="SJ1265"/>
      <c r="SK1265"/>
      <c r="SL1265"/>
      <c r="SM1265"/>
      <c r="SN1265"/>
      <c r="SO1265"/>
      <c r="SP1265"/>
      <c r="SQ1265"/>
      <c r="SR1265"/>
      <c r="SS1265"/>
      <c r="ST1265"/>
      <c r="SU1265"/>
      <c r="SV1265"/>
      <c r="SW1265"/>
      <c r="SX1265"/>
      <c r="SY1265"/>
      <c r="SZ1265"/>
      <c r="TA1265"/>
      <c r="TB1265"/>
      <c r="TC1265"/>
      <c r="TD1265"/>
      <c r="TE1265"/>
      <c r="TF1265"/>
      <c r="TG1265"/>
      <c r="TH1265"/>
      <c r="TI1265"/>
      <c r="TJ1265"/>
      <c r="TK1265"/>
      <c r="TL1265"/>
      <c r="TM1265"/>
      <c r="TN1265"/>
      <c r="TO1265"/>
      <c r="TP1265"/>
      <c r="TQ1265"/>
      <c r="TR1265"/>
      <c r="TS1265"/>
      <c r="TT1265"/>
      <c r="TU1265"/>
      <c r="TV1265"/>
      <c r="TW1265"/>
      <c r="TX1265"/>
      <c r="TY1265"/>
      <c r="TZ1265"/>
      <c r="UA1265"/>
      <c r="UB1265"/>
      <c r="UC1265"/>
      <c r="UD1265"/>
      <c r="UE1265"/>
      <c r="UF1265"/>
      <c r="UG1265"/>
      <c r="UH1265"/>
      <c r="UI1265"/>
      <c r="UJ1265"/>
      <c r="UK1265"/>
      <c r="UL1265"/>
      <c r="UM1265"/>
      <c r="UN1265"/>
      <c r="UO1265"/>
      <c r="UP1265"/>
      <c r="UQ1265"/>
      <c r="UR1265"/>
      <c r="US1265"/>
      <c r="UT1265"/>
      <c r="UU1265"/>
      <c r="UV1265"/>
      <c r="UW1265"/>
      <c r="UX1265"/>
      <c r="UY1265"/>
      <c r="UZ1265"/>
      <c r="VA1265"/>
      <c r="VB1265"/>
      <c r="VC1265"/>
      <c r="VD1265"/>
      <c r="VE1265"/>
      <c r="VF1265"/>
      <c r="VG1265"/>
      <c r="VH1265"/>
      <c r="VI1265"/>
      <c r="VJ1265"/>
      <c r="VK1265"/>
      <c r="VL1265"/>
      <c r="VM1265"/>
      <c r="VN1265"/>
      <c r="VO1265"/>
      <c r="VP1265"/>
      <c r="VQ1265"/>
      <c r="VR1265"/>
      <c r="VS1265"/>
      <c r="VT1265"/>
      <c r="VU1265"/>
      <c r="VV1265"/>
      <c r="VW1265"/>
      <c r="VX1265"/>
      <c r="VY1265"/>
      <c r="VZ1265"/>
      <c r="WA1265"/>
      <c r="WB1265"/>
      <c r="WC1265"/>
      <c r="WD1265"/>
      <c r="WE1265"/>
      <c r="WF1265"/>
      <c r="WG1265"/>
      <c r="WH1265"/>
      <c r="WI1265"/>
      <c r="WJ1265"/>
      <c r="WK1265"/>
      <c r="WL1265"/>
      <c r="WM1265"/>
      <c r="WN1265"/>
      <c r="WO1265"/>
      <c r="WP1265"/>
      <c r="WQ1265"/>
      <c r="WR1265"/>
      <c r="WS1265"/>
      <c r="WT1265"/>
      <c r="WU1265"/>
      <c r="WV1265"/>
      <c r="WW1265"/>
      <c r="WX1265"/>
      <c r="WY1265"/>
      <c r="WZ1265"/>
      <c r="XA1265"/>
      <c r="XB1265"/>
      <c r="XC1265"/>
      <c r="XD1265"/>
      <c r="XE1265"/>
      <c r="XF1265"/>
      <c r="XG1265"/>
      <c r="XH1265"/>
      <c r="XI1265"/>
      <c r="XJ1265"/>
      <c r="XK1265"/>
      <c r="XL1265"/>
      <c r="XM1265"/>
      <c r="XN1265"/>
      <c r="XO1265"/>
      <c r="XP1265"/>
      <c r="XQ1265"/>
      <c r="XR1265"/>
      <c r="XS1265"/>
      <c r="XT1265"/>
      <c r="XU1265"/>
      <c r="XV1265"/>
      <c r="XW1265"/>
      <c r="XX1265"/>
      <c r="XY1265"/>
      <c r="XZ1265"/>
      <c r="YA1265"/>
      <c r="YB1265"/>
      <c r="YC1265"/>
      <c r="YD1265"/>
      <c r="YE1265"/>
      <c r="YF1265"/>
      <c r="YG1265"/>
      <c r="YH1265"/>
      <c r="YI1265"/>
      <c r="YJ1265"/>
      <c r="YK1265"/>
      <c r="YL1265"/>
      <c r="YM1265"/>
      <c r="YN1265"/>
      <c r="YO1265"/>
      <c r="YP1265"/>
      <c r="YQ1265"/>
      <c r="YR1265"/>
      <c r="YS1265"/>
      <c r="YT1265"/>
      <c r="YU1265"/>
      <c r="YV1265"/>
      <c r="YW1265"/>
      <c r="YX1265"/>
      <c r="YY1265"/>
      <c r="YZ1265"/>
      <c r="ZA1265"/>
      <c r="ZB1265"/>
      <c r="ZC1265"/>
      <c r="ZD1265"/>
      <c r="ZE1265"/>
      <c r="ZF1265"/>
      <c r="ZG1265"/>
      <c r="ZH1265"/>
      <c r="ZI1265"/>
      <c r="ZJ1265"/>
      <c r="ZK1265"/>
      <c r="ZL1265"/>
      <c r="ZM1265"/>
      <c r="ZN1265"/>
      <c r="ZO1265"/>
      <c r="ZP1265"/>
      <c r="ZQ1265"/>
      <c r="ZR1265"/>
      <c r="ZS1265"/>
      <c r="ZT1265"/>
      <c r="ZU1265"/>
      <c r="ZV1265"/>
      <c r="ZW1265"/>
      <c r="ZX1265"/>
      <c r="ZY1265"/>
      <c r="ZZ1265"/>
      <c r="AAA1265"/>
      <c r="AAB1265"/>
      <c r="AAC1265"/>
      <c r="AAD1265"/>
      <c r="AAE1265"/>
      <c r="AAF1265"/>
      <c r="AAG1265"/>
      <c r="AAH1265"/>
      <c r="AAI1265"/>
      <c r="AAJ1265"/>
      <c r="AAK1265"/>
      <c r="AAL1265"/>
      <c r="AAM1265"/>
      <c r="AAN1265"/>
      <c r="AAO1265"/>
      <c r="AAP1265"/>
      <c r="AAQ1265"/>
      <c r="AAR1265"/>
      <c r="AAS1265"/>
      <c r="AAT1265"/>
      <c r="AAU1265"/>
      <c r="AAV1265"/>
      <c r="AAW1265"/>
      <c r="AAX1265"/>
      <c r="AAY1265"/>
      <c r="AAZ1265"/>
      <c r="ABA1265"/>
      <c r="ABB1265"/>
      <c r="ABC1265"/>
      <c r="ABD1265"/>
      <c r="ABE1265"/>
      <c r="ABF1265"/>
      <c r="ABG1265"/>
      <c r="ABH1265"/>
      <c r="ABI1265"/>
      <c r="ABJ1265"/>
      <c r="ABK1265"/>
      <c r="ABL1265"/>
      <c r="ABM1265"/>
      <c r="ABN1265"/>
      <c r="ABO1265"/>
      <c r="ABP1265"/>
      <c r="ABQ1265"/>
      <c r="ABR1265"/>
      <c r="ABS1265"/>
      <c r="ABT1265"/>
      <c r="ABU1265"/>
      <c r="ABV1265"/>
      <c r="ABW1265"/>
      <c r="ABX1265"/>
      <c r="ABY1265"/>
      <c r="ABZ1265"/>
      <c r="ACA1265"/>
      <c r="ACB1265"/>
      <c r="ACC1265"/>
      <c r="ACD1265"/>
      <c r="ACE1265"/>
      <c r="ACF1265"/>
      <c r="ACG1265"/>
      <c r="ACH1265"/>
      <c r="ACI1265"/>
      <c r="ACJ1265"/>
      <c r="ACK1265"/>
      <c r="ACL1265"/>
      <c r="ACM1265"/>
      <c r="ACN1265"/>
      <c r="ACO1265"/>
      <c r="ACP1265"/>
      <c r="ACQ1265"/>
      <c r="ACR1265"/>
      <c r="ACS1265"/>
      <c r="ACT1265"/>
      <c r="ACU1265"/>
      <c r="ACV1265"/>
      <c r="ACW1265"/>
      <c r="ACX1265"/>
      <c r="ACY1265"/>
      <c r="ACZ1265"/>
      <c r="ADA1265"/>
      <c r="ADB1265"/>
      <c r="ADC1265"/>
      <c r="ADD1265"/>
      <c r="ADE1265"/>
      <c r="ADF1265"/>
      <c r="ADG1265"/>
      <c r="ADH1265"/>
      <c r="ADI1265"/>
      <c r="ADJ1265"/>
      <c r="ADK1265"/>
      <c r="ADL1265"/>
      <c r="ADM1265"/>
      <c r="ADN1265"/>
      <c r="ADO1265"/>
      <c r="ADP1265"/>
      <c r="ADQ1265"/>
      <c r="ADR1265"/>
      <c r="ADS1265"/>
      <c r="ADT1265"/>
      <c r="ADU1265"/>
      <c r="ADV1265"/>
      <c r="ADW1265"/>
      <c r="ADX1265"/>
      <c r="ADY1265"/>
      <c r="ADZ1265"/>
      <c r="AEA1265"/>
      <c r="AEB1265"/>
      <c r="AEC1265"/>
      <c r="AED1265"/>
      <c r="AEE1265"/>
      <c r="AEF1265"/>
      <c r="AEG1265"/>
      <c r="AEH1265"/>
      <c r="AEI1265"/>
      <c r="AEJ1265"/>
      <c r="AEK1265"/>
      <c r="AEL1265"/>
      <c r="AEM1265"/>
      <c r="AEN1265"/>
      <c r="AEO1265"/>
      <c r="AEP1265"/>
      <c r="AEQ1265"/>
      <c r="AER1265"/>
      <c r="AES1265"/>
      <c r="AET1265"/>
      <c r="AEU1265"/>
      <c r="AEV1265"/>
      <c r="AEW1265"/>
      <c r="AEX1265"/>
      <c r="AEY1265"/>
      <c r="AEZ1265"/>
      <c r="AFA1265"/>
      <c r="AFB1265"/>
      <c r="AFC1265"/>
      <c r="AFD1265"/>
      <c r="AFE1265"/>
      <c r="AFF1265"/>
      <c r="AFG1265"/>
      <c r="AFH1265"/>
      <c r="AFI1265"/>
      <c r="AFJ1265"/>
      <c r="AFK1265"/>
      <c r="AFL1265"/>
      <c r="AFM1265"/>
      <c r="AFN1265"/>
      <c r="AFO1265"/>
      <c r="AFP1265"/>
      <c r="AFQ1265"/>
      <c r="AFR1265"/>
      <c r="AFS1265"/>
      <c r="AFT1265"/>
      <c r="AFU1265"/>
      <c r="AFV1265"/>
      <c r="AFW1265"/>
      <c r="AFX1265"/>
      <c r="AFY1265"/>
      <c r="AFZ1265"/>
      <c r="AGA1265"/>
      <c r="AGB1265"/>
      <c r="AGC1265"/>
      <c r="AGD1265"/>
      <c r="AGE1265"/>
      <c r="AGF1265"/>
      <c r="AGG1265"/>
      <c r="AGH1265"/>
      <c r="AGI1265"/>
      <c r="AGJ1265"/>
      <c r="AGK1265"/>
      <c r="AGL1265"/>
      <c r="AGM1265"/>
      <c r="AGN1265"/>
      <c r="AGO1265"/>
      <c r="AGP1265"/>
      <c r="AGQ1265"/>
      <c r="AGR1265"/>
      <c r="AGS1265"/>
      <c r="AGT1265"/>
      <c r="AGU1265"/>
      <c r="AGV1265"/>
      <c r="AGW1265"/>
      <c r="AGX1265"/>
      <c r="AGY1265"/>
      <c r="AGZ1265"/>
      <c r="AHA1265"/>
      <c r="AHB1265"/>
      <c r="AHC1265"/>
      <c r="AHD1265"/>
      <c r="AHE1265"/>
      <c r="AHF1265"/>
      <c r="AHG1265"/>
      <c r="AHH1265"/>
      <c r="AHI1265"/>
      <c r="AHJ1265"/>
      <c r="AHK1265"/>
      <c r="AHL1265"/>
      <c r="AHM1265"/>
      <c r="AHN1265"/>
      <c r="AHO1265"/>
      <c r="AHP1265"/>
      <c r="AHQ1265"/>
      <c r="AHR1265"/>
      <c r="AHS1265"/>
      <c r="AHT1265"/>
      <c r="AHU1265"/>
      <c r="AHV1265"/>
      <c r="AHW1265"/>
      <c r="AHX1265"/>
      <c r="AHY1265"/>
      <c r="AHZ1265"/>
      <c r="AIA1265"/>
      <c r="AIB1265"/>
      <c r="AIC1265"/>
      <c r="AID1265"/>
      <c r="AIE1265"/>
      <c r="AIF1265"/>
      <c r="AIG1265"/>
      <c r="AIH1265"/>
      <c r="AII1265"/>
      <c r="AIJ1265"/>
      <c r="AIK1265"/>
      <c r="AIL1265"/>
      <c r="AIM1265"/>
      <c r="AIN1265"/>
      <c r="AIO1265"/>
      <c r="AIP1265"/>
      <c r="AIQ1265"/>
      <c r="AIR1265"/>
      <c r="AIS1265"/>
      <c r="AIT1265"/>
      <c r="AIU1265"/>
      <c r="AIV1265"/>
      <c r="AIW1265"/>
      <c r="AIX1265"/>
      <c r="AIY1265"/>
      <c r="AIZ1265"/>
      <c r="AJA1265"/>
      <c r="AJB1265"/>
      <c r="AJC1265"/>
      <c r="AJD1265"/>
      <c r="AJE1265"/>
      <c r="AJF1265"/>
      <c r="AJG1265"/>
      <c r="AJH1265"/>
      <c r="AJI1265"/>
      <c r="AJJ1265"/>
      <c r="AJK1265"/>
      <c r="AJL1265"/>
      <c r="AJM1265"/>
      <c r="AJN1265"/>
      <c r="AJO1265"/>
      <c r="AJP1265"/>
      <c r="AJQ1265"/>
      <c r="AJR1265"/>
      <c r="AJS1265"/>
      <c r="AJT1265"/>
      <c r="AJU1265"/>
      <c r="AJV1265"/>
      <c r="AJW1265"/>
      <c r="AJX1265"/>
      <c r="AJY1265"/>
      <c r="AJZ1265"/>
      <c r="AKA1265"/>
      <c r="AKB1265"/>
      <c r="AKC1265"/>
      <c r="AKD1265"/>
      <c r="AKE1265"/>
      <c r="AKF1265"/>
      <c r="AKG1265"/>
      <c r="AKH1265"/>
      <c r="AKI1265"/>
      <c r="AKJ1265"/>
      <c r="AKK1265"/>
      <c r="AKL1265"/>
      <c r="AKM1265"/>
      <c r="AKN1265"/>
      <c r="AKO1265"/>
      <c r="AKP1265"/>
      <c r="AKQ1265"/>
      <c r="AKR1265"/>
      <c r="AKS1265"/>
      <c r="AKT1265"/>
      <c r="AKU1265"/>
      <c r="AKV1265"/>
      <c r="AKW1265"/>
      <c r="AKX1265"/>
      <c r="AKY1265"/>
      <c r="AKZ1265"/>
      <c r="ALA1265"/>
      <c r="ALB1265"/>
      <c r="ALC1265"/>
      <c r="ALD1265"/>
      <c r="ALE1265"/>
      <c r="ALF1265"/>
      <c r="ALG1265"/>
      <c r="ALH1265"/>
      <c r="ALI1265"/>
      <c r="ALJ1265"/>
      <c r="ALK1265"/>
      <c r="ALL1265"/>
      <c r="ALM1265"/>
      <c r="ALN1265"/>
      <c r="ALO1265"/>
      <c r="ALP1265"/>
      <c r="ALQ1265"/>
      <c r="ALR1265"/>
      <c r="ALS1265"/>
      <c r="ALT1265"/>
    </row>
    <row r="1266" spans="1:1008" ht="14">
      <c r="A1266" s="28" t="s">
        <v>3958</v>
      </c>
      <c r="B1266" s="26" t="s">
        <v>3900</v>
      </c>
      <c r="C1266" s="28" t="s">
        <v>3958</v>
      </c>
      <c r="D1266" s="25" t="s">
        <v>13</v>
      </c>
      <c r="E1266" s="28" t="s">
        <v>3958</v>
      </c>
      <c r="F1266" s="28" t="s">
        <v>3959</v>
      </c>
      <c r="G1266" s="28">
        <v>500</v>
      </c>
      <c r="H1266" s="28"/>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c r="AT1266"/>
      <c r="AU1266"/>
      <c r="AV1266"/>
      <c r="AW1266"/>
      <c r="AX1266"/>
      <c r="AY1266"/>
      <c r="AZ1266"/>
      <c r="BA1266"/>
      <c r="BB1266"/>
      <c r="BC1266"/>
      <c r="BD1266"/>
      <c r="BE1266"/>
      <c r="BF1266"/>
      <c r="BG1266"/>
      <c r="BH1266"/>
      <c r="BI1266"/>
      <c r="BJ1266"/>
      <c r="BK1266"/>
      <c r="BL1266"/>
      <c r="BM1266"/>
      <c r="BN1266"/>
      <c r="BO1266"/>
      <c r="BP1266"/>
      <c r="BQ1266"/>
      <c r="BR1266"/>
      <c r="BS1266"/>
      <c r="BT1266"/>
      <c r="BU1266"/>
      <c r="BV1266"/>
      <c r="BW1266"/>
      <c r="BX1266"/>
      <c r="BY1266"/>
      <c r="BZ1266"/>
      <c r="CA1266"/>
      <c r="CB1266"/>
      <c r="CC1266"/>
      <c r="CD1266"/>
      <c r="CE1266"/>
      <c r="CF1266"/>
      <c r="CG1266"/>
      <c r="CH1266"/>
      <c r="CI1266"/>
      <c r="CJ1266"/>
      <c r="CK1266"/>
      <c r="CL1266"/>
      <c r="CM1266"/>
      <c r="CN1266"/>
      <c r="CO1266"/>
      <c r="CP1266"/>
      <c r="CQ1266"/>
      <c r="CR1266"/>
      <c r="CS1266"/>
      <c r="CT1266"/>
      <c r="CU1266"/>
      <c r="CV1266"/>
      <c r="CW1266"/>
      <c r="CX1266"/>
      <c r="CY1266"/>
      <c r="CZ1266"/>
      <c r="DA1266"/>
      <c r="DB1266"/>
      <c r="DC1266"/>
      <c r="DD1266"/>
      <c r="DE1266"/>
      <c r="DF1266"/>
      <c r="DG1266"/>
      <c r="DH1266"/>
      <c r="DI1266"/>
      <c r="DJ1266"/>
      <c r="DK1266"/>
      <c r="DL1266"/>
      <c r="DM1266"/>
      <c r="DN1266"/>
      <c r="DO1266"/>
      <c r="DP1266"/>
      <c r="DQ1266"/>
      <c r="DR1266"/>
      <c r="DS1266"/>
      <c r="DT1266"/>
      <c r="DU1266"/>
      <c r="DV1266"/>
      <c r="DW1266"/>
      <c r="DX1266"/>
      <c r="DY1266"/>
      <c r="DZ1266"/>
      <c r="EA1266"/>
      <c r="EB1266"/>
      <c r="EC1266"/>
      <c r="ED1266"/>
      <c r="EE1266"/>
      <c r="EF1266"/>
      <c r="EG1266"/>
      <c r="EH1266"/>
      <c r="EI1266"/>
      <c r="EJ1266"/>
      <c r="EK1266"/>
      <c r="EL1266"/>
      <c r="EM1266"/>
      <c r="EN1266"/>
      <c r="EO1266"/>
      <c r="EP1266"/>
      <c r="EQ1266"/>
      <c r="ER1266"/>
      <c r="ES1266"/>
      <c r="ET1266"/>
      <c r="EU1266"/>
      <c r="EV1266"/>
      <c r="EW1266"/>
      <c r="EX1266"/>
      <c r="EY1266"/>
      <c r="EZ1266"/>
      <c r="FA1266"/>
      <c r="FB1266"/>
      <c r="FC1266"/>
      <c r="FD1266"/>
      <c r="FE1266"/>
      <c r="FF1266"/>
      <c r="FG1266"/>
      <c r="FH1266"/>
      <c r="FI1266"/>
      <c r="FJ1266"/>
      <c r="FK1266"/>
      <c r="FL1266"/>
      <c r="FM1266"/>
      <c r="FN1266"/>
      <c r="FO1266"/>
      <c r="FP1266"/>
      <c r="FQ1266"/>
      <c r="FR1266"/>
      <c r="FS1266"/>
      <c r="FT1266"/>
      <c r="FU1266"/>
      <c r="FV1266"/>
      <c r="FW1266"/>
      <c r="FX1266"/>
      <c r="FY1266"/>
      <c r="FZ1266"/>
      <c r="GA1266"/>
      <c r="GB1266"/>
      <c r="GC1266"/>
      <c r="GD1266"/>
      <c r="GE1266"/>
      <c r="GF1266"/>
      <c r="GG1266"/>
      <c r="GH1266"/>
      <c r="GI1266"/>
      <c r="GJ1266"/>
      <c r="GK1266"/>
      <c r="GL1266"/>
      <c r="GM1266"/>
      <c r="GN1266"/>
      <c r="GO1266"/>
      <c r="GP1266"/>
      <c r="GQ1266"/>
      <c r="GR1266"/>
      <c r="GS1266"/>
      <c r="GT1266"/>
      <c r="GU1266"/>
      <c r="GV1266"/>
      <c r="GW1266"/>
      <c r="GX1266"/>
      <c r="GY1266"/>
      <c r="GZ1266"/>
      <c r="HA1266"/>
      <c r="HB1266"/>
      <c r="HC1266"/>
      <c r="HD1266"/>
      <c r="HE1266"/>
      <c r="HF1266"/>
      <c r="HG1266"/>
      <c r="HH1266"/>
      <c r="HI1266"/>
      <c r="HJ1266"/>
      <c r="HK1266"/>
      <c r="HL1266"/>
      <c r="HM1266"/>
      <c r="HN1266"/>
      <c r="HO1266"/>
      <c r="HP1266"/>
      <c r="HQ1266"/>
      <c r="HR1266"/>
      <c r="HS1266"/>
      <c r="HT1266"/>
      <c r="HU1266"/>
      <c r="HV1266"/>
      <c r="HW1266"/>
      <c r="HX1266"/>
      <c r="HY1266"/>
      <c r="HZ1266"/>
      <c r="IA1266"/>
      <c r="IB1266"/>
      <c r="IC1266"/>
      <c r="ID1266"/>
      <c r="IE1266"/>
      <c r="IF1266"/>
      <c r="IG1266"/>
      <c r="IH1266"/>
      <c r="II1266"/>
      <c r="IJ1266"/>
      <c r="IK1266"/>
      <c r="IL1266"/>
      <c r="IM1266"/>
      <c r="IN1266"/>
      <c r="IO1266"/>
      <c r="IP1266"/>
      <c r="IQ1266"/>
      <c r="IR1266"/>
      <c r="IS1266"/>
      <c r="IT1266"/>
      <c r="IU1266"/>
      <c r="IV1266"/>
      <c r="IW1266"/>
      <c r="IX1266"/>
      <c r="IY1266"/>
      <c r="IZ1266"/>
      <c r="JA1266"/>
      <c r="JB1266"/>
      <c r="JC1266"/>
      <c r="JD1266"/>
      <c r="JE1266"/>
      <c r="JF1266"/>
      <c r="JG1266"/>
      <c r="JH1266"/>
      <c r="JI1266"/>
      <c r="JJ1266"/>
      <c r="JK1266"/>
      <c r="JL1266"/>
      <c r="JM1266"/>
      <c r="JN1266"/>
      <c r="JO1266"/>
      <c r="JP1266"/>
      <c r="JQ1266"/>
      <c r="JR1266"/>
      <c r="JS1266"/>
      <c r="JT1266"/>
      <c r="JU1266"/>
      <c r="JV1266"/>
      <c r="JW1266"/>
      <c r="JX1266"/>
      <c r="JY1266"/>
      <c r="JZ1266"/>
      <c r="KA1266"/>
      <c r="KB1266"/>
      <c r="KC1266"/>
      <c r="KD1266"/>
      <c r="KE1266"/>
      <c r="KF1266"/>
      <c r="KG1266"/>
      <c r="KH1266"/>
      <c r="KI1266"/>
      <c r="KJ1266"/>
      <c r="KK1266"/>
      <c r="KL1266"/>
      <c r="KM1266"/>
      <c r="KN1266"/>
      <c r="KO1266"/>
      <c r="KP1266"/>
      <c r="KQ1266"/>
      <c r="KR1266"/>
      <c r="KS1266"/>
      <c r="KT1266"/>
      <c r="KU1266"/>
      <c r="KV1266"/>
      <c r="KW1266"/>
      <c r="KX1266"/>
      <c r="KY1266"/>
      <c r="KZ1266"/>
      <c r="LA1266"/>
      <c r="LB1266"/>
      <c r="LC1266"/>
      <c r="LD1266"/>
      <c r="LE1266"/>
      <c r="LF1266"/>
      <c r="LG1266"/>
      <c r="LH1266"/>
      <c r="LI1266"/>
      <c r="LJ1266"/>
      <c r="LK1266"/>
      <c r="LL1266"/>
      <c r="LM1266"/>
      <c r="LN1266"/>
      <c r="LO1266"/>
      <c r="LP1266"/>
      <c r="LQ1266"/>
      <c r="LR1266"/>
      <c r="LS1266"/>
      <c r="LT1266"/>
      <c r="LU1266"/>
      <c r="LV1266"/>
      <c r="LW1266"/>
      <c r="LX1266"/>
      <c r="LY1266"/>
      <c r="LZ1266"/>
      <c r="MA1266"/>
      <c r="MB1266"/>
      <c r="MC1266"/>
      <c r="MD1266"/>
      <c r="ME1266"/>
      <c r="MF1266"/>
      <c r="MG1266"/>
      <c r="MH1266"/>
      <c r="MI1266"/>
      <c r="MJ1266"/>
      <c r="MK1266"/>
      <c r="ML1266"/>
      <c r="MM1266"/>
      <c r="MN1266"/>
      <c r="MO1266"/>
      <c r="MP1266"/>
      <c r="MQ1266"/>
      <c r="MR1266"/>
      <c r="MS1266"/>
      <c r="MT1266"/>
      <c r="MU1266"/>
      <c r="MV1266"/>
      <c r="MW1266"/>
      <c r="MX1266"/>
      <c r="MY1266"/>
      <c r="MZ1266"/>
      <c r="NA1266"/>
      <c r="NB1266"/>
      <c r="NC1266"/>
      <c r="ND1266"/>
      <c r="NE1266"/>
      <c r="NF1266"/>
      <c r="NG1266"/>
      <c r="NH1266"/>
      <c r="NI1266"/>
      <c r="NJ1266"/>
      <c r="NK1266"/>
      <c r="NL1266"/>
      <c r="NM1266"/>
      <c r="NN1266"/>
      <c r="NO1266"/>
      <c r="NP1266"/>
      <c r="NQ1266"/>
      <c r="NR1266"/>
      <c r="NS1266"/>
      <c r="NT1266"/>
      <c r="NU1266"/>
      <c r="NV1266"/>
      <c r="NW1266"/>
      <c r="NX1266"/>
      <c r="NY1266"/>
      <c r="NZ1266"/>
      <c r="OA1266"/>
      <c r="OB1266"/>
      <c r="OC1266"/>
      <c r="OD1266"/>
      <c r="OE1266"/>
      <c r="OF1266"/>
      <c r="OG1266"/>
      <c r="OH1266"/>
      <c r="OI1266"/>
      <c r="OJ1266"/>
      <c r="OK1266"/>
      <c r="OL1266"/>
      <c r="OM1266"/>
      <c r="ON1266"/>
      <c r="OO1266"/>
      <c r="OP1266"/>
      <c r="OQ1266"/>
      <c r="OR1266"/>
      <c r="OS1266"/>
      <c r="OT1266"/>
      <c r="OU1266"/>
      <c r="OV1266"/>
      <c r="OW1266"/>
      <c r="OX1266"/>
      <c r="OY1266"/>
      <c r="OZ1266"/>
      <c r="PA1266"/>
      <c r="PB1266"/>
      <c r="PC1266"/>
      <c r="PD1266"/>
      <c r="PE1266"/>
      <c r="PF1266"/>
      <c r="PG1266"/>
      <c r="PH1266"/>
      <c r="PI1266"/>
      <c r="PJ1266"/>
      <c r="PK1266"/>
      <c r="PL1266"/>
      <c r="PM1266"/>
      <c r="PN1266"/>
      <c r="PO1266"/>
      <c r="PP1266"/>
      <c r="PQ1266"/>
      <c r="PR1266"/>
      <c r="PS1266"/>
      <c r="PT1266"/>
      <c r="PU1266"/>
      <c r="PV1266"/>
      <c r="PW1266"/>
      <c r="PX1266"/>
      <c r="PY1266"/>
      <c r="PZ1266"/>
      <c r="QA1266"/>
      <c r="QB1266"/>
      <c r="QC1266"/>
      <c r="QD1266"/>
      <c r="QE1266"/>
      <c r="QF1266"/>
      <c r="QG1266"/>
      <c r="QH1266"/>
      <c r="QI1266"/>
      <c r="QJ1266"/>
      <c r="QK1266"/>
      <c r="QL1266"/>
      <c r="QM1266"/>
      <c r="QN1266"/>
      <c r="QO1266"/>
      <c r="QP1266"/>
      <c r="QQ1266"/>
      <c r="QR1266"/>
      <c r="QS1266"/>
      <c r="QT1266"/>
      <c r="QU1266"/>
      <c r="QV1266"/>
      <c r="QW1266"/>
      <c r="QX1266"/>
      <c r="QY1266"/>
      <c r="QZ1266"/>
      <c r="RA1266"/>
      <c r="RB1266"/>
      <c r="RC1266"/>
      <c r="RD1266"/>
      <c r="RE1266"/>
      <c r="RF1266"/>
      <c r="RG1266"/>
      <c r="RH1266"/>
      <c r="RI1266"/>
      <c r="RJ1266"/>
      <c r="RK1266"/>
      <c r="RL1266"/>
      <c r="RM1266"/>
      <c r="RN1266"/>
      <c r="RO1266"/>
      <c r="RP1266"/>
      <c r="RQ1266"/>
      <c r="RR1266"/>
      <c r="RS1266"/>
      <c r="RT1266"/>
      <c r="RU1266"/>
      <c r="RV1266"/>
      <c r="RW1266"/>
      <c r="RX1266"/>
      <c r="RY1266"/>
      <c r="RZ1266"/>
      <c r="SA1266"/>
      <c r="SB1266"/>
      <c r="SC1266"/>
      <c r="SD1266"/>
      <c r="SE1266"/>
      <c r="SF1266"/>
      <c r="SG1266"/>
      <c r="SH1266"/>
      <c r="SI1266"/>
      <c r="SJ1266"/>
      <c r="SK1266"/>
      <c r="SL1266"/>
      <c r="SM1266"/>
      <c r="SN1266"/>
      <c r="SO1266"/>
      <c r="SP1266"/>
      <c r="SQ1266"/>
      <c r="SR1266"/>
      <c r="SS1266"/>
      <c r="ST1266"/>
      <c r="SU1266"/>
      <c r="SV1266"/>
      <c r="SW1266"/>
      <c r="SX1266"/>
      <c r="SY1266"/>
      <c r="SZ1266"/>
      <c r="TA1266"/>
      <c r="TB1266"/>
      <c r="TC1266"/>
      <c r="TD1266"/>
      <c r="TE1266"/>
      <c r="TF1266"/>
      <c r="TG1266"/>
      <c r="TH1266"/>
      <c r="TI1266"/>
      <c r="TJ1266"/>
      <c r="TK1266"/>
      <c r="TL1266"/>
      <c r="TM1266"/>
      <c r="TN1266"/>
      <c r="TO1266"/>
      <c r="TP1266"/>
      <c r="TQ1266"/>
      <c r="TR1266"/>
      <c r="TS1266"/>
      <c r="TT1266"/>
      <c r="TU1266"/>
      <c r="TV1266"/>
      <c r="TW1266"/>
      <c r="TX1266"/>
      <c r="TY1266"/>
      <c r="TZ1266"/>
      <c r="UA1266"/>
      <c r="UB1266"/>
      <c r="UC1266"/>
      <c r="UD1266"/>
      <c r="UE1266"/>
      <c r="UF1266"/>
      <c r="UG1266"/>
      <c r="UH1266"/>
      <c r="UI1266"/>
      <c r="UJ1266"/>
      <c r="UK1266"/>
      <c r="UL1266"/>
      <c r="UM1266"/>
      <c r="UN1266"/>
      <c r="UO1266"/>
      <c r="UP1266"/>
      <c r="UQ1266"/>
      <c r="UR1266"/>
      <c r="US1266"/>
      <c r="UT1266"/>
      <c r="UU1266"/>
      <c r="UV1266"/>
      <c r="UW1266"/>
      <c r="UX1266"/>
      <c r="UY1266"/>
      <c r="UZ1266"/>
      <c r="VA1266"/>
      <c r="VB1266"/>
      <c r="VC1266"/>
      <c r="VD1266"/>
      <c r="VE1266"/>
      <c r="VF1266"/>
      <c r="VG1266"/>
      <c r="VH1266"/>
      <c r="VI1266"/>
      <c r="VJ1266"/>
      <c r="VK1266"/>
      <c r="VL1266"/>
      <c r="VM1266"/>
      <c r="VN1266"/>
      <c r="VO1266"/>
      <c r="VP1266"/>
      <c r="VQ1266"/>
      <c r="VR1266"/>
      <c r="VS1266"/>
      <c r="VT1266"/>
      <c r="VU1266"/>
      <c r="VV1266"/>
      <c r="VW1266"/>
      <c r="VX1266"/>
      <c r="VY1266"/>
      <c r="VZ1266"/>
      <c r="WA1266"/>
      <c r="WB1266"/>
      <c r="WC1266"/>
      <c r="WD1266"/>
      <c r="WE1266"/>
      <c r="WF1266"/>
      <c r="WG1266"/>
      <c r="WH1266"/>
      <c r="WI1266"/>
      <c r="WJ1266"/>
      <c r="WK1266"/>
      <c r="WL1266"/>
      <c r="WM1266"/>
      <c r="WN1266"/>
      <c r="WO1266"/>
      <c r="WP1266"/>
      <c r="WQ1266"/>
      <c r="WR1266"/>
      <c r="WS1266"/>
      <c r="WT1266"/>
      <c r="WU1266"/>
      <c r="WV1266"/>
      <c r="WW1266"/>
      <c r="WX1266"/>
      <c r="WY1266"/>
      <c r="WZ1266"/>
      <c r="XA1266"/>
      <c r="XB1266"/>
      <c r="XC1266"/>
      <c r="XD1266"/>
      <c r="XE1266"/>
      <c r="XF1266"/>
      <c r="XG1266"/>
      <c r="XH1266"/>
      <c r="XI1266"/>
      <c r="XJ1266"/>
      <c r="XK1266"/>
      <c r="XL1266"/>
      <c r="XM1266"/>
      <c r="XN1266"/>
      <c r="XO1266"/>
      <c r="XP1266"/>
      <c r="XQ1266"/>
      <c r="XR1266"/>
      <c r="XS1266"/>
      <c r="XT1266"/>
      <c r="XU1266"/>
      <c r="XV1266"/>
      <c r="XW1266"/>
      <c r="XX1266"/>
      <c r="XY1266"/>
      <c r="XZ1266"/>
      <c r="YA1266"/>
      <c r="YB1266"/>
      <c r="YC1266"/>
      <c r="YD1266"/>
      <c r="YE1266"/>
      <c r="YF1266"/>
      <c r="YG1266"/>
      <c r="YH1266"/>
      <c r="YI1266"/>
      <c r="YJ1266"/>
      <c r="YK1266"/>
      <c r="YL1266"/>
      <c r="YM1266"/>
      <c r="YN1266"/>
      <c r="YO1266"/>
      <c r="YP1266"/>
      <c r="YQ1266"/>
      <c r="YR1266"/>
      <c r="YS1266"/>
      <c r="YT1266"/>
      <c r="YU1266"/>
      <c r="YV1266"/>
      <c r="YW1266"/>
      <c r="YX1266"/>
      <c r="YY1266"/>
      <c r="YZ1266"/>
      <c r="ZA1266"/>
      <c r="ZB1266"/>
      <c r="ZC1266"/>
      <c r="ZD1266"/>
      <c r="ZE1266"/>
      <c r="ZF1266"/>
      <c r="ZG1266"/>
      <c r="ZH1266"/>
      <c r="ZI1266"/>
      <c r="ZJ1266"/>
      <c r="ZK1266"/>
      <c r="ZL1266"/>
      <c r="ZM1266"/>
      <c r="ZN1266"/>
      <c r="ZO1266"/>
      <c r="ZP1266"/>
      <c r="ZQ1266"/>
      <c r="ZR1266"/>
      <c r="ZS1266"/>
      <c r="ZT1266"/>
      <c r="ZU1266"/>
      <c r="ZV1266"/>
      <c r="ZW1266"/>
      <c r="ZX1266"/>
      <c r="ZY1266"/>
      <c r="ZZ1266"/>
      <c r="AAA1266"/>
      <c r="AAB1266"/>
      <c r="AAC1266"/>
      <c r="AAD1266"/>
      <c r="AAE1266"/>
      <c r="AAF1266"/>
      <c r="AAG1266"/>
      <c r="AAH1266"/>
      <c r="AAI1266"/>
      <c r="AAJ1266"/>
      <c r="AAK1266"/>
      <c r="AAL1266"/>
      <c r="AAM1266"/>
      <c r="AAN1266"/>
      <c r="AAO1266"/>
      <c r="AAP1266"/>
      <c r="AAQ1266"/>
      <c r="AAR1266"/>
      <c r="AAS1266"/>
      <c r="AAT1266"/>
      <c r="AAU1266"/>
      <c r="AAV1266"/>
      <c r="AAW1266"/>
      <c r="AAX1266"/>
      <c r="AAY1266"/>
      <c r="AAZ1266"/>
      <c r="ABA1266"/>
      <c r="ABB1266"/>
      <c r="ABC1266"/>
      <c r="ABD1266"/>
      <c r="ABE1266"/>
      <c r="ABF1266"/>
      <c r="ABG1266"/>
      <c r="ABH1266"/>
      <c r="ABI1266"/>
      <c r="ABJ1266"/>
      <c r="ABK1266"/>
      <c r="ABL1266"/>
      <c r="ABM1266"/>
      <c r="ABN1266"/>
      <c r="ABO1266"/>
      <c r="ABP1266"/>
      <c r="ABQ1266"/>
      <c r="ABR1266"/>
      <c r="ABS1266"/>
      <c r="ABT1266"/>
      <c r="ABU1266"/>
      <c r="ABV1266"/>
      <c r="ABW1266"/>
      <c r="ABX1266"/>
      <c r="ABY1266"/>
      <c r="ABZ1266"/>
      <c r="ACA1266"/>
      <c r="ACB1266"/>
      <c r="ACC1266"/>
      <c r="ACD1266"/>
      <c r="ACE1266"/>
      <c r="ACF1266"/>
      <c r="ACG1266"/>
      <c r="ACH1266"/>
      <c r="ACI1266"/>
      <c r="ACJ1266"/>
      <c r="ACK1266"/>
      <c r="ACL1266"/>
      <c r="ACM1266"/>
      <c r="ACN1266"/>
      <c r="ACO1266"/>
      <c r="ACP1266"/>
      <c r="ACQ1266"/>
      <c r="ACR1266"/>
      <c r="ACS1266"/>
      <c r="ACT1266"/>
      <c r="ACU1266"/>
      <c r="ACV1266"/>
      <c r="ACW1266"/>
      <c r="ACX1266"/>
      <c r="ACY1266"/>
      <c r="ACZ1266"/>
      <c r="ADA1266"/>
      <c r="ADB1266"/>
      <c r="ADC1266"/>
      <c r="ADD1266"/>
      <c r="ADE1266"/>
      <c r="ADF1266"/>
      <c r="ADG1266"/>
      <c r="ADH1266"/>
      <c r="ADI1266"/>
      <c r="ADJ1266"/>
      <c r="ADK1266"/>
      <c r="ADL1266"/>
      <c r="ADM1266"/>
      <c r="ADN1266"/>
      <c r="ADO1266"/>
      <c r="ADP1266"/>
      <c r="ADQ1266"/>
      <c r="ADR1266"/>
      <c r="ADS1266"/>
      <c r="ADT1266"/>
      <c r="ADU1266"/>
      <c r="ADV1266"/>
      <c r="ADW1266"/>
      <c r="ADX1266"/>
      <c r="ADY1266"/>
      <c r="ADZ1266"/>
      <c r="AEA1266"/>
      <c r="AEB1266"/>
      <c r="AEC1266"/>
      <c r="AED1266"/>
      <c r="AEE1266"/>
      <c r="AEF1266"/>
      <c r="AEG1266"/>
      <c r="AEH1266"/>
      <c r="AEI1266"/>
      <c r="AEJ1266"/>
      <c r="AEK1266"/>
      <c r="AEL1266"/>
      <c r="AEM1266"/>
      <c r="AEN1266"/>
      <c r="AEO1266"/>
      <c r="AEP1266"/>
      <c r="AEQ1266"/>
      <c r="AER1266"/>
      <c r="AES1266"/>
      <c r="AET1266"/>
      <c r="AEU1266"/>
      <c r="AEV1266"/>
      <c r="AEW1266"/>
      <c r="AEX1266"/>
      <c r="AEY1266"/>
      <c r="AEZ1266"/>
      <c r="AFA1266"/>
      <c r="AFB1266"/>
      <c r="AFC1266"/>
      <c r="AFD1266"/>
      <c r="AFE1266"/>
      <c r="AFF1266"/>
      <c r="AFG1266"/>
      <c r="AFH1266"/>
      <c r="AFI1266"/>
      <c r="AFJ1266"/>
      <c r="AFK1266"/>
      <c r="AFL1266"/>
      <c r="AFM1266"/>
      <c r="AFN1266"/>
      <c r="AFO1266"/>
      <c r="AFP1266"/>
      <c r="AFQ1266"/>
      <c r="AFR1266"/>
      <c r="AFS1266"/>
      <c r="AFT1266"/>
      <c r="AFU1266"/>
      <c r="AFV1266"/>
      <c r="AFW1266"/>
      <c r="AFX1266"/>
      <c r="AFY1266"/>
      <c r="AFZ1266"/>
      <c r="AGA1266"/>
      <c r="AGB1266"/>
      <c r="AGC1266"/>
      <c r="AGD1266"/>
      <c r="AGE1266"/>
      <c r="AGF1266"/>
      <c r="AGG1266"/>
      <c r="AGH1266"/>
      <c r="AGI1266"/>
      <c r="AGJ1266"/>
      <c r="AGK1266"/>
      <c r="AGL1266"/>
      <c r="AGM1266"/>
      <c r="AGN1266"/>
      <c r="AGO1266"/>
      <c r="AGP1266"/>
      <c r="AGQ1266"/>
      <c r="AGR1266"/>
      <c r="AGS1266"/>
      <c r="AGT1266"/>
      <c r="AGU1266"/>
      <c r="AGV1266"/>
      <c r="AGW1266"/>
      <c r="AGX1266"/>
      <c r="AGY1266"/>
      <c r="AGZ1266"/>
      <c r="AHA1266"/>
      <c r="AHB1266"/>
      <c r="AHC1266"/>
      <c r="AHD1266"/>
      <c r="AHE1266"/>
      <c r="AHF1266"/>
      <c r="AHG1266"/>
      <c r="AHH1266"/>
      <c r="AHI1266"/>
      <c r="AHJ1266"/>
      <c r="AHK1266"/>
      <c r="AHL1266"/>
      <c r="AHM1266"/>
      <c r="AHN1266"/>
      <c r="AHO1266"/>
      <c r="AHP1266"/>
      <c r="AHQ1266"/>
      <c r="AHR1266"/>
      <c r="AHS1266"/>
      <c r="AHT1266"/>
      <c r="AHU1266"/>
      <c r="AHV1266"/>
      <c r="AHW1266"/>
      <c r="AHX1266"/>
      <c r="AHY1266"/>
      <c r="AHZ1266"/>
      <c r="AIA1266"/>
      <c r="AIB1266"/>
      <c r="AIC1266"/>
      <c r="AID1266"/>
      <c r="AIE1266"/>
      <c r="AIF1266"/>
      <c r="AIG1266"/>
      <c r="AIH1266"/>
      <c r="AII1266"/>
      <c r="AIJ1266"/>
      <c r="AIK1266"/>
      <c r="AIL1266"/>
      <c r="AIM1266"/>
      <c r="AIN1266"/>
      <c r="AIO1266"/>
      <c r="AIP1266"/>
      <c r="AIQ1266"/>
      <c r="AIR1266"/>
      <c r="AIS1266"/>
      <c r="AIT1266"/>
      <c r="AIU1266"/>
      <c r="AIV1266"/>
      <c r="AIW1266"/>
      <c r="AIX1266"/>
      <c r="AIY1266"/>
      <c r="AIZ1266"/>
      <c r="AJA1266"/>
      <c r="AJB1266"/>
      <c r="AJC1266"/>
      <c r="AJD1266"/>
      <c r="AJE1266"/>
      <c r="AJF1266"/>
      <c r="AJG1266"/>
      <c r="AJH1266"/>
      <c r="AJI1266"/>
      <c r="AJJ1266"/>
      <c r="AJK1266"/>
      <c r="AJL1266"/>
      <c r="AJM1266"/>
      <c r="AJN1266"/>
      <c r="AJO1266"/>
      <c r="AJP1266"/>
      <c r="AJQ1266"/>
      <c r="AJR1266"/>
      <c r="AJS1266"/>
      <c r="AJT1266"/>
      <c r="AJU1266"/>
      <c r="AJV1266"/>
      <c r="AJW1266"/>
      <c r="AJX1266"/>
      <c r="AJY1266"/>
      <c r="AJZ1266"/>
      <c r="AKA1266"/>
      <c r="AKB1266"/>
      <c r="AKC1266"/>
      <c r="AKD1266"/>
      <c r="AKE1266"/>
      <c r="AKF1266"/>
      <c r="AKG1266"/>
      <c r="AKH1266"/>
      <c r="AKI1266"/>
      <c r="AKJ1266"/>
      <c r="AKK1266"/>
      <c r="AKL1266"/>
      <c r="AKM1266"/>
      <c r="AKN1266"/>
      <c r="AKO1266"/>
      <c r="AKP1266"/>
      <c r="AKQ1266"/>
      <c r="AKR1266"/>
      <c r="AKS1266"/>
      <c r="AKT1266"/>
      <c r="AKU1266"/>
      <c r="AKV1266"/>
      <c r="AKW1266"/>
      <c r="AKX1266"/>
      <c r="AKY1266"/>
      <c r="AKZ1266"/>
      <c r="ALA1266"/>
      <c r="ALB1266"/>
      <c r="ALC1266"/>
      <c r="ALD1266"/>
      <c r="ALE1266"/>
      <c r="ALF1266"/>
      <c r="ALG1266"/>
      <c r="ALH1266"/>
      <c r="ALI1266"/>
      <c r="ALJ1266"/>
      <c r="ALK1266"/>
      <c r="ALL1266"/>
      <c r="ALM1266"/>
      <c r="ALN1266"/>
      <c r="ALO1266"/>
      <c r="ALP1266"/>
      <c r="ALQ1266"/>
      <c r="ALR1266"/>
      <c r="ALS1266"/>
      <c r="ALT1266"/>
    </row>
    <row r="1267" spans="1:1008" ht="14">
      <c r="A1267" s="28" t="s">
        <v>2186</v>
      </c>
      <c r="B1267" s="26" t="s">
        <v>3900</v>
      </c>
      <c r="C1267" s="28" t="s">
        <v>2186</v>
      </c>
      <c r="D1267" s="25" t="s">
        <v>13</v>
      </c>
      <c r="E1267" s="28" t="s">
        <v>2186</v>
      </c>
      <c r="F1267" s="28" t="s">
        <v>3960</v>
      </c>
      <c r="G1267" s="28">
        <v>500</v>
      </c>
      <c r="H1267" s="28"/>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c r="AT1267"/>
      <c r="AU1267"/>
      <c r="AV1267"/>
      <c r="AW1267"/>
      <c r="AX1267"/>
      <c r="AY1267"/>
      <c r="AZ1267"/>
      <c r="BA1267"/>
      <c r="BB1267"/>
      <c r="BC1267"/>
      <c r="BD1267"/>
      <c r="BE1267"/>
      <c r="BF1267"/>
      <c r="BG1267"/>
      <c r="BH1267"/>
      <c r="BI1267"/>
      <c r="BJ1267"/>
      <c r="BK1267"/>
      <c r="BL1267"/>
      <c r="BM1267"/>
      <c r="BN1267"/>
      <c r="BO1267"/>
      <c r="BP1267"/>
      <c r="BQ1267"/>
      <c r="BR1267"/>
      <c r="BS1267"/>
      <c r="BT1267"/>
      <c r="BU1267"/>
      <c r="BV1267"/>
      <c r="BW1267"/>
      <c r="BX1267"/>
      <c r="BY1267"/>
      <c r="BZ1267"/>
      <c r="CA1267"/>
      <c r="CB1267"/>
      <c r="CC1267"/>
      <c r="CD1267"/>
      <c r="CE1267"/>
      <c r="CF1267"/>
      <c r="CG1267"/>
      <c r="CH1267"/>
      <c r="CI1267"/>
      <c r="CJ1267"/>
      <c r="CK1267"/>
      <c r="CL1267"/>
      <c r="CM1267"/>
      <c r="CN1267"/>
      <c r="CO1267"/>
      <c r="CP1267"/>
      <c r="CQ1267"/>
      <c r="CR1267"/>
      <c r="CS1267"/>
      <c r="CT1267"/>
      <c r="CU1267"/>
      <c r="CV1267"/>
      <c r="CW1267"/>
      <c r="CX1267"/>
      <c r="CY1267"/>
      <c r="CZ1267"/>
      <c r="DA1267"/>
      <c r="DB1267"/>
      <c r="DC1267"/>
      <c r="DD1267"/>
      <c r="DE1267"/>
      <c r="DF1267"/>
      <c r="DG1267"/>
      <c r="DH1267"/>
      <c r="DI1267"/>
      <c r="DJ1267"/>
      <c r="DK1267"/>
      <c r="DL1267"/>
      <c r="DM1267"/>
      <c r="DN1267"/>
      <c r="DO1267"/>
      <c r="DP1267"/>
      <c r="DQ1267"/>
      <c r="DR1267"/>
      <c r="DS1267"/>
      <c r="DT1267"/>
      <c r="DU1267"/>
      <c r="DV1267"/>
      <c r="DW1267"/>
      <c r="DX1267"/>
      <c r="DY1267"/>
      <c r="DZ1267"/>
      <c r="EA1267"/>
      <c r="EB1267"/>
      <c r="EC1267"/>
      <c r="ED1267"/>
      <c r="EE1267"/>
      <c r="EF1267"/>
      <c r="EG1267"/>
      <c r="EH1267"/>
      <c r="EI1267"/>
      <c r="EJ1267"/>
      <c r="EK1267"/>
      <c r="EL1267"/>
      <c r="EM1267"/>
      <c r="EN1267"/>
      <c r="EO1267"/>
      <c r="EP1267"/>
      <c r="EQ1267"/>
      <c r="ER1267"/>
      <c r="ES1267"/>
      <c r="ET1267"/>
      <c r="EU1267"/>
      <c r="EV1267"/>
      <c r="EW1267"/>
      <c r="EX1267"/>
      <c r="EY1267"/>
      <c r="EZ1267"/>
      <c r="FA1267"/>
      <c r="FB1267"/>
      <c r="FC1267"/>
      <c r="FD1267"/>
      <c r="FE1267"/>
      <c r="FF1267"/>
      <c r="FG1267"/>
      <c r="FH1267"/>
      <c r="FI1267"/>
      <c r="FJ1267"/>
      <c r="FK1267"/>
      <c r="FL1267"/>
      <c r="FM1267"/>
      <c r="FN1267"/>
      <c r="FO1267"/>
      <c r="FP1267"/>
      <c r="FQ1267"/>
      <c r="FR1267"/>
      <c r="FS1267"/>
      <c r="FT1267"/>
      <c r="FU1267"/>
      <c r="FV1267"/>
      <c r="FW1267"/>
      <c r="FX1267"/>
      <c r="FY1267"/>
      <c r="FZ1267"/>
      <c r="GA1267"/>
      <c r="GB1267"/>
      <c r="GC1267"/>
      <c r="GD1267"/>
      <c r="GE1267"/>
      <c r="GF1267"/>
      <c r="GG1267"/>
      <c r="GH1267"/>
      <c r="GI1267"/>
      <c r="GJ1267"/>
      <c r="GK1267"/>
      <c r="GL1267"/>
      <c r="GM1267"/>
      <c r="GN1267"/>
      <c r="GO1267"/>
      <c r="GP1267"/>
      <c r="GQ1267"/>
      <c r="GR1267"/>
      <c r="GS1267"/>
      <c r="GT1267"/>
      <c r="GU1267"/>
      <c r="GV1267"/>
      <c r="GW1267"/>
      <c r="GX1267"/>
      <c r="GY1267"/>
      <c r="GZ1267"/>
      <c r="HA1267"/>
      <c r="HB1267"/>
      <c r="HC1267"/>
      <c r="HD1267"/>
      <c r="HE1267"/>
      <c r="HF1267"/>
      <c r="HG1267"/>
      <c r="HH1267"/>
      <c r="HI1267"/>
      <c r="HJ1267"/>
      <c r="HK1267"/>
      <c r="HL1267"/>
      <c r="HM1267"/>
      <c r="HN1267"/>
      <c r="HO1267"/>
      <c r="HP1267"/>
      <c r="HQ1267"/>
      <c r="HR1267"/>
      <c r="HS1267"/>
      <c r="HT1267"/>
      <c r="HU1267"/>
      <c r="HV1267"/>
      <c r="HW1267"/>
      <c r="HX1267"/>
      <c r="HY1267"/>
      <c r="HZ1267"/>
      <c r="IA1267"/>
      <c r="IB1267"/>
      <c r="IC1267"/>
      <c r="ID1267"/>
      <c r="IE1267"/>
      <c r="IF1267"/>
      <c r="IG1267"/>
      <c r="IH1267"/>
      <c r="II1267"/>
      <c r="IJ1267"/>
      <c r="IK1267"/>
      <c r="IL1267"/>
      <c r="IM1267"/>
      <c r="IN1267"/>
      <c r="IO1267"/>
      <c r="IP1267"/>
      <c r="IQ1267"/>
      <c r="IR1267"/>
      <c r="IS1267"/>
      <c r="IT1267"/>
      <c r="IU1267"/>
      <c r="IV1267"/>
      <c r="IW1267"/>
      <c r="IX1267"/>
      <c r="IY1267"/>
      <c r="IZ1267"/>
      <c r="JA1267"/>
      <c r="JB1267"/>
      <c r="JC1267"/>
      <c r="JD1267"/>
      <c r="JE1267"/>
      <c r="JF1267"/>
      <c r="JG1267"/>
      <c r="JH1267"/>
      <c r="JI1267"/>
      <c r="JJ1267"/>
      <c r="JK1267"/>
      <c r="JL1267"/>
      <c r="JM1267"/>
      <c r="JN1267"/>
      <c r="JO1267"/>
      <c r="JP1267"/>
      <c r="JQ1267"/>
      <c r="JR1267"/>
      <c r="JS1267"/>
      <c r="JT1267"/>
      <c r="JU1267"/>
      <c r="JV1267"/>
      <c r="JW1267"/>
      <c r="JX1267"/>
      <c r="JY1267"/>
      <c r="JZ1267"/>
      <c r="KA1267"/>
      <c r="KB1267"/>
      <c r="KC1267"/>
      <c r="KD1267"/>
      <c r="KE1267"/>
      <c r="KF1267"/>
      <c r="KG1267"/>
      <c r="KH1267"/>
      <c r="KI1267"/>
      <c r="KJ1267"/>
      <c r="KK1267"/>
      <c r="KL1267"/>
      <c r="KM1267"/>
      <c r="KN1267"/>
      <c r="KO1267"/>
      <c r="KP1267"/>
      <c r="KQ1267"/>
      <c r="KR1267"/>
      <c r="KS1267"/>
      <c r="KT1267"/>
      <c r="KU1267"/>
      <c r="KV1267"/>
      <c r="KW1267"/>
      <c r="KX1267"/>
      <c r="KY1267"/>
      <c r="KZ1267"/>
      <c r="LA1267"/>
      <c r="LB1267"/>
      <c r="LC1267"/>
      <c r="LD1267"/>
      <c r="LE1267"/>
      <c r="LF1267"/>
      <c r="LG1267"/>
      <c r="LH1267"/>
      <c r="LI1267"/>
      <c r="LJ1267"/>
      <c r="LK1267"/>
      <c r="LL1267"/>
      <c r="LM1267"/>
      <c r="LN1267"/>
      <c r="LO1267"/>
      <c r="LP1267"/>
      <c r="LQ1267"/>
      <c r="LR1267"/>
      <c r="LS1267"/>
      <c r="LT1267"/>
      <c r="LU1267"/>
      <c r="LV1267"/>
      <c r="LW1267"/>
      <c r="LX1267"/>
      <c r="LY1267"/>
      <c r="LZ1267"/>
      <c r="MA1267"/>
      <c r="MB1267"/>
      <c r="MC1267"/>
      <c r="MD1267"/>
      <c r="ME1267"/>
      <c r="MF1267"/>
      <c r="MG1267"/>
      <c r="MH1267"/>
      <c r="MI1267"/>
      <c r="MJ1267"/>
      <c r="MK1267"/>
      <c r="ML1267"/>
      <c r="MM1267"/>
      <c r="MN1267"/>
      <c r="MO1267"/>
      <c r="MP1267"/>
      <c r="MQ1267"/>
      <c r="MR1267"/>
      <c r="MS1267"/>
      <c r="MT1267"/>
      <c r="MU1267"/>
      <c r="MV1267"/>
      <c r="MW1267"/>
      <c r="MX1267"/>
      <c r="MY1267"/>
      <c r="MZ1267"/>
      <c r="NA1267"/>
      <c r="NB1267"/>
      <c r="NC1267"/>
      <c r="ND1267"/>
      <c r="NE1267"/>
      <c r="NF1267"/>
      <c r="NG1267"/>
      <c r="NH1267"/>
      <c r="NI1267"/>
      <c r="NJ1267"/>
      <c r="NK1267"/>
      <c r="NL1267"/>
      <c r="NM1267"/>
      <c r="NN1267"/>
      <c r="NO1267"/>
      <c r="NP1267"/>
      <c r="NQ1267"/>
      <c r="NR1267"/>
      <c r="NS1267"/>
      <c r="NT1267"/>
      <c r="NU1267"/>
      <c r="NV1267"/>
      <c r="NW1267"/>
      <c r="NX1267"/>
      <c r="NY1267"/>
      <c r="NZ1267"/>
      <c r="OA1267"/>
      <c r="OB1267"/>
      <c r="OC1267"/>
      <c r="OD1267"/>
      <c r="OE1267"/>
      <c r="OF1267"/>
      <c r="OG1267"/>
      <c r="OH1267"/>
      <c r="OI1267"/>
      <c r="OJ1267"/>
      <c r="OK1267"/>
      <c r="OL1267"/>
      <c r="OM1267"/>
      <c r="ON1267"/>
      <c r="OO1267"/>
      <c r="OP1267"/>
      <c r="OQ1267"/>
      <c r="OR1267"/>
      <c r="OS1267"/>
      <c r="OT1267"/>
      <c r="OU1267"/>
      <c r="OV1267"/>
      <c r="OW1267"/>
      <c r="OX1267"/>
      <c r="OY1267"/>
      <c r="OZ1267"/>
      <c r="PA1267"/>
      <c r="PB1267"/>
      <c r="PC1267"/>
      <c r="PD1267"/>
      <c r="PE1267"/>
      <c r="PF1267"/>
      <c r="PG1267"/>
      <c r="PH1267"/>
      <c r="PI1267"/>
      <c r="PJ1267"/>
      <c r="PK1267"/>
      <c r="PL1267"/>
      <c r="PM1267"/>
      <c r="PN1267"/>
      <c r="PO1267"/>
      <c r="PP1267"/>
      <c r="PQ1267"/>
      <c r="PR1267"/>
      <c r="PS1267"/>
      <c r="PT1267"/>
      <c r="PU1267"/>
      <c r="PV1267"/>
      <c r="PW1267"/>
      <c r="PX1267"/>
      <c r="PY1267"/>
      <c r="PZ1267"/>
      <c r="QA1267"/>
      <c r="QB1267"/>
      <c r="QC1267"/>
      <c r="QD1267"/>
      <c r="QE1267"/>
      <c r="QF1267"/>
      <c r="QG1267"/>
      <c r="QH1267"/>
      <c r="QI1267"/>
      <c r="QJ1267"/>
      <c r="QK1267"/>
      <c r="QL1267"/>
      <c r="QM1267"/>
      <c r="QN1267"/>
      <c r="QO1267"/>
      <c r="QP1267"/>
      <c r="QQ1267"/>
      <c r="QR1267"/>
      <c r="QS1267"/>
      <c r="QT1267"/>
      <c r="QU1267"/>
      <c r="QV1267"/>
      <c r="QW1267"/>
      <c r="QX1267"/>
      <c r="QY1267"/>
      <c r="QZ1267"/>
      <c r="RA1267"/>
      <c r="RB1267"/>
      <c r="RC1267"/>
      <c r="RD1267"/>
      <c r="RE1267"/>
      <c r="RF1267"/>
      <c r="RG1267"/>
      <c r="RH1267"/>
      <c r="RI1267"/>
      <c r="RJ1267"/>
      <c r="RK1267"/>
      <c r="RL1267"/>
      <c r="RM1267"/>
      <c r="RN1267"/>
      <c r="RO1267"/>
      <c r="RP1267"/>
      <c r="RQ1267"/>
      <c r="RR1267"/>
      <c r="RS1267"/>
      <c r="RT1267"/>
      <c r="RU1267"/>
      <c r="RV1267"/>
      <c r="RW1267"/>
      <c r="RX1267"/>
      <c r="RY1267"/>
      <c r="RZ1267"/>
      <c r="SA1267"/>
      <c r="SB1267"/>
      <c r="SC1267"/>
      <c r="SD1267"/>
      <c r="SE1267"/>
      <c r="SF1267"/>
      <c r="SG1267"/>
      <c r="SH1267"/>
      <c r="SI1267"/>
      <c r="SJ1267"/>
      <c r="SK1267"/>
      <c r="SL1267"/>
      <c r="SM1267"/>
      <c r="SN1267"/>
      <c r="SO1267"/>
      <c r="SP1267"/>
      <c r="SQ1267"/>
      <c r="SR1267"/>
      <c r="SS1267"/>
      <c r="ST1267"/>
      <c r="SU1267"/>
      <c r="SV1267"/>
      <c r="SW1267"/>
      <c r="SX1267"/>
      <c r="SY1267"/>
      <c r="SZ1267"/>
      <c r="TA1267"/>
      <c r="TB1267"/>
      <c r="TC1267"/>
      <c r="TD1267"/>
      <c r="TE1267"/>
      <c r="TF1267"/>
      <c r="TG1267"/>
      <c r="TH1267"/>
      <c r="TI1267"/>
      <c r="TJ1267"/>
      <c r="TK1267"/>
      <c r="TL1267"/>
      <c r="TM1267"/>
      <c r="TN1267"/>
      <c r="TO1267"/>
      <c r="TP1267"/>
      <c r="TQ1267"/>
      <c r="TR1267"/>
      <c r="TS1267"/>
      <c r="TT1267"/>
      <c r="TU1267"/>
      <c r="TV1267"/>
      <c r="TW1267"/>
      <c r="TX1267"/>
      <c r="TY1267"/>
      <c r="TZ1267"/>
      <c r="UA1267"/>
      <c r="UB1267"/>
      <c r="UC1267"/>
      <c r="UD1267"/>
      <c r="UE1267"/>
      <c r="UF1267"/>
      <c r="UG1267"/>
      <c r="UH1267"/>
      <c r="UI1267"/>
      <c r="UJ1267"/>
      <c r="UK1267"/>
      <c r="UL1267"/>
      <c r="UM1267"/>
      <c r="UN1267"/>
      <c r="UO1267"/>
      <c r="UP1267"/>
      <c r="UQ1267"/>
      <c r="UR1267"/>
      <c r="US1267"/>
      <c r="UT1267"/>
      <c r="UU1267"/>
      <c r="UV1267"/>
      <c r="UW1267"/>
      <c r="UX1267"/>
      <c r="UY1267"/>
      <c r="UZ1267"/>
      <c r="VA1267"/>
      <c r="VB1267"/>
      <c r="VC1267"/>
      <c r="VD1267"/>
      <c r="VE1267"/>
      <c r="VF1267"/>
      <c r="VG1267"/>
      <c r="VH1267"/>
      <c r="VI1267"/>
      <c r="VJ1267"/>
      <c r="VK1267"/>
      <c r="VL1267"/>
      <c r="VM1267"/>
      <c r="VN1267"/>
      <c r="VO1267"/>
      <c r="VP1267"/>
      <c r="VQ1267"/>
      <c r="VR1267"/>
      <c r="VS1267"/>
      <c r="VT1267"/>
      <c r="VU1267"/>
      <c r="VV1267"/>
      <c r="VW1267"/>
      <c r="VX1267"/>
      <c r="VY1267"/>
      <c r="VZ1267"/>
      <c r="WA1267"/>
      <c r="WB1267"/>
      <c r="WC1267"/>
      <c r="WD1267"/>
      <c r="WE1267"/>
      <c r="WF1267"/>
      <c r="WG1267"/>
      <c r="WH1267"/>
      <c r="WI1267"/>
      <c r="WJ1267"/>
      <c r="WK1267"/>
      <c r="WL1267"/>
      <c r="WM1267"/>
      <c r="WN1267"/>
      <c r="WO1267"/>
      <c r="WP1267"/>
      <c r="WQ1267"/>
      <c r="WR1267"/>
      <c r="WS1267"/>
      <c r="WT1267"/>
      <c r="WU1267"/>
      <c r="WV1267"/>
      <c r="WW1267"/>
      <c r="WX1267"/>
      <c r="WY1267"/>
      <c r="WZ1267"/>
      <c r="XA1267"/>
      <c r="XB1267"/>
      <c r="XC1267"/>
      <c r="XD1267"/>
      <c r="XE1267"/>
      <c r="XF1267"/>
      <c r="XG1267"/>
      <c r="XH1267"/>
      <c r="XI1267"/>
      <c r="XJ1267"/>
      <c r="XK1267"/>
      <c r="XL1267"/>
      <c r="XM1267"/>
      <c r="XN1267"/>
      <c r="XO1267"/>
      <c r="XP1267"/>
      <c r="XQ1267"/>
      <c r="XR1267"/>
      <c r="XS1267"/>
      <c r="XT1267"/>
      <c r="XU1267"/>
      <c r="XV1267"/>
      <c r="XW1267"/>
      <c r="XX1267"/>
      <c r="XY1267"/>
      <c r="XZ1267"/>
      <c r="YA1267"/>
      <c r="YB1267"/>
      <c r="YC1267"/>
      <c r="YD1267"/>
      <c r="YE1267"/>
      <c r="YF1267"/>
      <c r="YG1267"/>
      <c r="YH1267"/>
      <c r="YI1267"/>
      <c r="YJ1267"/>
      <c r="YK1267"/>
      <c r="YL1267"/>
      <c r="YM1267"/>
      <c r="YN1267"/>
      <c r="YO1267"/>
      <c r="YP1267"/>
      <c r="YQ1267"/>
      <c r="YR1267"/>
      <c r="YS1267"/>
      <c r="YT1267"/>
      <c r="YU1267"/>
      <c r="YV1267"/>
      <c r="YW1267"/>
      <c r="YX1267"/>
      <c r="YY1267"/>
      <c r="YZ1267"/>
      <c r="ZA1267"/>
      <c r="ZB1267"/>
      <c r="ZC1267"/>
      <c r="ZD1267"/>
      <c r="ZE1267"/>
      <c r="ZF1267"/>
      <c r="ZG1267"/>
      <c r="ZH1267"/>
      <c r="ZI1267"/>
      <c r="ZJ1267"/>
      <c r="ZK1267"/>
      <c r="ZL1267"/>
      <c r="ZM1267"/>
      <c r="ZN1267"/>
      <c r="ZO1267"/>
      <c r="ZP1267"/>
      <c r="ZQ1267"/>
      <c r="ZR1267"/>
      <c r="ZS1267"/>
      <c r="ZT1267"/>
      <c r="ZU1267"/>
      <c r="ZV1267"/>
      <c r="ZW1267"/>
      <c r="ZX1267"/>
      <c r="ZY1267"/>
      <c r="ZZ1267"/>
      <c r="AAA1267"/>
      <c r="AAB1267"/>
      <c r="AAC1267"/>
      <c r="AAD1267"/>
      <c r="AAE1267"/>
      <c r="AAF1267"/>
      <c r="AAG1267"/>
      <c r="AAH1267"/>
      <c r="AAI1267"/>
      <c r="AAJ1267"/>
      <c r="AAK1267"/>
      <c r="AAL1267"/>
      <c r="AAM1267"/>
      <c r="AAN1267"/>
      <c r="AAO1267"/>
      <c r="AAP1267"/>
      <c r="AAQ1267"/>
      <c r="AAR1267"/>
      <c r="AAS1267"/>
      <c r="AAT1267"/>
      <c r="AAU1267"/>
      <c r="AAV1267"/>
      <c r="AAW1267"/>
      <c r="AAX1267"/>
      <c r="AAY1267"/>
      <c r="AAZ1267"/>
      <c r="ABA1267"/>
      <c r="ABB1267"/>
      <c r="ABC1267"/>
      <c r="ABD1267"/>
      <c r="ABE1267"/>
      <c r="ABF1267"/>
      <c r="ABG1267"/>
      <c r="ABH1267"/>
      <c r="ABI1267"/>
      <c r="ABJ1267"/>
      <c r="ABK1267"/>
      <c r="ABL1267"/>
      <c r="ABM1267"/>
      <c r="ABN1267"/>
      <c r="ABO1267"/>
      <c r="ABP1267"/>
      <c r="ABQ1267"/>
      <c r="ABR1267"/>
      <c r="ABS1267"/>
      <c r="ABT1267"/>
      <c r="ABU1267"/>
      <c r="ABV1267"/>
      <c r="ABW1267"/>
      <c r="ABX1267"/>
      <c r="ABY1267"/>
      <c r="ABZ1267"/>
      <c r="ACA1267"/>
      <c r="ACB1267"/>
      <c r="ACC1267"/>
      <c r="ACD1267"/>
      <c r="ACE1267"/>
      <c r="ACF1267"/>
      <c r="ACG1267"/>
      <c r="ACH1267"/>
      <c r="ACI1267"/>
      <c r="ACJ1267"/>
      <c r="ACK1267"/>
      <c r="ACL1267"/>
      <c r="ACM1267"/>
      <c r="ACN1267"/>
      <c r="ACO1267"/>
      <c r="ACP1267"/>
      <c r="ACQ1267"/>
      <c r="ACR1267"/>
      <c r="ACS1267"/>
      <c r="ACT1267"/>
      <c r="ACU1267"/>
      <c r="ACV1267"/>
      <c r="ACW1267"/>
      <c r="ACX1267"/>
      <c r="ACY1267"/>
      <c r="ACZ1267"/>
      <c r="ADA1267"/>
      <c r="ADB1267"/>
      <c r="ADC1267"/>
      <c r="ADD1267"/>
      <c r="ADE1267"/>
      <c r="ADF1267"/>
      <c r="ADG1267"/>
      <c r="ADH1267"/>
      <c r="ADI1267"/>
      <c r="ADJ1267"/>
      <c r="ADK1267"/>
      <c r="ADL1267"/>
      <c r="ADM1267"/>
      <c r="ADN1267"/>
      <c r="ADO1267"/>
      <c r="ADP1267"/>
      <c r="ADQ1267"/>
      <c r="ADR1267"/>
      <c r="ADS1267"/>
      <c r="ADT1267"/>
      <c r="ADU1267"/>
      <c r="ADV1267"/>
      <c r="ADW1267"/>
      <c r="ADX1267"/>
      <c r="ADY1267"/>
      <c r="ADZ1267"/>
      <c r="AEA1267"/>
      <c r="AEB1267"/>
      <c r="AEC1267"/>
      <c r="AED1267"/>
      <c r="AEE1267"/>
      <c r="AEF1267"/>
      <c r="AEG1267"/>
      <c r="AEH1267"/>
      <c r="AEI1267"/>
      <c r="AEJ1267"/>
      <c r="AEK1267"/>
      <c r="AEL1267"/>
      <c r="AEM1267"/>
      <c r="AEN1267"/>
      <c r="AEO1267"/>
      <c r="AEP1267"/>
      <c r="AEQ1267"/>
      <c r="AER1267"/>
      <c r="AES1267"/>
      <c r="AET1267"/>
      <c r="AEU1267"/>
      <c r="AEV1267"/>
      <c r="AEW1267"/>
      <c r="AEX1267"/>
      <c r="AEY1267"/>
      <c r="AEZ1267"/>
      <c r="AFA1267"/>
      <c r="AFB1267"/>
      <c r="AFC1267"/>
      <c r="AFD1267"/>
      <c r="AFE1267"/>
      <c r="AFF1267"/>
      <c r="AFG1267"/>
      <c r="AFH1267"/>
      <c r="AFI1267"/>
      <c r="AFJ1267"/>
      <c r="AFK1267"/>
      <c r="AFL1267"/>
      <c r="AFM1267"/>
      <c r="AFN1267"/>
      <c r="AFO1267"/>
      <c r="AFP1267"/>
      <c r="AFQ1267"/>
      <c r="AFR1267"/>
      <c r="AFS1267"/>
      <c r="AFT1267"/>
      <c r="AFU1267"/>
      <c r="AFV1267"/>
      <c r="AFW1267"/>
      <c r="AFX1267"/>
      <c r="AFY1267"/>
      <c r="AFZ1267"/>
      <c r="AGA1267"/>
      <c r="AGB1267"/>
      <c r="AGC1267"/>
      <c r="AGD1267"/>
      <c r="AGE1267"/>
      <c r="AGF1267"/>
      <c r="AGG1267"/>
      <c r="AGH1267"/>
      <c r="AGI1267"/>
      <c r="AGJ1267"/>
      <c r="AGK1267"/>
      <c r="AGL1267"/>
      <c r="AGM1267"/>
      <c r="AGN1267"/>
      <c r="AGO1267"/>
      <c r="AGP1267"/>
      <c r="AGQ1267"/>
      <c r="AGR1267"/>
      <c r="AGS1267"/>
      <c r="AGT1267"/>
      <c r="AGU1267"/>
      <c r="AGV1267"/>
      <c r="AGW1267"/>
      <c r="AGX1267"/>
      <c r="AGY1267"/>
      <c r="AGZ1267"/>
      <c r="AHA1267"/>
      <c r="AHB1267"/>
      <c r="AHC1267"/>
      <c r="AHD1267"/>
      <c r="AHE1267"/>
      <c r="AHF1267"/>
      <c r="AHG1267"/>
      <c r="AHH1267"/>
      <c r="AHI1267"/>
      <c r="AHJ1267"/>
      <c r="AHK1267"/>
      <c r="AHL1267"/>
      <c r="AHM1267"/>
      <c r="AHN1267"/>
      <c r="AHO1267"/>
      <c r="AHP1267"/>
      <c r="AHQ1267"/>
      <c r="AHR1267"/>
      <c r="AHS1267"/>
      <c r="AHT1267"/>
      <c r="AHU1267"/>
      <c r="AHV1267"/>
      <c r="AHW1267"/>
      <c r="AHX1267"/>
      <c r="AHY1267"/>
      <c r="AHZ1267"/>
      <c r="AIA1267"/>
      <c r="AIB1267"/>
      <c r="AIC1267"/>
      <c r="AID1267"/>
      <c r="AIE1267"/>
      <c r="AIF1267"/>
      <c r="AIG1267"/>
      <c r="AIH1267"/>
      <c r="AII1267"/>
      <c r="AIJ1267"/>
      <c r="AIK1267"/>
      <c r="AIL1267"/>
      <c r="AIM1267"/>
      <c r="AIN1267"/>
      <c r="AIO1267"/>
      <c r="AIP1267"/>
      <c r="AIQ1267"/>
      <c r="AIR1267"/>
      <c r="AIS1267"/>
      <c r="AIT1267"/>
      <c r="AIU1267"/>
      <c r="AIV1267"/>
      <c r="AIW1267"/>
      <c r="AIX1267"/>
      <c r="AIY1267"/>
      <c r="AIZ1267"/>
      <c r="AJA1267"/>
      <c r="AJB1267"/>
      <c r="AJC1267"/>
      <c r="AJD1267"/>
      <c r="AJE1267"/>
      <c r="AJF1267"/>
      <c r="AJG1267"/>
      <c r="AJH1267"/>
      <c r="AJI1267"/>
      <c r="AJJ1267"/>
      <c r="AJK1267"/>
      <c r="AJL1267"/>
      <c r="AJM1267"/>
      <c r="AJN1267"/>
      <c r="AJO1267"/>
      <c r="AJP1267"/>
      <c r="AJQ1267"/>
      <c r="AJR1267"/>
      <c r="AJS1267"/>
      <c r="AJT1267"/>
      <c r="AJU1267"/>
      <c r="AJV1267"/>
      <c r="AJW1267"/>
      <c r="AJX1267"/>
      <c r="AJY1267"/>
      <c r="AJZ1267"/>
      <c r="AKA1267"/>
      <c r="AKB1267"/>
      <c r="AKC1267"/>
      <c r="AKD1267"/>
      <c r="AKE1267"/>
      <c r="AKF1267"/>
      <c r="AKG1267"/>
      <c r="AKH1267"/>
      <c r="AKI1267"/>
      <c r="AKJ1267"/>
      <c r="AKK1267"/>
      <c r="AKL1267"/>
      <c r="AKM1267"/>
      <c r="AKN1267"/>
      <c r="AKO1267"/>
      <c r="AKP1267"/>
      <c r="AKQ1267"/>
      <c r="AKR1267"/>
      <c r="AKS1267"/>
      <c r="AKT1267"/>
      <c r="AKU1267"/>
      <c r="AKV1267"/>
      <c r="AKW1267"/>
      <c r="AKX1267"/>
      <c r="AKY1267"/>
      <c r="AKZ1267"/>
      <c r="ALA1267"/>
      <c r="ALB1267"/>
      <c r="ALC1267"/>
      <c r="ALD1267"/>
      <c r="ALE1267"/>
      <c r="ALF1267"/>
      <c r="ALG1267"/>
      <c r="ALH1267"/>
      <c r="ALI1267"/>
      <c r="ALJ1267"/>
      <c r="ALK1267"/>
      <c r="ALL1267"/>
      <c r="ALM1267"/>
      <c r="ALN1267"/>
      <c r="ALO1267"/>
      <c r="ALP1267"/>
      <c r="ALQ1267"/>
      <c r="ALR1267"/>
      <c r="ALS1267"/>
      <c r="ALT1267"/>
    </row>
    <row r="1268" spans="1:1008" ht="14">
      <c r="A1268" s="28" t="s">
        <v>3988</v>
      </c>
      <c r="B1268" s="26" t="s">
        <v>3900</v>
      </c>
      <c r="C1268" s="28" t="s">
        <v>3988</v>
      </c>
      <c r="D1268" s="25" t="s">
        <v>13</v>
      </c>
      <c r="E1268" s="28" t="s">
        <v>3988</v>
      </c>
      <c r="F1268" s="28" t="s">
        <v>3989</v>
      </c>
      <c r="G1268" s="28">
        <v>500</v>
      </c>
      <c r="H1268" s="28"/>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c r="AT1268"/>
      <c r="AU1268"/>
      <c r="AV1268"/>
      <c r="AW1268"/>
      <c r="AX1268"/>
      <c r="AY1268"/>
      <c r="AZ1268"/>
      <c r="BA1268"/>
      <c r="BB1268"/>
      <c r="BC1268"/>
      <c r="BD1268"/>
      <c r="BE1268"/>
      <c r="BF1268"/>
      <c r="BG1268"/>
      <c r="BH1268"/>
      <c r="BI1268"/>
      <c r="BJ1268"/>
      <c r="BK1268"/>
      <c r="BL1268"/>
      <c r="BM1268"/>
      <c r="BN1268"/>
      <c r="BO1268"/>
      <c r="BP1268"/>
      <c r="BQ1268"/>
      <c r="BR1268"/>
      <c r="BS1268"/>
      <c r="BT1268"/>
      <c r="BU1268"/>
      <c r="BV1268"/>
      <c r="BW1268"/>
      <c r="BX1268"/>
      <c r="BY1268"/>
      <c r="BZ1268"/>
      <c r="CA1268"/>
      <c r="CB1268"/>
      <c r="CC1268"/>
      <c r="CD1268"/>
      <c r="CE1268"/>
      <c r="CF1268"/>
      <c r="CG1268"/>
      <c r="CH1268"/>
      <c r="CI1268"/>
      <c r="CJ1268"/>
      <c r="CK1268"/>
      <c r="CL1268"/>
      <c r="CM1268"/>
      <c r="CN1268"/>
      <c r="CO1268"/>
      <c r="CP1268"/>
      <c r="CQ1268"/>
      <c r="CR1268"/>
      <c r="CS1268"/>
      <c r="CT1268"/>
      <c r="CU1268"/>
      <c r="CV1268"/>
      <c r="CW1268"/>
      <c r="CX1268"/>
      <c r="CY1268"/>
      <c r="CZ1268"/>
      <c r="DA1268"/>
      <c r="DB1268"/>
      <c r="DC1268"/>
      <c r="DD1268"/>
      <c r="DE1268"/>
      <c r="DF1268"/>
      <c r="DG1268"/>
      <c r="DH1268"/>
      <c r="DI1268"/>
      <c r="DJ1268"/>
      <c r="DK1268"/>
      <c r="DL1268"/>
      <c r="DM1268"/>
      <c r="DN1268"/>
      <c r="DO1268"/>
      <c r="DP1268"/>
      <c r="DQ1268"/>
      <c r="DR1268"/>
      <c r="DS1268"/>
      <c r="DT1268"/>
      <c r="DU1268"/>
      <c r="DV1268"/>
      <c r="DW1268"/>
      <c r="DX1268"/>
      <c r="DY1268"/>
      <c r="DZ1268"/>
      <c r="EA1268"/>
      <c r="EB1268"/>
      <c r="EC1268"/>
      <c r="ED1268"/>
      <c r="EE1268"/>
      <c r="EF1268"/>
      <c r="EG1268"/>
      <c r="EH1268"/>
      <c r="EI1268"/>
      <c r="EJ1268"/>
      <c r="EK1268"/>
      <c r="EL1268"/>
      <c r="EM1268"/>
      <c r="EN1268"/>
      <c r="EO1268"/>
      <c r="EP1268"/>
      <c r="EQ1268"/>
      <c r="ER1268"/>
      <c r="ES1268"/>
      <c r="ET1268"/>
      <c r="EU1268"/>
      <c r="EV1268"/>
      <c r="EW1268"/>
      <c r="EX1268"/>
      <c r="EY1268"/>
      <c r="EZ1268"/>
      <c r="FA1268"/>
      <c r="FB1268"/>
      <c r="FC1268"/>
      <c r="FD1268"/>
      <c r="FE1268"/>
      <c r="FF1268"/>
      <c r="FG1268"/>
      <c r="FH1268"/>
      <c r="FI1268"/>
      <c r="FJ1268"/>
      <c r="FK1268"/>
      <c r="FL1268"/>
      <c r="FM1268"/>
      <c r="FN1268"/>
      <c r="FO1268"/>
      <c r="FP1268"/>
      <c r="FQ1268"/>
      <c r="FR1268"/>
      <c r="FS1268"/>
      <c r="FT1268"/>
      <c r="FU1268"/>
      <c r="FV1268"/>
      <c r="FW1268"/>
      <c r="FX1268"/>
      <c r="FY1268"/>
      <c r="FZ1268"/>
      <c r="GA1268"/>
      <c r="GB1268"/>
      <c r="GC1268"/>
      <c r="GD1268"/>
      <c r="GE1268"/>
      <c r="GF1268"/>
      <c r="GG1268"/>
      <c r="GH1268"/>
      <c r="GI1268"/>
      <c r="GJ1268"/>
      <c r="GK1268"/>
      <c r="GL1268"/>
      <c r="GM1268"/>
      <c r="GN1268"/>
      <c r="GO1268"/>
      <c r="GP1268"/>
      <c r="GQ1268"/>
      <c r="GR1268"/>
      <c r="GS1268"/>
      <c r="GT1268"/>
      <c r="GU1268"/>
      <c r="GV1268"/>
      <c r="GW1268"/>
      <c r="GX1268"/>
      <c r="GY1268"/>
      <c r="GZ1268"/>
      <c r="HA1268"/>
      <c r="HB1268"/>
      <c r="HC1268"/>
      <c r="HD1268"/>
      <c r="HE1268"/>
      <c r="HF1268"/>
      <c r="HG1268"/>
      <c r="HH1268"/>
      <c r="HI1268"/>
      <c r="HJ1268"/>
      <c r="HK1268"/>
      <c r="HL1268"/>
      <c r="HM1268"/>
      <c r="HN1268"/>
      <c r="HO1268"/>
      <c r="HP1268"/>
      <c r="HQ1268"/>
      <c r="HR1268"/>
      <c r="HS1268"/>
      <c r="HT1268"/>
      <c r="HU1268"/>
      <c r="HV1268"/>
      <c r="HW1268"/>
      <c r="HX1268"/>
      <c r="HY1268"/>
      <c r="HZ1268"/>
      <c r="IA1268"/>
      <c r="IB1268"/>
      <c r="IC1268"/>
      <c r="ID1268"/>
      <c r="IE1268"/>
      <c r="IF1268"/>
      <c r="IG1268"/>
      <c r="IH1268"/>
      <c r="II1268"/>
      <c r="IJ1268"/>
      <c r="IK1268"/>
      <c r="IL1268"/>
      <c r="IM1268"/>
      <c r="IN1268"/>
      <c r="IO1268"/>
      <c r="IP1268"/>
      <c r="IQ1268"/>
      <c r="IR1268"/>
      <c r="IS1268"/>
      <c r="IT1268"/>
      <c r="IU1268"/>
      <c r="IV1268"/>
      <c r="IW1268"/>
      <c r="IX1268"/>
      <c r="IY1268"/>
      <c r="IZ1268"/>
      <c r="JA1268"/>
      <c r="JB1268"/>
      <c r="JC1268"/>
      <c r="JD1268"/>
      <c r="JE1268"/>
      <c r="JF1268"/>
      <c r="JG1268"/>
      <c r="JH1268"/>
      <c r="JI1268"/>
      <c r="JJ1268"/>
      <c r="JK1268"/>
      <c r="JL1268"/>
      <c r="JM1268"/>
      <c r="JN1268"/>
      <c r="JO1268"/>
      <c r="JP1268"/>
      <c r="JQ1268"/>
      <c r="JR1268"/>
      <c r="JS1268"/>
      <c r="JT1268"/>
      <c r="JU1268"/>
      <c r="JV1268"/>
      <c r="JW1268"/>
      <c r="JX1268"/>
      <c r="JY1268"/>
      <c r="JZ1268"/>
      <c r="KA1268"/>
      <c r="KB1268"/>
      <c r="KC1268"/>
      <c r="KD1268"/>
      <c r="KE1268"/>
      <c r="KF1268"/>
      <c r="KG1268"/>
      <c r="KH1268"/>
      <c r="KI1268"/>
      <c r="KJ1268"/>
      <c r="KK1268"/>
      <c r="KL1268"/>
      <c r="KM1268"/>
      <c r="KN1268"/>
      <c r="KO1268"/>
      <c r="KP1268"/>
      <c r="KQ1268"/>
      <c r="KR1268"/>
      <c r="KS1268"/>
      <c r="KT1268"/>
      <c r="KU1268"/>
      <c r="KV1268"/>
      <c r="KW1268"/>
      <c r="KX1268"/>
      <c r="KY1268"/>
      <c r="KZ1268"/>
      <c r="LA1268"/>
      <c r="LB1268"/>
      <c r="LC1268"/>
      <c r="LD1268"/>
      <c r="LE1268"/>
      <c r="LF1268"/>
      <c r="LG1268"/>
      <c r="LH1268"/>
      <c r="LI1268"/>
      <c r="LJ1268"/>
      <c r="LK1268"/>
      <c r="LL1268"/>
      <c r="LM1268"/>
      <c r="LN1268"/>
      <c r="LO1268"/>
      <c r="LP1268"/>
      <c r="LQ1268"/>
      <c r="LR1268"/>
      <c r="LS1268"/>
      <c r="LT1268"/>
      <c r="LU1268"/>
      <c r="LV1268"/>
      <c r="LW1268"/>
      <c r="LX1268"/>
      <c r="LY1268"/>
      <c r="LZ1268"/>
      <c r="MA1268"/>
      <c r="MB1268"/>
      <c r="MC1268"/>
      <c r="MD1268"/>
      <c r="ME1268"/>
      <c r="MF1268"/>
      <c r="MG1268"/>
      <c r="MH1268"/>
      <c r="MI1268"/>
      <c r="MJ1268"/>
      <c r="MK1268"/>
      <c r="ML1268"/>
      <c r="MM1268"/>
      <c r="MN1268"/>
      <c r="MO1268"/>
      <c r="MP1268"/>
      <c r="MQ1268"/>
      <c r="MR1268"/>
      <c r="MS1268"/>
      <c r="MT1268"/>
      <c r="MU1268"/>
      <c r="MV1268"/>
      <c r="MW1268"/>
      <c r="MX1268"/>
      <c r="MY1268"/>
      <c r="MZ1268"/>
      <c r="NA1268"/>
      <c r="NB1268"/>
      <c r="NC1268"/>
      <c r="ND1268"/>
      <c r="NE1268"/>
      <c r="NF1268"/>
      <c r="NG1268"/>
      <c r="NH1268"/>
      <c r="NI1268"/>
      <c r="NJ1268"/>
      <c r="NK1268"/>
      <c r="NL1268"/>
      <c r="NM1268"/>
      <c r="NN1268"/>
      <c r="NO1268"/>
      <c r="NP1268"/>
      <c r="NQ1268"/>
      <c r="NR1268"/>
      <c r="NS1268"/>
      <c r="NT1268"/>
      <c r="NU1268"/>
      <c r="NV1268"/>
      <c r="NW1268"/>
      <c r="NX1268"/>
      <c r="NY1268"/>
      <c r="NZ1268"/>
      <c r="OA1268"/>
      <c r="OB1268"/>
      <c r="OC1268"/>
      <c r="OD1268"/>
      <c r="OE1268"/>
      <c r="OF1268"/>
      <c r="OG1268"/>
      <c r="OH1268"/>
      <c r="OI1268"/>
      <c r="OJ1268"/>
      <c r="OK1268"/>
      <c r="OL1268"/>
      <c r="OM1268"/>
      <c r="ON1268"/>
      <c r="OO1268"/>
      <c r="OP1268"/>
      <c r="OQ1268"/>
      <c r="OR1268"/>
      <c r="OS1268"/>
      <c r="OT1268"/>
      <c r="OU1268"/>
      <c r="OV1268"/>
      <c r="OW1268"/>
      <c r="OX1268"/>
      <c r="OY1268"/>
      <c r="OZ1268"/>
      <c r="PA1268"/>
      <c r="PB1268"/>
      <c r="PC1268"/>
      <c r="PD1268"/>
      <c r="PE1268"/>
      <c r="PF1268"/>
      <c r="PG1268"/>
      <c r="PH1268"/>
      <c r="PI1268"/>
      <c r="PJ1268"/>
      <c r="PK1268"/>
      <c r="PL1268"/>
      <c r="PM1268"/>
      <c r="PN1268"/>
      <c r="PO1268"/>
      <c r="PP1268"/>
      <c r="PQ1268"/>
      <c r="PR1268"/>
      <c r="PS1268"/>
      <c r="PT1268"/>
      <c r="PU1268"/>
      <c r="PV1268"/>
      <c r="PW1268"/>
      <c r="PX1268"/>
      <c r="PY1268"/>
      <c r="PZ1268"/>
      <c r="QA1268"/>
      <c r="QB1268"/>
      <c r="QC1268"/>
      <c r="QD1268"/>
      <c r="QE1268"/>
      <c r="QF1268"/>
      <c r="QG1268"/>
      <c r="QH1268"/>
      <c r="QI1268"/>
      <c r="QJ1268"/>
      <c r="QK1268"/>
      <c r="QL1268"/>
      <c r="QM1268"/>
      <c r="QN1268"/>
      <c r="QO1268"/>
      <c r="QP1268"/>
      <c r="QQ1268"/>
      <c r="QR1268"/>
      <c r="QS1268"/>
      <c r="QT1268"/>
      <c r="QU1268"/>
      <c r="QV1268"/>
      <c r="QW1268"/>
      <c r="QX1268"/>
      <c r="QY1268"/>
      <c r="QZ1268"/>
      <c r="RA1268"/>
      <c r="RB1268"/>
      <c r="RC1268"/>
      <c r="RD1268"/>
      <c r="RE1268"/>
      <c r="RF1268"/>
      <c r="RG1268"/>
      <c r="RH1268"/>
      <c r="RI1268"/>
      <c r="RJ1268"/>
      <c r="RK1268"/>
      <c r="RL1268"/>
      <c r="RM1268"/>
      <c r="RN1268"/>
      <c r="RO1268"/>
      <c r="RP1268"/>
      <c r="RQ1268"/>
      <c r="RR1268"/>
      <c r="RS1268"/>
      <c r="RT1268"/>
      <c r="RU1268"/>
      <c r="RV1268"/>
      <c r="RW1268"/>
      <c r="RX1268"/>
      <c r="RY1268"/>
      <c r="RZ1268"/>
      <c r="SA1268"/>
      <c r="SB1268"/>
      <c r="SC1268"/>
      <c r="SD1268"/>
      <c r="SE1268"/>
      <c r="SF1268"/>
      <c r="SG1268"/>
      <c r="SH1268"/>
      <c r="SI1268"/>
      <c r="SJ1268"/>
      <c r="SK1268"/>
      <c r="SL1268"/>
      <c r="SM1268"/>
      <c r="SN1268"/>
      <c r="SO1268"/>
      <c r="SP1268"/>
      <c r="SQ1268"/>
      <c r="SR1268"/>
      <c r="SS1268"/>
      <c r="ST1268"/>
      <c r="SU1268"/>
      <c r="SV1268"/>
      <c r="SW1268"/>
      <c r="SX1268"/>
      <c r="SY1268"/>
      <c r="SZ1268"/>
      <c r="TA1268"/>
      <c r="TB1268"/>
      <c r="TC1268"/>
      <c r="TD1268"/>
      <c r="TE1268"/>
      <c r="TF1268"/>
      <c r="TG1268"/>
      <c r="TH1268"/>
      <c r="TI1268"/>
      <c r="TJ1268"/>
      <c r="TK1268"/>
      <c r="TL1268"/>
      <c r="TM1268"/>
      <c r="TN1268"/>
      <c r="TO1268"/>
      <c r="TP1268"/>
      <c r="TQ1268"/>
      <c r="TR1268"/>
      <c r="TS1268"/>
      <c r="TT1268"/>
      <c r="TU1268"/>
      <c r="TV1268"/>
      <c r="TW1268"/>
      <c r="TX1268"/>
      <c r="TY1268"/>
      <c r="TZ1268"/>
      <c r="UA1268"/>
      <c r="UB1268"/>
      <c r="UC1268"/>
      <c r="UD1268"/>
      <c r="UE1268"/>
      <c r="UF1268"/>
      <c r="UG1268"/>
      <c r="UH1268"/>
      <c r="UI1268"/>
      <c r="UJ1268"/>
      <c r="UK1268"/>
      <c r="UL1268"/>
      <c r="UM1268"/>
      <c r="UN1268"/>
      <c r="UO1268"/>
      <c r="UP1268"/>
      <c r="UQ1268"/>
      <c r="UR1268"/>
      <c r="US1268"/>
      <c r="UT1268"/>
      <c r="UU1268"/>
      <c r="UV1268"/>
      <c r="UW1268"/>
      <c r="UX1268"/>
      <c r="UY1268"/>
      <c r="UZ1268"/>
      <c r="VA1268"/>
      <c r="VB1268"/>
      <c r="VC1268"/>
      <c r="VD1268"/>
      <c r="VE1268"/>
      <c r="VF1268"/>
      <c r="VG1268"/>
      <c r="VH1268"/>
      <c r="VI1268"/>
      <c r="VJ1268"/>
      <c r="VK1268"/>
      <c r="VL1268"/>
      <c r="VM1268"/>
      <c r="VN1268"/>
      <c r="VO1268"/>
      <c r="VP1268"/>
      <c r="VQ1268"/>
      <c r="VR1268"/>
      <c r="VS1268"/>
      <c r="VT1268"/>
      <c r="VU1268"/>
      <c r="VV1268"/>
      <c r="VW1268"/>
      <c r="VX1268"/>
      <c r="VY1268"/>
      <c r="VZ1268"/>
      <c r="WA1268"/>
      <c r="WB1268"/>
      <c r="WC1268"/>
      <c r="WD1268"/>
      <c r="WE1268"/>
      <c r="WF1268"/>
      <c r="WG1268"/>
      <c r="WH1268"/>
      <c r="WI1268"/>
      <c r="WJ1268"/>
      <c r="WK1268"/>
      <c r="WL1268"/>
      <c r="WM1268"/>
      <c r="WN1268"/>
      <c r="WO1268"/>
      <c r="WP1268"/>
      <c r="WQ1268"/>
      <c r="WR1268"/>
      <c r="WS1268"/>
      <c r="WT1268"/>
      <c r="WU1268"/>
      <c r="WV1268"/>
      <c r="WW1268"/>
      <c r="WX1268"/>
      <c r="WY1268"/>
      <c r="WZ1268"/>
      <c r="XA1268"/>
      <c r="XB1268"/>
      <c r="XC1268"/>
      <c r="XD1268"/>
      <c r="XE1268"/>
      <c r="XF1268"/>
      <c r="XG1268"/>
      <c r="XH1268"/>
      <c r="XI1268"/>
      <c r="XJ1268"/>
      <c r="XK1268"/>
      <c r="XL1268"/>
      <c r="XM1268"/>
      <c r="XN1268"/>
      <c r="XO1268"/>
      <c r="XP1268"/>
      <c r="XQ1268"/>
      <c r="XR1268"/>
      <c r="XS1268"/>
      <c r="XT1268"/>
      <c r="XU1268"/>
      <c r="XV1268"/>
      <c r="XW1268"/>
      <c r="XX1268"/>
      <c r="XY1268"/>
      <c r="XZ1268"/>
      <c r="YA1268"/>
      <c r="YB1268"/>
      <c r="YC1268"/>
      <c r="YD1268"/>
      <c r="YE1268"/>
      <c r="YF1268"/>
      <c r="YG1268"/>
      <c r="YH1268"/>
      <c r="YI1268"/>
      <c r="YJ1268"/>
      <c r="YK1268"/>
      <c r="YL1268"/>
      <c r="YM1268"/>
      <c r="YN1268"/>
      <c r="YO1268"/>
      <c r="YP1268"/>
      <c r="YQ1268"/>
      <c r="YR1268"/>
      <c r="YS1268"/>
      <c r="YT1268"/>
      <c r="YU1268"/>
      <c r="YV1268"/>
      <c r="YW1268"/>
      <c r="YX1268"/>
      <c r="YY1268"/>
      <c r="YZ1268"/>
      <c r="ZA1268"/>
      <c r="ZB1268"/>
      <c r="ZC1268"/>
      <c r="ZD1268"/>
      <c r="ZE1268"/>
      <c r="ZF1268"/>
      <c r="ZG1268"/>
      <c r="ZH1268"/>
      <c r="ZI1268"/>
      <c r="ZJ1268"/>
      <c r="ZK1268"/>
      <c r="ZL1268"/>
      <c r="ZM1268"/>
      <c r="ZN1268"/>
      <c r="ZO1268"/>
      <c r="ZP1268"/>
      <c r="ZQ1268"/>
      <c r="ZR1268"/>
      <c r="ZS1268"/>
      <c r="ZT1268"/>
      <c r="ZU1268"/>
      <c r="ZV1268"/>
      <c r="ZW1268"/>
      <c r="ZX1268"/>
      <c r="ZY1268"/>
      <c r="ZZ1268"/>
      <c r="AAA1268"/>
      <c r="AAB1268"/>
      <c r="AAC1268"/>
      <c r="AAD1268"/>
      <c r="AAE1268"/>
      <c r="AAF1268"/>
      <c r="AAG1268"/>
      <c r="AAH1268"/>
      <c r="AAI1268"/>
      <c r="AAJ1268"/>
      <c r="AAK1268"/>
      <c r="AAL1268"/>
      <c r="AAM1268"/>
      <c r="AAN1268"/>
      <c r="AAO1268"/>
      <c r="AAP1268"/>
      <c r="AAQ1268"/>
      <c r="AAR1268"/>
      <c r="AAS1268"/>
      <c r="AAT1268"/>
      <c r="AAU1268"/>
      <c r="AAV1268"/>
      <c r="AAW1268"/>
      <c r="AAX1268"/>
      <c r="AAY1268"/>
      <c r="AAZ1268"/>
      <c r="ABA1268"/>
      <c r="ABB1268"/>
      <c r="ABC1268"/>
      <c r="ABD1268"/>
      <c r="ABE1268"/>
      <c r="ABF1268"/>
      <c r="ABG1268"/>
      <c r="ABH1268"/>
      <c r="ABI1268"/>
      <c r="ABJ1268"/>
      <c r="ABK1268"/>
      <c r="ABL1268"/>
      <c r="ABM1268"/>
      <c r="ABN1268"/>
      <c r="ABO1268"/>
      <c r="ABP1268"/>
      <c r="ABQ1268"/>
      <c r="ABR1268"/>
      <c r="ABS1268"/>
      <c r="ABT1268"/>
      <c r="ABU1268"/>
      <c r="ABV1268"/>
      <c r="ABW1268"/>
      <c r="ABX1268"/>
      <c r="ABY1268"/>
      <c r="ABZ1268"/>
      <c r="ACA1268"/>
      <c r="ACB1268"/>
      <c r="ACC1268"/>
      <c r="ACD1268"/>
      <c r="ACE1268"/>
      <c r="ACF1268"/>
      <c r="ACG1268"/>
      <c r="ACH1268"/>
      <c r="ACI1268"/>
      <c r="ACJ1268"/>
      <c r="ACK1268"/>
      <c r="ACL1268"/>
      <c r="ACM1268"/>
      <c r="ACN1268"/>
      <c r="ACO1268"/>
      <c r="ACP1268"/>
      <c r="ACQ1268"/>
      <c r="ACR1268"/>
      <c r="ACS1268"/>
      <c r="ACT1268"/>
      <c r="ACU1268"/>
      <c r="ACV1268"/>
      <c r="ACW1268"/>
      <c r="ACX1268"/>
      <c r="ACY1268"/>
      <c r="ACZ1268"/>
      <c r="ADA1268"/>
      <c r="ADB1268"/>
      <c r="ADC1268"/>
      <c r="ADD1268"/>
      <c r="ADE1268"/>
      <c r="ADF1268"/>
      <c r="ADG1268"/>
      <c r="ADH1268"/>
      <c r="ADI1268"/>
      <c r="ADJ1268"/>
      <c r="ADK1268"/>
      <c r="ADL1268"/>
      <c r="ADM1268"/>
      <c r="ADN1268"/>
      <c r="ADO1268"/>
      <c r="ADP1268"/>
      <c r="ADQ1268"/>
      <c r="ADR1268"/>
      <c r="ADS1268"/>
      <c r="ADT1268"/>
      <c r="ADU1268"/>
      <c r="ADV1268"/>
      <c r="ADW1268"/>
      <c r="ADX1268"/>
      <c r="ADY1268"/>
      <c r="ADZ1268"/>
      <c r="AEA1268"/>
      <c r="AEB1268"/>
      <c r="AEC1268"/>
      <c r="AED1268"/>
      <c r="AEE1268"/>
      <c r="AEF1268"/>
      <c r="AEG1268"/>
      <c r="AEH1268"/>
      <c r="AEI1268"/>
      <c r="AEJ1268"/>
      <c r="AEK1268"/>
      <c r="AEL1268"/>
      <c r="AEM1268"/>
      <c r="AEN1268"/>
      <c r="AEO1268"/>
      <c r="AEP1268"/>
      <c r="AEQ1268"/>
      <c r="AER1268"/>
      <c r="AES1268"/>
      <c r="AET1268"/>
      <c r="AEU1268"/>
      <c r="AEV1268"/>
      <c r="AEW1268"/>
      <c r="AEX1268"/>
      <c r="AEY1268"/>
      <c r="AEZ1268"/>
      <c r="AFA1268"/>
      <c r="AFB1268"/>
      <c r="AFC1268"/>
      <c r="AFD1268"/>
      <c r="AFE1268"/>
      <c r="AFF1268"/>
      <c r="AFG1268"/>
      <c r="AFH1268"/>
      <c r="AFI1268"/>
      <c r="AFJ1268"/>
      <c r="AFK1268"/>
      <c r="AFL1268"/>
      <c r="AFM1268"/>
      <c r="AFN1268"/>
      <c r="AFO1268"/>
      <c r="AFP1268"/>
      <c r="AFQ1268"/>
      <c r="AFR1268"/>
      <c r="AFS1268"/>
      <c r="AFT1268"/>
      <c r="AFU1268"/>
      <c r="AFV1268"/>
      <c r="AFW1268"/>
      <c r="AFX1268"/>
      <c r="AFY1268"/>
      <c r="AFZ1268"/>
      <c r="AGA1268"/>
      <c r="AGB1268"/>
      <c r="AGC1268"/>
      <c r="AGD1268"/>
      <c r="AGE1268"/>
      <c r="AGF1268"/>
      <c r="AGG1268"/>
      <c r="AGH1268"/>
      <c r="AGI1268"/>
      <c r="AGJ1268"/>
      <c r="AGK1268"/>
      <c r="AGL1268"/>
      <c r="AGM1268"/>
      <c r="AGN1268"/>
      <c r="AGO1268"/>
      <c r="AGP1268"/>
      <c r="AGQ1268"/>
      <c r="AGR1268"/>
      <c r="AGS1268"/>
      <c r="AGT1268"/>
      <c r="AGU1268"/>
      <c r="AGV1268"/>
      <c r="AGW1268"/>
      <c r="AGX1268"/>
      <c r="AGY1268"/>
      <c r="AGZ1268"/>
      <c r="AHA1268"/>
      <c r="AHB1268"/>
      <c r="AHC1268"/>
      <c r="AHD1268"/>
      <c r="AHE1268"/>
      <c r="AHF1268"/>
      <c r="AHG1268"/>
      <c r="AHH1268"/>
      <c r="AHI1268"/>
      <c r="AHJ1268"/>
      <c r="AHK1268"/>
      <c r="AHL1268"/>
      <c r="AHM1268"/>
      <c r="AHN1268"/>
      <c r="AHO1268"/>
      <c r="AHP1268"/>
      <c r="AHQ1268"/>
      <c r="AHR1268"/>
      <c r="AHS1268"/>
      <c r="AHT1268"/>
      <c r="AHU1268"/>
      <c r="AHV1268"/>
      <c r="AHW1268"/>
      <c r="AHX1268"/>
      <c r="AHY1268"/>
      <c r="AHZ1268"/>
      <c r="AIA1268"/>
      <c r="AIB1268"/>
      <c r="AIC1268"/>
      <c r="AID1268"/>
      <c r="AIE1268"/>
      <c r="AIF1268"/>
      <c r="AIG1268"/>
      <c r="AIH1268"/>
      <c r="AII1268"/>
      <c r="AIJ1268"/>
      <c r="AIK1268"/>
      <c r="AIL1268"/>
      <c r="AIM1268"/>
      <c r="AIN1268"/>
      <c r="AIO1268"/>
      <c r="AIP1268"/>
      <c r="AIQ1268"/>
      <c r="AIR1268"/>
      <c r="AIS1268"/>
      <c r="AIT1268"/>
      <c r="AIU1268"/>
      <c r="AIV1268"/>
      <c r="AIW1268"/>
      <c r="AIX1268"/>
      <c r="AIY1268"/>
      <c r="AIZ1268"/>
      <c r="AJA1268"/>
      <c r="AJB1268"/>
      <c r="AJC1268"/>
      <c r="AJD1268"/>
      <c r="AJE1268"/>
      <c r="AJF1268"/>
      <c r="AJG1268"/>
      <c r="AJH1268"/>
      <c r="AJI1268"/>
      <c r="AJJ1268"/>
      <c r="AJK1268"/>
      <c r="AJL1268"/>
      <c r="AJM1268"/>
      <c r="AJN1268"/>
      <c r="AJO1268"/>
      <c r="AJP1268"/>
      <c r="AJQ1268"/>
      <c r="AJR1268"/>
      <c r="AJS1268"/>
      <c r="AJT1268"/>
      <c r="AJU1268"/>
      <c r="AJV1268"/>
      <c r="AJW1268"/>
      <c r="AJX1268"/>
      <c r="AJY1268"/>
      <c r="AJZ1268"/>
      <c r="AKA1268"/>
      <c r="AKB1268"/>
      <c r="AKC1268"/>
      <c r="AKD1268"/>
      <c r="AKE1268"/>
      <c r="AKF1268"/>
      <c r="AKG1268"/>
      <c r="AKH1268"/>
      <c r="AKI1268"/>
      <c r="AKJ1268"/>
      <c r="AKK1268"/>
      <c r="AKL1268"/>
      <c r="AKM1268"/>
      <c r="AKN1268"/>
      <c r="AKO1268"/>
      <c r="AKP1268"/>
      <c r="AKQ1268"/>
      <c r="AKR1268"/>
      <c r="AKS1268"/>
      <c r="AKT1268"/>
      <c r="AKU1268"/>
      <c r="AKV1268"/>
      <c r="AKW1268"/>
      <c r="AKX1268"/>
      <c r="AKY1268"/>
      <c r="AKZ1268"/>
      <c r="ALA1268"/>
      <c r="ALB1268"/>
      <c r="ALC1268"/>
      <c r="ALD1268"/>
      <c r="ALE1268"/>
      <c r="ALF1268"/>
      <c r="ALG1268"/>
      <c r="ALH1268"/>
      <c r="ALI1268"/>
      <c r="ALJ1268"/>
      <c r="ALK1268"/>
      <c r="ALL1268"/>
      <c r="ALM1268"/>
      <c r="ALN1268"/>
      <c r="ALO1268"/>
      <c r="ALP1268"/>
      <c r="ALQ1268"/>
      <c r="ALR1268"/>
      <c r="ALS1268"/>
      <c r="ALT1268"/>
    </row>
    <row r="1269" spans="1:1008" ht="14">
      <c r="A1269" s="28" t="s">
        <v>3962</v>
      </c>
      <c r="B1269" s="26" t="s">
        <v>3996</v>
      </c>
      <c r="C1269" s="28" t="s">
        <v>3962</v>
      </c>
      <c r="D1269" s="25" t="s">
        <v>13</v>
      </c>
      <c r="E1269" s="28" t="s">
        <v>3962</v>
      </c>
      <c r="F1269" s="28" t="s">
        <v>3963</v>
      </c>
      <c r="G1269" s="28">
        <v>500</v>
      </c>
      <c r="H1269" s="28"/>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c r="AT1269"/>
      <c r="AU1269"/>
      <c r="AV1269"/>
      <c r="AW1269"/>
      <c r="AX1269"/>
      <c r="AY1269"/>
      <c r="AZ1269"/>
      <c r="BA1269"/>
      <c r="BB1269"/>
      <c r="BC1269"/>
      <c r="BD1269"/>
      <c r="BE1269"/>
      <c r="BF1269"/>
      <c r="BG1269"/>
      <c r="BH1269"/>
      <c r="BI1269"/>
      <c r="BJ1269"/>
      <c r="BK1269"/>
      <c r="BL1269"/>
      <c r="BM1269"/>
      <c r="BN1269"/>
      <c r="BO1269"/>
      <c r="BP1269"/>
      <c r="BQ1269"/>
      <c r="BR1269"/>
      <c r="BS1269"/>
      <c r="BT1269"/>
      <c r="BU1269"/>
      <c r="BV1269"/>
      <c r="BW1269"/>
      <c r="BX1269"/>
      <c r="BY1269"/>
      <c r="BZ1269"/>
      <c r="CA1269"/>
      <c r="CB1269"/>
      <c r="CC1269"/>
      <c r="CD1269"/>
      <c r="CE1269"/>
      <c r="CF1269"/>
      <c r="CG1269"/>
      <c r="CH1269"/>
      <c r="CI1269"/>
      <c r="CJ1269"/>
      <c r="CK1269"/>
      <c r="CL1269"/>
      <c r="CM1269"/>
      <c r="CN1269"/>
      <c r="CO1269"/>
      <c r="CP1269"/>
      <c r="CQ1269"/>
      <c r="CR1269"/>
      <c r="CS1269"/>
      <c r="CT1269"/>
      <c r="CU1269"/>
      <c r="CV1269"/>
      <c r="CW1269"/>
      <c r="CX1269"/>
      <c r="CY1269"/>
      <c r="CZ1269"/>
      <c r="DA1269"/>
      <c r="DB1269"/>
      <c r="DC1269"/>
      <c r="DD1269"/>
      <c r="DE1269"/>
      <c r="DF1269"/>
      <c r="DG1269"/>
      <c r="DH1269"/>
      <c r="DI1269"/>
      <c r="DJ1269"/>
      <c r="DK1269"/>
      <c r="DL1269"/>
      <c r="DM1269"/>
      <c r="DN1269"/>
      <c r="DO1269"/>
      <c r="DP1269"/>
      <c r="DQ1269"/>
      <c r="DR1269"/>
      <c r="DS1269"/>
      <c r="DT1269"/>
      <c r="DU1269"/>
      <c r="DV1269"/>
      <c r="DW1269"/>
      <c r="DX1269"/>
      <c r="DY1269"/>
      <c r="DZ1269"/>
      <c r="EA1269"/>
      <c r="EB1269"/>
      <c r="EC1269"/>
      <c r="ED1269"/>
      <c r="EE1269"/>
      <c r="EF1269"/>
      <c r="EG1269"/>
      <c r="EH1269"/>
      <c r="EI1269"/>
      <c r="EJ1269"/>
      <c r="EK1269"/>
      <c r="EL1269"/>
      <c r="EM1269"/>
      <c r="EN1269"/>
      <c r="EO1269"/>
      <c r="EP1269"/>
      <c r="EQ1269"/>
      <c r="ER1269"/>
      <c r="ES1269"/>
      <c r="ET1269"/>
      <c r="EU1269"/>
      <c r="EV1269"/>
      <c r="EW1269"/>
      <c r="EX1269"/>
      <c r="EY1269"/>
      <c r="EZ1269"/>
      <c r="FA1269"/>
      <c r="FB1269"/>
      <c r="FC1269"/>
      <c r="FD1269"/>
      <c r="FE1269"/>
      <c r="FF1269"/>
      <c r="FG1269"/>
      <c r="FH1269"/>
      <c r="FI1269"/>
      <c r="FJ1269"/>
      <c r="FK1269"/>
      <c r="FL1269"/>
      <c r="FM1269"/>
      <c r="FN1269"/>
      <c r="FO1269"/>
      <c r="FP1269"/>
      <c r="FQ1269"/>
      <c r="FR1269"/>
      <c r="FS1269"/>
      <c r="FT1269"/>
      <c r="FU1269"/>
      <c r="FV1269"/>
      <c r="FW1269"/>
      <c r="FX1269"/>
      <c r="FY1269"/>
      <c r="FZ1269"/>
      <c r="GA1269"/>
      <c r="GB1269"/>
      <c r="GC1269"/>
      <c r="GD1269"/>
      <c r="GE1269"/>
      <c r="GF1269"/>
      <c r="GG1269"/>
      <c r="GH1269"/>
      <c r="GI1269"/>
      <c r="GJ1269"/>
      <c r="GK1269"/>
      <c r="GL1269"/>
      <c r="GM1269"/>
      <c r="GN1269"/>
      <c r="GO1269"/>
      <c r="GP1269"/>
      <c r="GQ1269"/>
      <c r="GR1269"/>
      <c r="GS1269"/>
      <c r="GT1269"/>
      <c r="GU1269"/>
      <c r="GV1269"/>
      <c r="GW1269"/>
      <c r="GX1269"/>
      <c r="GY1269"/>
      <c r="GZ1269"/>
      <c r="HA1269"/>
      <c r="HB1269"/>
      <c r="HC1269"/>
      <c r="HD1269"/>
      <c r="HE1269"/>
      <c r="HF1269"/>
      <c r="HG1269"/>
      <c r="HH1269"/>
      <c r="HI1269"/>
      <c r="HJ1269"/>
      <c r="HK1269"/>
      <c r="HL1269"/>
      <c r="HM1269"/>
      <c r="HN1269"/>
      <c r="HO1269"/>
      <c r="HP1269"/>
      <c r="HQ1269"/>
      <c r="HR1269"/>
      <c r="HS1269"/>
      <c r="HT1269"/>
      <c r="HU1269"/>
      <c r="HV1269"/>
      <c r="HW1269"/>
      <c r="HX1269"/>
      <c r="HY1269"/>
      <c r="HZ1269"/>
      <c r="IA1269"/>
      <c r="IB1269"/>
      <c r="IC1269"/>
      <c r="ID1269"/>
      <c r="IE1269"/>
      <c r="IF1269"/>
      <c r="IG1269"/>
      <c r="IH1269"/>
      <c r="II1269"/>
      <c r="IJ1269"/>
      <c r="IK1269"/>
      <c r="IL1269"/>
      <c r="IM1269"/>
      <c r="IN1269"/>
      <c r="IO1269"/>
      <c r="IP1269"/>
      <c r="IQ1269"/>
      <c r="IR1269"/>
      <c r="IS1269"/>
      <c r="IT1269"/>
      <c r="IU1269"/>
      <c r="IV1269"/>
      <c r="IW1269"/>
      <c r="IX1269"/>
      <c r="IY1269"/>
      <c r="IZ1269"/>
      <c r="JA1269"/>
      <c r="JB1269"/>
      <c r="JC1269"/>
      <c r="JD1269"/>
      <c r="JE1269"/>
      <c r="JF1269"/>
      <c r="JG1269"/>
      <c r="JH1269"/>
      <c r="JI1269"/>
      <c r="JJ1269"/>
      <c r="JK1269"/>
      <c r="JL1269"/>
      <c r="JM1269"/>
      <c r="JN1269"/>
      <c r="JO1269"/>
      <c r="JP1269"/>
      <c r="JQ1269"/>
      <c r="JR1269"/>
      <c r="JS1269"/>
      <c r="JT1269"/>
      <c r="JU1269"/>
      <c r="JV1269"/>
      <c r="JW1269"/>
      <c r="JX1269"/>
      <c r="JY1269"/>
      <c r="JZ1269"/>
      <c r="KA1269"/>
      <c r="KB1269"/>
      <c r="KC1269"/>
      <c r="KD1269"/>
      <c r="KE1269"/>
      <c r="KF1269"/>
      <c r="KG1269"/>
      <c r="KH1269"/>
      <c r="KI1269"/>
      <c r="KJ1269"/>
      <c r="KK1269"/>
      <c r="KL1269"/>
      <c r="KM1269"/>
      <c r="KN1269"/>
      <c r="KO1269"/>
      <c r="KP1269"/>
      <c r="KQ1269"/>
      <c r="KR1269"/>
      <c r="KS1269"/>
      <c r="KT1269"/>
      <c r="KU1269"/>
      <c r="KV1269"/>
      <c r="KW1269"/>
      <c r="KX1269"/>
      <c r="KY1269"/>
      <c r="KZ1269"/>
      <c r="LA1269"/>
      <c r="LB1269"/>
      <c r="LC1269"/>
      <c r="LD1269"/>
      <c r="LE1269"/>
      <c r="LF1269"/>
      <c r="LG1269"/>
      <c r="LH1269"/>
      <c r="LI1269"/>
      <c r="LJ1269"/>
      <c r="LK1269"/>
      <c r="LL1269"/>
      <c r="LM1269"/>
      <c r="LN1269"/>
      <c r="LO1269"/>
      <c r="LP1269"/>
      <c r="LQ1269"/>
      <c r="LR1269"/>
      <c r="LS1269"/>
      <c r="LT1269"/>
      <c r="LU1269"/>
      <c r="LV1269"/>
      <c r="LW1269"/>
      <c r="LX1269"/>
      <c r="LY1269"/>
      <c r="LZ1269"/>
      <c r="MA1269"/>
      <c r="MB1269"/>
      <c r="MC1269"/>
      <c r="MD1269"/>
      <c r="ME1269"/>
      <c r="MF1269"/>
      <c r="MG1269"/>
      <c r="MH1269"/>
      <c r="MI1269"/>
      <c r="MJ1269"/>
      <c r="MK1269"/>
      <c r="ML1269"/>
      <c r="MM1269"/>
      <c r="MN1269"/>
      <c r="MO1269"/>
      <c r="MP1269"/>
      <c r="MQ1269"/>
      <c r="MR1269"/>
      <c r="MS1269"/>
      <c r="MT1269"/>
      <c r="MU1269"/>
      <c r="MV1269"/>
      <c r="MW1269"/>
      <c r="MX1269"/>
      <c r="MY1269"/>
      <c r="MZ1269"/>
      <c r="NA1269"/>
      <c r="NB1269"/>
      <c r="NC1269"/>
      <c r="ND1269"/>
      <c r="NE1269"/>
      <c r="NF1269"/>
      <c r="NG1269"/>
      <c r="NH1269"/>
      <c r="NI1269"/>
      <c r="NJ1269"/>
      <c r="NK1269"/>
      <c r="NL1269"/>
      <c r="NM1269"/>
      <c r="NN1269"/>
      <c r="NO1269"/>
      <c r="NP1269"/>
      <c r="NQ1269"/>
      <c r="NR1269"/>
      <c r="NS1269"/>
      <c r="NT1269"/>
      <c r="NU1269"/>
      <c r="NV1269"/>
      <c r="NW1269"/>
      <c r="NX1269"/>
      <c r="NY1269"/>
      <c r="NZ1269"/>
      <c r="OA1269"/>
      <c r="OB1269"/>
      <c r="OC1269"/>
      <c r="OD1269"/>
      <c r="OE1269"/>
      <c r="OF1269"/>
      <c r="OG1269"/>
      <c r="OH1269"/>
      <c r="OI1269"/>
      <c r="OJ1269"/>
      <c r="OK1269"/>
      <c r="OL1269"/>
      <c r="OM1269"/>
      <c r="ON1269"/>
      <c r="OO1269"/>
      <c r="OP1269"/>
      <c r="OQ1269"/>
      <c r="OR1269"/>
      <c r="OS1269"/>
      <c r="OT1269"/>
      <c r="OU1269"/>
      <c r="OV1269"/>
      <c r="OW1269"/>
      <c r="OX1269"/>
      <c r="OY1269"/>
      <c r="OZ1269"/>
      <c r="PA1269"/>
      <c r="PB1269"/>
      <c r="PC1269"/>
      <c r="PD1269"/>
      <c r="PE1269"/>
      <c r="PF1269"/>
      <c r="PG1269"/>
      <c r="PH1269"/>
      <c r="PI1269"/>
      <c r="PJ1269"/>
      <c r="PK1269"/>
      <c r="PL1269"/>
      <c r="PM1269"/>
      <c r="PN1269"/>
      <c r="PO1269"/>
      <c r="PP1269"/>
      <c r="PQ1269"/>
      <c r="PR1269"/>
      <c r="PS1269"/>
      <c r="PT1269"/>
      <c r="PU1269"/>
      <c r="PV1269"/>
      <c r="PW1269"/>
      <c r="PX1269"/>
      <c r="PY1269"/>
      <c r="PZ1269"/>
      <c r="QA1269"/>
      <c r="QB1269"/>
      <c r="QC1269"/>
      <c r="QD1269"/>
      <c r="QE1269"/>
      <c r="QF1269"/>
      <c r="QG1269"/>
      <c r="QH1269"/>
      <c r="QI1269"/>
      <c r="QJ1269"/>
      <c r="QK1269"/>
      <c r="QL1269"/>
      <c r="QM1269"/>
      <c r="QN1269"/>
      <c r="QO1269"/>
      <c r="QP1269"/>
      <c r="QQ1269"/>
      <c r="QR1269"/>
      <c r="QS1269"/>
      <c r="QT1269"/>
      <c r="QU1269"/>
      <c r="QV1269"/>
      <c r="QW1269"/>
      <c r="QX1269"/>
      <c r="QY1269"/>
      <c r="QZ1269"/>
      <c r="RA1269"/>
      <c r="RB1269"/>
      <c r="RC1269"/>
      <c r="RD1269"/>
      <c r="RE1269"/>
      <c r="RF1269"/>
      <c r="RG1269"/>
      <c r="RH1269"/>
      <c r="RI1269"/>
      <c r="RJ1269"/>
      <c r="RK1269"/>
      <c r="RL1269"/>
      <c r="RM1269"/>
      <c r="RN1269"/>
      <c r="RO1269"/>
      <c r="RP1269"/>
      <c r="RQ1269"/>
      <c r="RR1269"/>
      <c r="RS1269"/>
      <c r="RT1269"/>
      <c r="RU1269"/>
      <c r="RV1269"/>
      <c r="RW1269"/>
      <c r="RX1269"/>
      <c r="RY1269"/>
      <c r="RZ1269"/>
      <c r="SA1269"/>
      <c r="SB1269"/>
      <c r="SC1269"/>
      <c r="SD1269"/>
      <c r="SE1269"/>
      <c r="SF1269"/>
      <c r="SG1269"/>
      <c r="SH1269"/>
      <c r="SI1269"/>
      <c r="SJ1269"/>
      <c r="SK1269"/>
      <c r="SL1269"/>
      <c r="SM1269"/>
      <c r="SN1269"/>
      <c r="SO1269"/>
      <c r="SP1269"/>
      <c r="SQ1269"/>
      <c r="SR1269"/>
      <c r="SS1269"/>
      <c r="ST1269"/>
      <c r="SU1269"/>
      <c r="SV1269"/>
      <c r="SW1269"/>
      <c r="SX1269"/>
      <c r="SY1269"/>
      <c r="SZ1269"/>
      <c r="TA1269"/>
      <c r="TB1269"/>
      <c r="TC1269"/>
      <c r="TD1269"/>
      <c r="TE1269"/>
      <c r="TF1269"/>
      <c r="TG1269"/>
      <c r="TH1269"/>
      <c r="TI1269"/>
      <c r="TJ1269"/>
      <c r="TK1269"/>
      <c r="TL1269"/>
      <c r="TM1269"/>
      <c r="TN1269"/>
      <c r="TO1269"/>
      <c r="TP1269"/>
      <c r="TQ1269"/>
      <c r="TR1269"/>
      <c r="TS1269"/>
      <c r="TT1269"/>
      <c r="TU1269"/>
      <c r="TV1269"/>
      <c r="TW1269"/>
      <c r="TX1269"/>
      <c r="TY1269"/>
      <c r="TZ1269"/>
      <c r="UA1269"/>
      <c r="UB1269"/>
      <c r="UC1269"/>
      <c r="UD1269"/>
      <c r="UE1269"/>
      <c r="UF1269"/>
      <c r="UG1269"/>
      <c r="UH1269"/>
      <c r="UI1269"/>
      <c r="UJ1269"/>
      <c r="UK1269"/>
      <c r="UL1269"/>
      <c r="UM1269"/>
      <c r="UN1269"/>
      <c r="UO1269"/>
      <c r="UP1269"/>
      <c r="UQ1269"/>
      <c r="UR1269"/>
      <c r="US1269"/>
      <c r="UT1269"/>
      <c r="UU1269"/>
      <c r="UV1269"/>
      <c r="UW1269"/>
      <c r="UX1269"/>
      <c r="UY1269"/>
      <c r="UZ1269"/>
      <c r="VA1269"/>
      <c r="VB1269"/>
      <c r="VC1269"/>
      <c r="VD1269"/>
      <c r="VE1269"/>
      <c r="VF1269"/>
      <c r="VG1269"/>
      <c r="VH1269"/>
      <c r="VI1269"/>
      <c r="VJ1269"/>
      <c r="VK1269"/>
      <c r="VL1269"/>
      <c r="VM1269"/>
      <c r="VN1269"/>
      <c r="VO1269"/>
      <c r="VP1269"/>
      <c r="VQ1269"/>
      <c r="VR1269"/>
      <c r="VS1269"/>
      <c r="VT1269"/>
      <c r="VU1269"/>
      <c r="VV1269"/>
      <c r="VW1269"/>
      <c r="VX1269"/>
      <c r="VY1269"/>
      <c r="VZ1269"/>
      <c r="WA1269"/>
      <c r="WB1269"/>
      <c r="WC1269"/>
      <c r="WD1269"/>
      <c r="WE1269"/>
      <c r="WF1269"/>
      <c r="WG1269"/>
      <c r="WH1269"/>
      <c r="WI1269"/>
      <c r="WJ1269"/>
      <c r="WK1269"/>
      <c r="WL1269"/>
      <c r="WM1269"/>
      <c r="WN1269"/>
      <c r="WO1269"/>
      <c r="WP1269"/>
      <c r="WQ1269"/>
      <c r="WR1269"/>
      <c r="WS1269"/>
      <c r="WT1269"/>
      <c r="WU1269"/>
      <c r="WV1269"/>
      <c r="WW1269"/>
      <c r="WX1269"/>
      <c r="WY1269"/>
      <c r="WZ1269"/>
      <c r="XA1269"/>
      <c r="XB1269"/>
      <c r="XC1269"/>
      <c r="XD1269"/>
      <c r="XE1269"/>
      <c r="XF1269"/>
      <c r="XG1269"/>
      <c r="XH1269"/>
      <c r="XI1269"/>
      <c r="XJ1269"/>
      <c r="XK1269"/>
      <c r="XL1269"/>
      <c r="XM1269"/>
      <c r="XN1269"/>
      <c r="XO1269"/>
      <c r="XP1269"/>
      <c r="XQ1269"/>
      <c r="XR1269"/>
      <c r="XS1269"/>
      <c r="XT1269"/>
      <c r="XU1269"/>
      <c r="XV1269"/>
      <c r="XW1269"/>
      <c r="XX1269"/>
      <c r="XY1269"/>
      <c r="XZ1269"/>
      <c r="YA1269"/>
      <c r="YB1269"/>
      <c r="YC1269"/>
      <c r="YD1269"/>
      <c r="YE1269"/>
      <c r="YF1269"/>
      <c r="YG1269"/>
      <c r="YH1269"/>
      <c r="YI1269"/>
      <c r="YJ1269"/>
      <c r="YK1269"/>
      <c r="YL1269"/>
      <c r="YM1269"/>
      <c r="YN1269"/>
      <c r="YO1269"/>
      <c r="YP1269"/>
      <c r="YQ1269"/>
      <c r="YR1269"/>
      <c r="YS1269"/>
      <c r="YT1269"/>
      <c r="YU1269"/>
      <c r="YV1269"/>
      <c r="YW1269"/>
      <c r="YX1269"/>
      <c r="YY1269"/>
      <c r="YZ1269"/>
      <c r="ZA1269"/>
      <c r="ZB1269"/>
      <c r="ZC1269"/>
      <c r="ZD1269"/>
      <c r="ZE1269"/>
      <c r="ZF1269"/>
      <c r="ZG1269"/>
      <c r="ZH1269"/>
      <c r="ZI1269"/>
      <c r="ZJ1269"/>
      <c r="ZK1269"/>
      <c r="ZL1269"/>
      <c r="ZM1269"/>
      <c r="ZN1269"/>
      <c r="ZO1269"/>
      <c r="ZP1269"/>
      <c r="ZQ1269"/>
      <c r="ZR1269"/>
      <c r="ZS1269"/>
      <c r="ZT1269"/>
      <c r="ZU1269"/>
      <c r="ZV1269"/>
      <c r="ZW1269"/>
      <c r="ZX1269"/>
      <c r="ZY1269"/>
      <c r="ZZ1269"/>
      <c r="AAA1269"/>
      <c r="AAB1269"/>
      <c r="AAC1269"/>
      <c r="AAD1269"/>
      <c r="AAE1269"/>
      <c r="AAF1269"/>
      <c r="AAG1269"/>
      <c r="AAH1269"/>
      <c r="AAI1269"/>
      <c r="AAJ1269"/>
      <c r="AAK1269"/>
      <c r="AAL1269"/>
      <c r="AAM1269"/>
      <c r="AAN1269"/>
      <c r="AAO1269"/>
      <c r="AAP1269"/>
      <c r="AAQ1269"/>
      <c r="AAR1269"/>
      <c r="AAS1269"/>
      <c r="AAT1269"/>
      <c r="AAU1269"/>
      <c r="AAV1269"/>
      <c r="AAW1269"/>
      <c r="AAX1269"/>
      <c r="AAY1269"/>
      <c r="AAZ1269"/>
      <c r="ABA1269"/>
      <c r="ABB1269"/>
      <c r="ABC1269"/>
      <c r="ABD1269"/>
      <c r="ABE1269"/>
      <c r="ABF1269"/>
      <c r="ABG1269"/>
      <c r="ABH1269"/>
      <c r="ABI1269"/>
      <c r="ABJ1269"/>
      <c r="ABK1269"/>
      <c r="ABL1269"/>
      <c r="ABM1269"/>
      <c r="ABN1269"/>
      <c r="ABO1269"/>
      <c r="ABP1269"/>
      <c r="ABQ1269"/>
      <c r="ABR1269"/>
      <c r="ABS1269"/>
      <c r="ABT1269"/>
      <c r="ABU1269"/>
      <c r="ABV1269"/>
      <c r="ABW1269"/>
      <c r="ABX1269"/>
      <c r="ABY1269"/>
      <c r="ABZ1269"/>
      <c r="ACA1269"/>
      <c r="ACB1269"/>
      <c r="ACC1269"/>
      <c r="ACD1269"/>
      <c r="ACE1269"/>
      <c r="ACF1269"/>
      <c r="ACG1269"/>
      <c r="ACH1269"/>
      <c r="ACI1269"/>
      <c r="ACJ1269"/>
      <c r="ACK1269"/>
      <c r="ACL1269"/>
      <c r="ACM1269"/>
      <c r="ACN1269"/>
      <c r="ACO1269"/>
      <c r="ACP1269"/>
      <c r="ACQ1269"/>
      <c r="ACR1269"/>
      <c r="ACS1269"/>
      <c r="ACT1269"/>
      <c r="ACU1269"/>
      <c r="ACV1269"/>
      <c r="ACW1269"/>
      <c r="ACX1269"/>
      <c r="ACY1269"/>
      <c r="ACZ1269"/>
      <c r="ADA1269"/>
      <c r="ADB1269"/>
      <c r="ADC1269"/>
      <c r="ADD1269"/>
      <c r="ADE1269"/>
      <c r="ADF1269"/>
      <c r="ADG1269"/>
      <c r="ADH1269"/>
      <c r="ADI1269"/>
      <c r="ADJ1269"/>
      <c r="ADK1269"/>
      <c r="ADL1269"/>
      <c r="ADM1269"/>
      <c r="ADN1269"/>
      <c r="ADO1269"/>
      <c r="ADP1269"/>
      <c r="ADQ1269"/>
      <c r="ADR1269"/>
      <c r="ADS1269"/>
      <c r="ADT1269"/>
      <c r="ADU1269"/>
      <c r="ADV1269"/>
      <c r="ADW1269"/>
      <c r="ADX1269"/>
      <c r="ADY1269"/>
      <c r="ADZ1269"/>
      <c r="AEA1269"/>
      <c r="AEB1269"/>
      <c r="AEC1269"/>
      <c r="AED1269"/>
      <c r="AEE1269"/>
      <c r="AEF1269"/>
      <c r="AEG1269"/>
      <c r="AEH1269"/>
      <c r="AEI1269"/>
      <c r="AEJ1269"/>
      <c r="AEK1269"/>
      <c r="AEL1269"/>
      <c r="AEM1269"/>
      <c r="AEN1269"/>
      <c r="AEO1269"/>
      <c r="AEP1269"/>
      <c r="AEQ1269"/>
      <c r="AER1269"/>
      <c r="AES1269"/>
      <c r="AET1269"/>
      <c r="AEU1269"/>
      <c r="AEV1269"/>
      <c r="AEW1269"/>
      <c r="AEX1269"/>
      <c r="AEY1269"/>
      <c r="AEZ1269"/>
      <c r="AFA1269"/>
      <c r="AFB1269"/>
      <c r="AFC1269"/>
      <c r="AFD1269"/>
      <c r="AFE1269"/>
      <c r="AFF1269"/>
      <c r="AFG1269"/>
      <c r="AFH1269"/>
      <c r="AFI1269"/>
      <c r="AFJ1269"/>
      <c r="AFK1269"/>
      <c r="AFL1269"/>
      <c r="AFM1269"/>
      <c r="AFN1269"/>
      <c r="AFO1269"/>
      <c r="AFP1269"/>
      <c r="AFQ1269"/>
      <c r="AFR1269"/>
      <c r="AFS1269"/>
      <c r="AFT1269"/>
      <c r="AFU1269"/>
      <c r="AFV1269"/>
      <c r="AFW1269"/>
      <c r="AFX1269"/>
      <c r="AFY1269"/>
      <c r="AFZ1269"/>
      <c r="AGA1269"/>
      <c r="AGB1269"/>
      <c r="AGC1269"/>
      <c r="AGD1269"/>
      <c r="AGE1269"/>
      <c r="AGF1269"/>
      <c r="AGG1269"/>
      <c r="AGH1269"/>
      <c r="AGI1269"/>
      <c r="AGJ1269"/>
      <c r="AGK1269"/>
      <c r="AGL1269"/>
      <c r="AGM1269"/>
      <c r="AGN1269"/>
      <c r="AGO1269"/>
      <c r="AGP1269"/>
      <c r="AGQ1269"/>
      <c r="AGR1269"/>
      <c r="AGS1269"/>
      <c r="AGT1269"/>
      <c r="AGU1269"/>
      <c r="AGV1269"/>
      <c r="AGW1269"/>
      <c r="AGX1269"/>
      <c r="AGY1269"/>
      <c r="AGZ1269"/>
      <c r="AHA1269"/>
      <c r="AHB1269"/>
      <c r="AHC1269"/>
      <c r="AHD1269"/>
      <c r="AHE1269"/>
      <c r="AHF1269"/>
      <c r="AHG1269"/>
      <c r="AHH1269"/>
      <c r="AHI1269"/>
      <c r="AHJ1269"/>
      <c r="AHK1269"/>
      <c r="AHL1269"/>
      <c r="AHM1269"/>
      <c r="AHN1269"/>
      <c r="AHO1269"/>
      <c r="AHP1269"/>
      <c r="AHQ1269"/>
      <c r="AHR1269"/>
      <c r="AHS1269"/>
      <c r="AHT1269"/>
      <c r="AHU1269"/>
      <c r="AHV1269"/>
      <c r="AHW1269"/>
      <c r="AHX1269"/>
      <c r="AHY1269"/>
      <c r="AHZ1269"/>
      <c r="AIA1269"/>
      <c r="AIB1269"/>
      <c r="AIC1269"/>
      <c r="AID1269"/>
      <c r="AIE1269"/>
      <c r="AIF1269"/>
      <c r="AIG1269"/>
      <c r="AIH1269"/>
      <c r="AII1269"/>
      <c r="AIJ1269"/>
      <c r="AIK1269"/>
      <c r="AIL1269"/>
      <c r="AIM1269"/>
      <c r="AIN1269"/>
      <c r="AIO1269"/>
      <c r="AIP1269"/>
      <c r="AIQ1269"/>
      <c r="AIR1269"/>
      <c r="AIS1269"/>
      <c r="AIT1269"/>
      <c r="AIU1269"/>
      <c r="AIV1269"/>
      <c r="AIW1269"/>
      <c r="AIX1269"/>
      <c r="AIY1269"/>
      <c r="AIZ1269"/>
      <c r="AJA1269"/>
      <c r="AJB1269"/>
      <c r="AJC1269"/>
      <c r="AJD1269"/>
      <c r="AJE1269"/>
      <c r="AJF1269"/>
      <c r="AJG1269"/>
      <c r="AJH1269"/>
      <c r="AJI1269"/>
      <c r="AJJ1269"/>
      <c r="AJK1269"/>
      <c r="AJL1269"/>
      <c r="AJM1269"/>
      <c r="AJN1269"/>
      <c r="AJO1269"/>
      <c r="AJP1269"/>
      <c r="AJQ1269"/>
      <c r="AJR1269"/>
      <c r="AJS1269"/>
      <c r="AJT1269"/>
      <c r="AJU1269"/>
      <c r="AJV1269"/>
      <c r="AJW1269"/>
      <c r="AJX1269"/>
      <c r="AJY1269"/>
      <c r="AJZ1269"/>
      <c r="AKA1269"/>
      <c r="AKB1269"/>
      <c r="AKC1269"/>
      <c r="AKD1269"/>
      <c r="AKE1269"/>
      <c r="AKF1269"/>
      <c r="AKG1269"/>
      <c r="AKH1269"/>
      <c r="AKI1269"/>
      <c r="AKJ1269"/>
      <c r="AKK1269"/>
      <c r="AKL1269"/>
      <c r="AKM1269"/>
      <c r="AKN1269"/>
      <c r="AKO1269"/>
      <c r="AKP1269"/>
      <c r="AKQ1269"/>
      <c r="AKR1269"/>
      <c r="AKS1269"/>
      <c r="AKT1269"/>
      <c r="AKU1269"/>
      <c r="AKV1269"/>
      <c r="AKW1269"/>
      <c r="AKX1269"/>
      <c r="AKY1269"/>
      <c r="AKZ1269"/>
      <c r="ALA1269"/>
      <c r="ALB1269"/>
      <c r="ALC1269"/>
      <c r="ALD1269"/>
      <c r="ALE1269"/>
      <c r="ALF1269"/>
      <c r="ALG1269"/>
      <c r="ALH1269"/>
      <c r="ALI1269"/>
      <c r="ALJ1269"/>
      <c r="ALK1269"/>
      <c r="ALL1269"/>
      <c r="ALM1269"/>
      <c r="ALN1269"/>
      <c r="ALO1269"/>
      <c r="ALP1269"/>
      <c r="ALQ1269"/>
      <c r="ALR1269"/>
      <c r="ALS1269"/>
      <c r="ALT1269"/>
    </row>
    <row r="1270" spans="1:1008" ht="14">
      <c r="A1270" s="28" t="s">
        <v>4449</v>
      </c>
      <c r="B1270" s="26" t="s">
        <v>3996</v>
      </c>
      <c r="C1270" s="28" t="s">
        <v>3964</v>
      </c>
      <c r="D1270" s="25" t="s">
        <v>13</v>
      </c>
      <c r="E1270" s="28" t="s">
        <v>3964</v>
      </c>
      <c r="F1270" s="28" t="s">
        <v>3965</v>
      </c>
      <c r="G1270" s="28">
        <v>600</v>
      </c>
      <c r="H1270" s="28"/>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ht="14">
      <c r="A1271" s="28" t="s">
        <v>4031</v>
      </c>
      <c r="B1271" s="26" t="s">
        <v>3996</v>
      </c>
      <c r="C1271" s="28" t="s">
        <v>3966</v>
      </c>
      <c r="D1271" s="25" t="s">
        <v>13</v>
      </c>
      <c r="E1271" s="28" t="s">
        <v>3966</v>
      </c>
      <c r="F1271" s="28" t="s">
        <v>3967</v>
      </c>
      <c r="G1271" s="28">
        <v>550</v>
      </c>
      <c r="H1271" s="28"/>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ht="14">
      <c r="A1272" s="28" t="s">
        <v>3968</v>
      </c>
      <c r="B1272" s="26" t="s">
        <v>3997</v>
      </c>
      <c r="C1272" s="28" t="s">
        <v>3968</v>
      </c>
      <c r="D1272" s="25" t="s">
        <v>13</v>
      </c>
      <c r="E1272" s="28" t="s">
        <v>3968</v>
      </c>
      <c r="F1272" s="28" t="s">
        <v>3969</v>
      </c>
      <c r="G1272" s="28">
        <v>550</v>
      </c>
      <c r="H1272" s="28"/>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ht="14">
      <c r="A1273" s="28" t="s">
        <v>3970</v>
      </c>
      <c r="B1273" s="26" t="s">
        <v>3997</v>
      </c>
      <c r="C1273" s="28" t="s">
        <v>3970</v>
      </c>
      <c r="D1273" s="25" t="s">
        <v>13</v>
      </c>
      <c r="E1273" s="28" t="s">
        <v>3970</v>
      </c>
      <c r="F1273" s="28" t="s">
        <v>3971</v>
      </c>
      <c r="G1273" s="28">
        <v>500</v>
      </c>
      <c r="H1273" s="28"/>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ht="14">
      <c r="A1274" s="28" t="s">
        <v>4041</v>
      </c>
      <c r="B1274" s="26" t="s">
        <v>3997</v>
      </c>
      <c r="C1274" s="28" t="s">
        <v>4041</v>
      </c>
      <c r="D1274" s="25" t="s">
        <v>13</v>
      </c>
      <c r="E1274" s="28" t="s">
        <v>3972</v>
      </c>
      <c r="F1274" s="28" t="s">
        <v>3973</v>
      </c>
      <c r="G1274" s="28">
        <v>520</v>
      </c>
      <c r="H1274" s="28"/>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ht="14">
      <c r="A1275" s="28" t="s">
        <v>4042</v>
      </c>
      <c r="B1275" s="26" t="s">
        <v>3997</v>
      </c>
      <c r="C1275" s="28" t="s">
        <v>4042</v>
      </c>
      <c r="D1275" s="25" t="s">
        <v>13</v>
      </c>
      <c r="E1275" s="28" t="s">
        <v>3974</v>
      </c>
      <c r="F1275" s="28" t="s">
        <v>3975</v>
      </c>
      <c r="G1275" s="28">
        <v>500</v>
      </c>
      <c r="H1275" s="28"/>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ht="14">
      <c r="A1276" s="28" t="s">
        <v>4028</v>
      </c>
      <c r="B1276" s="26" t="s">
        <v>1116</v>
      </c>
      <c r="C1276" s="28" t="s">
        <v>4028</v>
      </c>
      <c r="D1276" s="25" t="s">
        <v>13</v>
      </c>
      <c r="E1276" s="28" t="s">
        <v>3911</v>
      </c>
      <c r="F1276" s="28" t="s">
        <v>3912</v>
      </c>
      <c r="G1276" s="28">
        <v>600</v>
      </c>
      <c r="H1276" s="28"/>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ht="14">
      <c r="A1277" s="28" t="s">
        <v>4034</v>
      </c>
      <c r="B1277" s="26" t="s">
        <v>1116</v>
      </c>
      <c r="C1277" s="28" t="s">
        <v>4034</v>
      </c>
      <c r="D1277" s="25" t="s">
        <v>13</v>
      </c>
      <c r="E1277" s="28" t="s">
        <v>3977</v>
      </c>
      <c r="F1277" s="28" t="s">
        <v>3978</v>
      </c>
      <c r="G1277" s="28">
        <v>500</v>
      </c>
      <c r="H1277" s="28"/>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ht="14">
      <c r="A1278" s="28" t="s">
        <v>4035</v>
      </c>
      <c r="B1278" s="26" t="s">
        <v>1116</v>
      </c>
      <c r="C1278" s="28" t="s">
        <v>4035</v>
      </c>
      <c r="D1278" s="25" t="s">
        <v>13</v>
      </c>
      <c r="E1278" s="28" t="s">
        <v>4036</v>
      </c>
      <c r="F1278" s="28" t="s">
        <v>3979</v>
      </c>
      <c r="G1278" s="28">
        <v>550</v>
      </c>
      <c r="H1278" s="2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ht="14">
      <c r="A1279" s="28" t="s">
        <v>3981</v>
      </c>
      <c r="B1279" s="26" t="s">
        <v>3998</v>
      </c>
      <c r="C1279" s="28" t="s">
        <v>3981</v>
      </c>
      <c r="D1279" s="25" t="s">
        <v>13</v>
      </c>
      <c r="E1279" s="28" t="s">
        <v>3981</v>
      </c>
      <c r="F1279" s="28" t="s">
        <v>3982</v>
      </c>
      <c r="G1279" s="28">
        <v>500</v>
      </c>
      <c r="H1279" s="28"/>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ht="14">
      <c r="A1280" s="28" t="s">
        <v>3923</v>
      </c>
      <c r="B1280" s="26" t="s">
        <v>3999</v>
      </c>
      <c r="C1280" s="28" t="s">
        <v>3923</v>
      </c>
      <c r="D1280" s="25" t="s">
        <v>13</v>
      </c>
      <c r="E1280" s="28" t="s">
        <v>3923</v>
      </c>
      <c r="F1280" s="28" t="s">
        <v>3924</v>
      </c>
      <c r="G1280" s="28">
        <v>500</v>
      </c>
      <c r="H1280" s="28"/>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ht="14">
      <c r="A1281" s="28" t="s">
        <v>3925</v>
      </c>
      <c r="B1281" s="26" t="s">
        <v>3999</v>
      </c>
      <c r="C1281" s="28" t="s">
        <v>3925</v>
      </c>
      <c r="D1281" s="25" t="s">
        <v>13</v>
      </c>
      <c r="E1281" s="28" t="s">
        <v>3925</v>
      </c>
      <c r="F1281" s="28" t="s">
        <v>3926</v>
      </c>
      <c r="G1281" s="28">
        <v>200</v>
      </c>
      <c r="H1281" s="28"/>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ht="14">
      <c r="A1282" s="28" t="s">
        <v>3929</v>
      </c>
      <c r="B1282" s="26" t="s">
        <v>3999</v>
      </c>
      <c r="C1282" s="28" t="s">
        <v>3929</v>
      </c>
      <c r="D1282" s="25" t="s">
        <v>13</v>
      </c>
      <c r="E1282" s="28" t="s">
        <v>3929</v>
      </c>
      <c r="F1282" s="28" t="s">
        <v>3930</v>
      </c>
      <c r="G1282" s="28">
        <v>750</v>
      </c>
      <c r="H1282" s="28"/>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ht="14">
      <c r="A1283" s="28" t="s">
        <v>3931</v>
      </c>
      <c r="B1283" s="26" t="s">
        <v>3999</v>
      </c>
      <c r="C1283" s="28" t="s">
        <v>3931</v>
      </c>
      <c r="D1283" s="25" t="s">
        <v>13</v>
      </c>
      <c r="E1283" s="28" t="s">
        <v>3931</v>
      </c>
      <c r="F1283" s="28" t="s">
        <v>3932</v>
      </c>
      <c r="G1283" s="28">
        <v>600</v>
      </c>
      <c r="H1283" s="28"/>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ht="14">
      <c r="A1284" s="28" t="s">
        <v>2186</v>
      </c>
      <c r="B1284" s="26" t="s">
        <v>4000</v>
      </c>
      <c r="C1284" s="28" t="s">
        <v>2186</v>
      </c>
      <c r="D1284" s="25" t="s">
        <v>13</v>
      </c>
      <c r="E1284" s="28" t="s">
        <v>2186</v>
      </c>
      <c r="F1284" s="28" t="s">
        <v>3985</v>
      </c>
      <c r="G1284" s="28">
        <v>600</v>
      </c>
      <c r="H1284" s="28"/>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ht="14">
      <c r="A1285" s="28" t="s">
        <v>3986</v>
      </c>
      <c r="B1285" s="26" t="s">
        <v>4000</v>
      </c>
      <c r="C1285" s="28" t="s">
        <v>3986</v>
      </c>
      <c r="D1285" s="25" t="s">
        <v>13</v>
      </c>
      <c r="E1285" s="28" t="s">
        <v>3986</v>
      </c>
      <c r="F1285" s="28" t="s">
        <v>3987</v>
      </c>
      <c r="G1285" s="28">
        <v>550</v>
      </c>
      <c r="H1285" s="28"/>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ht="14">
      <c r="A1286" s="28" t="s">
        <v>2189</v>
      </c>
      <c r="B1286" s="26" t="s">
        <v>4000</v>
      </c>
      <c r="C1286" s="28" t="s">
        <v>2189</v>
      </c>
      <c r="D1286" s="25" t="s">
        <v>13</v>
      </c>
      <c r="E1286" s="28" t="s">
        <v>2189</v>
      </c>
      <c r="F1286" s="28" t="s">
        <v>2190</v>
      </c>
      <c r="G1286" s="28">
        <v>650</v>
      </c>
      <c r="H1286" s="28"/>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ht="14">
      <c r="A1287" s="28" t="s">
        <v>2192</v>
      </c>
      <c r="B1287" s="26" t="s">
        <v>4000</v>
      </c>
      <c r="C1287" s="28" t="s">
        <v>2192</v>
      </c>
      <c r="D1287" s="25" t="s">
        <v>13</v>
      </c>
      <c r="E1287" s="28" t="s">
        <v>2192</v>
      </c>
      <c r="F1287" s="28" t="s">
        <v>2193</v>
      </c>
      <c r="G1287" s="28">
        <v>700</v>
      </c>
      <c r="H1287" s="28"/>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ht="14">
      <c r="A1288" s="25" t="s">
        <v>4007</v>
      </c>
      <c r="B1288" s="35" t="s">
        <v>4006</v>
      </c>
      <c r="C1288" s="25" t="s">
        <v>4007</v>
      </c>
      <c r="D1288" s="25" t="s">
        <v>13</v>
      </c>
      <c r="E1288" s="25" t="s">
        <v>4009</v>
      </c>
      <c r="F1288" s="25" t="s">
        <v>4010</v>
      </c>
      <c r="G1288" s="25">
        <v>750</v>
      </c>
      <c r="H1288" s="2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ht="14">
      <c r="A1289" s="25" t="s">
        <v>4008</v>
      </c>
      <c r="B1289" s="35" t="s">
        <v>4006</v>
      </c>
      <c r="C1289" s="25" t="s">
        <v>4008</v>
      </c>
      <c r="D1289" s="25"/>
      <c r="E1289" s="25" t="s">
        <v>163</v>
      </c>
      <c r="F1289" s="25" t="s">
        <v>4011</v>
      </c>
      <c r="G1289" s="25">
        <v>500</v>
      </c>
      <c r="H1289" s="28"/>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ht="14">
      <c r="A1290" s="28" t="s">
        <v>3954</v>
      </c>
      <c r="B1290" s="26" t="s">
        <v>4069</v>
      </c>
      <c r="C1290" s="28" t="s">
        <v>3954</v>
      </c>
      <c r="D1290" s="25" t="s">
        <v>13</v>
      </c>
      <c r="E1290" s="28" t="s">
        <v>3954</v>
      </c>
      <c r="F1290" s="28" t="s">
        <v>3955</v>
      </c>
      <c r="G1290" s="28">
        <v>700</v>
      </c>
      <c r="H1290" s="28"/>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ht="14">
      <c r="A1291" s="28" t="s">
        <v>3956</v>
      </c>
      <c r="B1291" s="26" t="s">
        <v>4069</v>
      </c>
      <c r="C1291" s="28" t="s">
        <v>3956</v>
      </c>
      <c r="D1291" s="25" t="s">
        <v>13</v>
      </c>
      <c r="E1291" s="28" t="s">
        <v>3956</v>
      </c>
      <c r="F1291" s="28" t="s">
        <v>3957</v>
      </c>
      <c r="G1291" s="28">
        <v>800</v>
      </c>
      <c r="H1291" s="28"/>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ht="14">
      <c r="A1292" s="28" t="s">
        <v>3958</v>
      </c>
      <c r="B1292" s="26" t="s">
        <v>4069</v>
      </c>
      <c r="C1292" s="28" t="s">
        <v>3958</v>
      </c>
      <c r="D1292" s="25" t="s">
        <v>13</v>
      </c>
      <c r="E1292" s="28" t="s">
        <v>3958</v>
      </c>
      <c r="F1292" s="28" t="s">
        <v>3959</v>
      </c>
      <c r="G1292" s="28">
        <v>500</v>
      </c>
      <c r="H1292" s="28"/>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ht="14">
      <c r="A1293" s="28" t="s">
        <v>3954</v>
      </c>
      <c r="B1293" s="26" t="s">
        <v>4071</v>
      </c>
      <c r="C1293" s="28" t="s">
        <v>3954</v>
      </c>
      <c r="D1293" s="25" t="s">
        <v>13</v>
      </c>
      <c r="E1293" s="28" t="s">
        <v>3954</v>
      </c>
      <c r="F1293" s="28" t="s">
        <v>3955</v>
      </c>
      <c r="G1293" s="28">
        <v>700</v>
      </c>
      <c r="H1293" s="28"/>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ht="14">
      <c r="A1294" s="28" t="s">
        <v>3956</v>
      </c>
      <c r="B1294" s="26" t="s">
        <v>4071</v>
      </c>
      <c r="C1294" s="28" t="s">
        <v>3956</v>
      </c>
      <c r="D1294" s="25" t="s">
        <v>13</v>
      </c>
      <c r="E1294" s="28" t="s">
        <v>3956</v>
      </c>
      <c r="F1294" s="28" t="s">
        <v>3957</v>
      </c>
      <c r="G1294" s="28">
        <v>800</v>
      </c>
      <c r="H1294" s="28"/>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ht="14">
      <c r="A1295" s="28" t="s">
        <v>3958</v>
      </c>
      <c r="B1295" s="26" t="s">
        <v>4071</v>
      </c>
      <c r="C1295" s="28" t="s">
        <v>3958</v>
      </c>
      <c r="D1295" s="25" t="s">
        <v>13</v>
      </c>
      <c r="E1295" s="28" t="s">
        <v>3958</v>
      </c>
      <c r="F1295" s="28" t="s">
        <v>3959</v>
      </c>
      <c r="G1295" s="28">
        <v>500</v>
      </c>
      <c r="H1295" s="28"/>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ht="14">
      <c r="A1296" s="25" t="s">
        <v>4080</v>
      </c>
      <c r="B1296" s="26" t="s">
        <v>4077</v>
      </c>
      <c r="C1296" s="25" t="s">
        <v>4080</v>
      </c>
      <c r="D1296" s="25" t="s">
        <v>13</v>
      </c>
      <c r="E1296" s="25" t="s">
        <v>4082</v>
      </c>
      <c r="F1296" s="25" t="s">
        <v>4081</v>
      </c>
      <c r="G1296" s="25">
        <v>600</v>
      </c>
      <c r="H1296" s="25"/>
    </row>
    <row r="1297" spans="1:1008" ht="14">
      <c r="A1297" s="28" t="s">
        <v>3954</v>
      </c>
      <c r="B1297" s="26" t="s">
        <v>4076</v>
      </c>
      <c r="C1297" s="28" t="s">
        <v>3954</v>
      </c>
      <c r="D1297" s="25" t="s">
        <v>13</v>
      </c>
      <c r="E1297" s="28" t="s">
        <v>3954</v>
      </c>
      <c r="F1297" s="28" t="s">
        <v>3955</v>
      </c>
      <c r="G1297" s="28">
        <v>700</v>
      </c>
      <c r="H1297" s="28"/>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ht="14">
      <c r="A1298" s="25" t="s">
        <v>4088</v>
      </c>
      <c r="B1298" s="26" t="s">
        <v>4084</v>
      </c>
      <c r="C1298" s="25" t="s">
        <v>4088</v>
      </c>
      <c r="D1298" s="25" t="s">
        <v>13</v>
      </c>
      <c r="E1298" s="25" t="s">
        <v>4087</v>
      </c>
      <c r="F1298" s="25" t="s">
        <v>4086</v>
      </c>
      <c r="G1298" s="25">
        <v>500</v>
      </c>
      <c r="H1298" s="25"/>
    </row>
    <row r="1299" spans="1:1008" ht="14">
      <c r="A1299" s="25" t="s">
        <v>4099</v>
      </c>
      <c r="B1299" s="26" t="s">
        <v>4090</v>
      </c>
      <c r="C1299" s="25" t="s">
        <v>4091</v>
      </c>
      <c r="D1299" s="25" t="s">
        <v>13</v>
      </c>
      <c r="E1299" s="25" t="s">
        <v>4091</v>
      </c>
      <c r="F1299" s="25" t="s">
        <v>4092</v>
      </c>
      <c r="G1299" s="25">
        <v>600</v>
      </c>
      <c r="H1299" s="25"/>
    </row>
    <row r="1300" spans="1:1008" ht="14">
      <c r="A1300" s="25" t="s">
        <v>4100</v>
      </c>
      <c r="B1300" s="26" t="s">
        <v>4090</v>
      </c>
      <c r="C1300" s="25" t="s">
        <v>4093</v>
      </c>
      <c r="D1300" s="25" t="s">
        <v>13</v>
      </c>
      <c r="E1300" s="25" t="s">
        <v>4093</v>
      </c>
      <c r="F1300" s="25" t="s">
        <v>4094</v>
      </c>
      <c r="G1300" s="25">
        <v>600</v>
      </c>
      <c r="H1300" s="25"/>
    </row>
    <row r="1301" spans="1:1008" ht="14">
      <c r="A1301" s="25" t="s">
        <v>4101</v>
      </c>
      <c r="B1301" s="26" t="s">
        <v>4090</v>
      </c>
      <c r="C1301" s="25" t="s">
        <v>4095</v>
      </c>
      <c r="D1301" s="25" t="s">
        <v>13</v>
      </c>
      <c r="E1301" s="25" t="s">
        <v>4095</v>
      </c>
      <c r="F1301" s="25" t="s">
        <v>4096</v>
      </c>
      <c r="G1301" s="25">
        <v>500</v>
      </c>
      <c r="H1301" s="25"/>
    </row>
    <row r="1302" spans="1:1008" ht="14">
      <c r="A1302" s="25" t="s">
        <v>4102</v>
      </c>
      <c r="B1302" s="26" t="s">
        <v>4090</v>
      </c>
      <c r="C1302" s="25" t="s">
        <v>4097</v>
      </c>
      <c r="D1302" s="25" t="s">
        <v>13</v>
      </c>
      <c r="E1302" s="25" t="s">
        <v>4097</v>
      </c>
      <c r="F1302" s="25" t="s">
        <v>4098</v>
      </c>
      <c r="G1302" s="25">
        <v>500</v>
      </c>
      <c r="H1302" s="25"/>
    </row>
    <row r="1303" spans="1:1008" ht="14">
      <c r="A1303" s="25" t="s">
        <v>4108</v>
      </c>
      <c r="B1303" s="26" t="s">
        <v>4104</v>
      </c>
      <c r="C1303" s="25" t="s">
        <v>4110</v>
      </c>
      <c r="D1303" s="25" t="s">
        <v>13</v>
      </c>
      <c r="E1303" s="25" t="s">
        <v>4110</v>
      </c>
      <c r="F1303" s="25" t="s">
        <v>4112</v>
      </c>
      <c r="G1303" s="25">
        <v>500</v>
      </c>
      <c r="H1303" s="25"/>
    </row>
    <row r="1304" spans="1:1008" ht="14">
      <c r="A1304" s="25" t="s">
        <v>4109</v>
      </c>
      <c r="B1304" s="26" t="s">
        <v>4104</v>
      </c>
      <c r="C1304" s="25" t="s">
        <v>4111</v>
      </c>
      <c r="D1304" s="25" t="s">
        <v>13</v>
      </c>
      <c r="E1304" s="25" t="s">
        <v>4111</v>
      </c>
      <c r="F1304" s="25" t="s">
        <v>4113</v>
      </c>
      <c r="G1304" s="25">
        <v>500</v>
      </c>
      <c r="H1304" s="25"/>
    </row>
    <row r="1305" spans="1:1008" ht="14">
      <c r="A1305" s="25" t="s">
        <v>2186</v>
      </c>
      <c r="B1305" s="35" t="s">
        <v>4116</v>
      </c>
      <c r="C1305" s="25" t="s">
        <v>2186</v>
      </c>
      <c r="D1305" s="25" t="s">
        <v>13</v>
      </c>
      <c r="E1305" s="25" t="s">
        <v>4349</v>
      </c>
      <c r="F1305" s="25" t="s">
        <v>4128</v>
      </c>
      <c r="G1305" s="25">
        <v>500</v>
      </c>
      <c r="H1305" s="25"/>
    </row>
    <row r="1306" spans="1:1008" ht="14">
      <c r="A1306" s="25" t="s">
        <v>2186</v>
      </c>
      <c r="B1306" s="35" t="s">
        <v>4117</v>
      </c>
      <c r="C1306" s="25" t="s">
        <v>2186</v>
      </c>
      <c r="D1306" s="25" t="s">
        <v>13</v>
      </c>
      <c r="E1306" s="25" t="s">
        <v>4349</v>
      </c>
      <c r="F1306" s="25" t="s">
        <v>4128</v>
      </c>
      <c r="G1306" s="25">
        <v>500</v>
      </c>
      <c r="H1306" s="25"/>
    </row>
    <row r="1307" spans="1:1008" ht="14">
      <c r="A1307" s="25" t="s">
        <v>2186</v>
      </c>
      <c r="B1307" s="35" t="s">
        <v>4120</v>
      </c>
      <c r="C1307" s="25" t="s">
        <v>2186</v>
      </c>
      <c r="D1307" s="25" t="s">
        <v>13</v>
      </c>
      <c r="E1307" s="25" t="s">
        <v>4127</v>
      </c>
      <c r="F1307" s="25" t="s">
        <v>4129</v>
      </c>
      <c r="G1307" s="25">
        <v>500</v>
      </c>
      <c r="H1307" s="25"/>
    </row>
    <row r="1308" spans="1:1008" ht="14">
      <c r="A1308" s="25" t="s">
        <v>2186</v>
      </c>
      <c r="B1308" s="35" t="s">
        <v>4115</v>
      </c>
      <c r="C1308" s="25" t="s">
        <v>2186</v>
      </c>
      <c r="D1308" s="25" t="s">
        <v>13</v>
      </c>
      <c r="E1308" s="25" t="s">
        <v>4349</v>
      </c>
      <c r="F1308" s="25" t="s">
        <v>4128</v>
      </c>
      <c r="G1308" s="25">
        <v>500</v>
      </c>
      <c r="H1308" s="25"/>
    </row>
    <row r="1309" spans="1:1008" ht="14">
      <c r="A1309" s="25" t="s">
        <v>4133</v>
      </c>
      <c r="B1309" s="35" t="s">
        <v>4130</v>
      </c>
      <c r="C1309" s="25" t="s">
        <v>4133</v>
      </c>
      <c r="D1309" s="25" t="s">
        <v>13</v>
      </c>
      <c r="E1309" s="25" t="s">
        <v>4139</v>
      </c>
      <c r="F1309" s="25" t="s">
        <v>4143</v>
      </c>
      <c r="G1309" s="25">
        <v>500</v>
      </c>
      <c r="H1309" s="25"/>
    </row>
    <row r="1310" spans="1:1008" ht="14">
      <c r="A1310" s="25" t="s">
        <v>4134</v>
      </c>
      <c r="B1310" s="35" t="s">
        <v>4130</v>
      </c>
      <c r="C1310" s="25" t="s">
        <v>4134</v>
      </c>
      <c r="D1310" s="25" t="s">
        <v>13</v>
      </c>
      <c r="E1310" s="25" t="s">
        <v>4140</v>
      </c>
      <c r="F1310" s="25" t="s">
        <v>4144</v>
      </c>
      <c r="G1310" s="25">
        <v>500</v>
      </c>
      <c r="H1310" s="25"/>
    </row>
    <row r="1311" spans="1:1008" ht="14">
      <c r="A1311" s="25" t="s">
        <v>4136</v>
      </c>
      <c r="B1311" s="35" t="s">
        <v>4130</v>
      </c>
      <c r="C1311" s="25" t="s">
        <v>4136</v>
      </c>
      <c r="D1311" s="25" t="s">
        <v>13</v>
      </c>
      <c r="E1311" s="25" t="s">
        <v>4135</v>
      </c>
      <c r="F1311" s="25" t="s">
        <v>4145</v>
      </c>
      <c r="G1311" s="25">
        <v>650</v>
      </c>
      <c r="H1311" s="25"/>
    </row>
    <row r="1312" spans="1:1008" ht="14">
      <c r="A1312" s="25" t="s">
        <v>4137</v>
      </c>
      <c r="B1312" s="35" t="s">
        <v>4130</v>
      </c>
      <c r="C1312" s="25" t="s">
        <v>4137</v>
      </c>
      <c r="D1312" s="25" t="s">
        <v>13</v>
      </c>
      <c r="E1312" s="25" t="s">
        <v>4141</v>
      </c>
      <c r="F1312" s="25" t="s">
        <v>4146</v>
      </c>
      <c r="G1312" s="25">
        <v>500</v>
      </c>
      <c r="H1312" s="25"/>
    </row>
    <row r="1313" spans="1:8" ht="14">
      <c r="A1313" s="25" t="s">
        <v>4138</v>
      </c>
      <c r="B1313" s="35" t="s">
        <v>4130</v>
      </c>
      <c r="C1313" s="25" t="s">
        <v>4138</v>
      </c>
      <c r="D1313" s="25" t="s">
        <v>13</v>
      </c>
      <c r="E1313" s="25" t="s">
        <v>4142</v>
      </c>
      <c r="F1313" s="25" t="s">
        <v>4147</v>
      </c>
      <c r="G1313" s="25">
        <v>500</v>
      </c>
      <c r="H1313" s="25"/>
    </row>
    <row r="1314" spans="1:8" ht="14">
      <c r="A1314" s="25" t="s">
        <v>4148</v>
      </c>
      <c r="B1314" s="35" t="s">
        <v>4130</v>
      </c>
      <c r="C1314" s="25" t="s">
        <v>4148</v>
      </c>
      <c r="D1314" s="25" t="s">
        <v>13</v>
      </c>
      <c r="E1314" s="25" t="s">
        <v>4150</v>
      </c>
      <c r="F1314" s="25" t="s">
        <v>4152</v>
      </c>
      <c r="G1314" s="25">
        <v>500</v>
      </c>
      <c r="H1314" s="25"/>
    </row>
    <row r="1315" spans="1:8" ht="14">
      <c r="A1315" s="25" t="s">
        <v>4149</v>
      </c>
      <c r="B1315" s="35" t="s">
        <v>4130</v>
      </c>
      <c r="C1315" s="25" t="s">
        <v>4149</v>
      </c>
      <c r="D1315" s="25" t="s">
        <v>13</v>
      </c>
      <c r="E1315" s="25" t="s">
        <v>4151</v>
      </c>
      <c r="F1315" s="25" t="s">
        <v>4153</v>
      </c>
      <c r="G1315" s="25">
        <v>500</v>
      </c>
      <c r="H1315" s="25"/>
    </row>
    <row r="1316" spans="1:8" ht="14">
      <c r="A1316" s="25" t="s">
        <v>4161</v>
      </c>
      <c r="B1316" s="35" t="s">
        <v>4158</v>
      </c>
      <c r="C1316" s="25" t="s">
        <v>4161</v>
      </c>
      <c r="D1316" s="25" t="s">
        <v>13</v>
      </c>
      <c r="E1316" s="25" t="s">
        <v>4161</v>
      </c>
      <c r="F1316" s="25" t="s">
        <v>4176</v>
      </c>
      <c r="G1316" s="25">
        <v>500</v>
      </c>
      <c r="H1316" s="25"/>
    </row>
    <row r="1317" spans="1:8" ht="14">
      <c r="A1317" s="25" t="s">
        <v>4162</v>
      </c>
      <c r="B1317" s="35" t="s">
        <v>4158</v>
      </c>
      <c r="C1317" s="25" t="s">
        <v>4162</v>
      </c>
      <c r="D1317" s="25" t="s">
        <v>13</v>
      </c>
      <c r="E1317" s="25" t="s">
        <v>4162</v>
      </c>
      <c r="F1317" s="25" t="s">
        <v>4177</v>
      </c>
      <c r="G1317" s="25">
        <v>500</v>
      </c>
      <c r="H1317" s="25"/>
    </row>
    <row r="1318" spans="1:8" ht="14">
      <c r="A1318" s="25" t="s">
        <v>4163</v>
      </c>
      <c r="B1318" s="35" t="s">
        <v>4158</v>
      </c>
      <c r="C1318" s="25" t="s">
        <v>4163</v>
      </c>
      <c r="D1318" s="25" t="s">
        <v>13</v>
      </c>
      <c r="E1318" s="25" t="s">
        <v>4163</v>
      </c>
      <c r="F1318" s="25" t="s">
        <v>4178</v>
      </c>
      <c r="G1318" s="25">
        <v>500</v>
      </c>
      <c r="H1318" s="25"/>
    </row>
    <row r="1319" spans="1:8" ht="14">
      <c r="A1319" s="25" t="s">
        <v>4164</v>
      </c>
      <c r="B1319" s="35" t="s">
        <v>4158</v>
      </c>
      <c r="C1319" s="25" t="s">
        <v>4164</v>
      </c>
      <c r="D1319" s="25" t="s">
        <v>13</v>
      </c>
      <c r="E1319" s="25" t="s">
        <v>4164</v>
      </c>
      <c r="F1319" s="25" t="s">
        <v>4179</v>
      </c>
      <c r="G1319" s="25">
        <v>500</v>
      </c>
      <c r="H1319" s="25"/>
    </row>
    <row r="1320" spans="1:8" ht="14">
      <c r="A1320" s="25" t="s">
        <v>642</v>
      </c>
      <c r="B1320" s="35" t="s">
        <v>4158</v>
      </c>
      <c r="C1320" s="25" t="s">
        <v>642</v>
      </c>
      <c r="D1320" s="25" t="s">
        <v>13</v>
      </c>
      <c r="E1320" s="25" t="s">
        <v>642</v>
      </c>
      <c r="F1320" s="25" t="s">
        <v>4180</v>
      </c>
      <c r="G1320" s="25">
        <v>500</v>
      </c>
      <c r="H1320" s="25"/>
    </row>
    <row r="1321" spans="1:8" ht="14">
      <c r="A1321" s="25" t="s">
        <v>4165</v>
      </c>
      <c r="B1321" s="35" t="s">
        <v>4158</v>
      </c>
      <c r="C1321" s="25" t="s">
        <v>4165</v>
      </c>
      <c r="D1321" s="25" t="s">
        <v>13</v>
      </c>
      <c r="E1321" s="25" t="s">
        <v>4165</v>
      </c>
      <c r="F1321" s="25" t="s">
        <v>4181</v>
      </c>
      <c r="G1321" s="25">
        <v>500</v>
      </c>
      <c r="H1321" s="25"/>
    </row>
    <row r="1322" spans="1:8" ht="14">
      <c r="A1322" s="25" t="s">
        <v>4166</v>
      </c>
      <c r="B1322" s="35" t="s">
        <v>4158</v>
      </c>
      <c r="C1322" s="25" t="s">
        <v>4166</v>
      </c>
      <c r="D1322" s="25" t="s">
        <v>13</v>
      </c>
      <c r="E1322" s="25" t="s">
        <v>4166</v>
      </c>
      <c r="F1322" s="25" t="s">
        <v>4182</v>
      </c>
      <c r="G1322" s="25">
        <v>500</v>
      </c>
      <c r="H1322" s="25"/>
    </row>
    <row r="1323" spans="1:8" ht="14">
      <c r="A1323" s="25" t="s">
        <v>4167</v>
      </c>
      <c r="B1323" s="35" t="s">
        <v>4158</v>
      </c>
      <c r="C1323" s="25" t="s">
        <v>4167</v>
      </c>
      <c r="D1323" s="25" t="s">
        <v>13</v>
      </c>
      <c r="E1323" s="25" t="s">
        <v>4167</v>
      </c>
      <c r="F1323" s="25" t="s">
        <v>4183</v>
      </c>
      <c r="G1323" s="25">
        <v>500</v>
      </c>
      <c r="H1323" s="25"/>
    </row>
    <row r="1324" spans="1:8" ht="14">
      <c r="A1324" s="25" t="s">
        <v>4168</v>
      </c>
      <c r="B1324" s="35" t="s">
        <v>4158</v>
      </c>
      <c r="C1324" s="25" t="s">
        <v>4168</v>
      </c>
      <c r="D1324" s="25" t="s">
        <v>13</v>
      </c>
      <c r="E1324" s="25" t="s">
        <v>4168</v>
      </c>
      <c r="F1324" s="25" t="s">
        <v>4184</v>
      </c>
      <c r="G1324" s="25">
        <v>500</v>
      </c>
      <c r="H1324" s="25"/>
    </row>
    <row r="1325" spans="1:8" ht="14">
      <c r="A1325" s="25" t="s">
        <v>4169</v>
      </c>
      <c r="B1325" s="35" t="s">
        <v>4158</v>
      </c>
      <c r="C1325" s="25" t="s">
        <v>4169</v>
      </c>
      <c r="D1325" s="25" t="s">
        <v>13</v>
      </c>
      <c r="E1325" s="25" t="s">
        <v>4169</v>
      </c>
      <c r="F1325" s="25" t="s">
        <v>4185</v>
      </c>
      <c r="G1325" s="25">
        <v>500</v>
      </c>
      <c r="H1325" s="25"/>
    </row>
    <row r="1326" spans="1:8" ht="14">
      <c r="A1326" s="25" t="s">
        <v>4170</v>
      </c>
      <c r="B1326" s="35" t="s">
        <v>4158</v>
      </c>
      <c r="C1326" s="25" t="s">
        <v>4170</v>
      </c>
      <c r="D1326" s="25" t="s">
        <v>13</v>
      </c>
      <c r="E1326" s="25" t="s">
        <v>4170</v>
      </c>
      <c r="F1326" s="25" t="s">
        <v>4186</v>
      </c>
      <c r="G1326" s="25">
        <v>500</v>
      </c>
      <c r="H1326" s="25"/>
    </row>
    <row r="1327" spans="1:8" ht="14">
      <c r="A1327" s="25" t="s">
        <v>4171</v>
      </c>
      <c r="B1327" s="35" t="s">
        <v>4158</v>
      </c>
      <c r="C1327" s="25" t="s">
        <v>4171</v>
      </c>
      <c r="D1327" s="25" t="s">
        <v>13</v>
      </c>
      <c r="E1327" s="25" t="s">
        <v>4171</v>
      </c>
      <c r="F1327" s="25" t="s">
        <v>4187</v>
      </c>
      <c r="G1327" s="25">
        <v>500</v>
      </c>
      <c r="H1327" s="25"/>
    </row>
    <row r="1328" spans="1:8" ht="14">
      <c r="A1328" s="25" t="s">
        <v>4172</v>
      </c>
      <c r="B1328" s="35" t="s">
        <v>4158</v>
      </c>
      <c r="C1328" s="25" t="s">
        <v>4172</v>
      </c>
      <c r="D1328" s="25" t="s">
        <v>13</v>
      </c>
      <c r="E1328" s="25" t="s">
        <v>4172</v>
      </c>
      <c r="F1328" s="25" t="s">
        <v>4188</v>
      </c>
      <c r="G1328" s="25">
        <v>500</v>
      </c>
      <c r="H1328" s="25"/>
    </row>
    <row r="1329" spans="1:8" ht="14">
      <c r="A1329" s="25" t="s">
        <v>4173</v>
      </c>
      <c r="B1329" s="35" t="s">
        <v>4158</v>
      </c>
      <c r="C1329" s="25" t="s">
        <v>4173</v>
      </c>
      <c r="D1329" s="25" t="s">
        <v>13</v>
      </c>
      <c r="E1329" s="25" t="s">
        <v>4173</v>
      </c>
      <c r="F1329" s="25" t="s">
        <v>4189</v>
      </c>
      <c r="G1329" s="25">
        <v>500</v>
      </c>
      <c r="H1329" s="25"/>
    </row>
    <row r="1330" spans="1:8" ht="14">
      <c r="A1330" s="25" t="s">
        <v>4174</v>
      </c>
      <c r="B1330" s="35" t="s">
        <v>4158</v>
      </c>
      <c r="C1330" s="25" t="s">
        <v>4174</v>
      </c>
      <c r="D1330" s="25" t="s">
        <v>13</v>
      </c>
      <c r="E1330" s="25" t="s">
        <v>4174</v>
      </c>
      <c r="F1330" s="25" t="s">
        <v>4190</v>
      </c>
      <c r="G1330" s="25">
        <v>500</v>
      </c>
      <c r="H1330" s="25"/>
    </row>
    <row r="1331" spans="1:8" ht="14">
      <c r="A1331" s="25" t="s">
        <v>4175</v>
      </c>
      <c r="B1331" s="35" t="s">
        <v>4158</v>
      </c>
      <c r="C1331" s="25" t="s">
        <v>4175</v>
      </c>
      <c r="D1331" s="25" t="s">
        <v>13</v>
      </c>
      <c r="E1331" s="25" t="s">
        <v>4175</v>
      </c>
      <c r="F1331" s="25" t="s">
        <v>4191</v>
      </c>
      <c r="G1331" s="25">
        <v>600</v>
      </c>
      <c r="H1331" s="25"/>
    </row>
    <row r="1332" spans="1:8" ht="14">
      <c r="A1332" s="25" t="s">
        <v>1777</v>
      </c>
      <c r="B1332" s="35" t="s">
        <v>4219</v>
      </c>
      <c r="C1332" s="25" t="s">
        <v>1777</v>
      </c>
      <c r="D1332" s="25" t="s">
        <v>13</v>
      </c>
      <c r="E1332" s="25" t="s">
        <v>2827</v>
      </c>
      <c r="F1332" s="25" t="s">
        <v>4222</v>
      </c>
      <c r="G1332" s="25">
        <v>600</v>
      </c>
      <c r="H1332" s="25"/>
    </row>
    <row r="1333" spans="1:8" ht="14">
      <c r="A1333" s="25" t="s">
        <v>4221</v>
      </c>
      <c r="B1333" s="35" t="s">
        <v>4219</v>
      </c>
      <c r="C1333" s="25" t="s">
        <v>0</v>
      </c>
      <c r="D1333" s="25" t="s">
        <v>13</v>
      </c>
      <c r="E1333" s="25" t="s">
        <v>4223</v>
      </c>
      <c r="F1333" s="25" t="s">
        <v>4224</v>
      </c>
      <c r="G1333" s="25">
        <v>550</v>
      </c>
      <c r="H1333" s="25"/>
    </row>
    <row r="1334" spans="1:8" ht="14">
      <c r="A1334" s="25" t="s">
        <v>4215</v>
      </c>
      <c r="B1334" s="35" t="s">
        <v>30</v>
      </c>
      <c r="C1334" s="25" t="s">
        <v>4215</v>
      </c>
      <c r="D1334" s="25" t="s">
        <v>13</v>
      </c>
      <c r="E1334" s="25" t="s">
        <v>3160</v>
      </c>
      <c r="F1334" s="25" t="s">
        <v>4407</v>
      </c>
      <c r="G1334" s="25">
        <v>500</v>
      </c>
      <c r="H1334" s="25"/>
    </row>
    <row r="1335" spans="1:8" ht="14">
      <c r="A1335" s="25" t="s">
        <v>4216</v>
      </c>
      <c r="B1335" s="35" t="s">
        <v>30</v>
      </c>
      <c r="C1335" s="25" t="s">
        <v>4216</v>
      </c>
      <c r="D1335" s="25" t="s">
        <v>13</v>
      </c>
      <c r="E1335" s="25" t="s">
        <v>4217</v>
      </c>
      <c r="F1335" s="25" t="s">
        <v>4218</v>
      </c>
      <c r="G1335" s="25">
        <v>450</v>
      </c>
      <c r="H1335" s="25"/>
    </row>
    <row r="1336" spans="1:8" ht="14">
      <c r="A1336" s="25" t="s">
        <v>4216</v>
      </c>
      <c r="B1336" s="35" t="s">
        <v>2823</v>
      </c>
      <c r="C1336" s="25" t="s">
        <v>4216</v>
      </c>
      <c r="D1336" s="25" t="s">
        <v>13</v>
      </c>
      <c r="E1336" s="25" t="s">
        <v>4217</v>
      </c>
      <c r="F1336" s="25" t="s">
        <v>4329</v>
      </c>
      <c r="G1336" s="25">
        <v>500</v>
      </c>
      <c r="H1336" s="25"/>
    </row>
    <row r="1337" spans="1:8" ht="14">
      <c r="A1337" s="25" t="str">
        <f>LOWER(C1337)</f>
        <v>hematoxylin</v>
      </c>
      <c r="B1337" s="35" t="s">
        <v>4225</v>
      </c>
      <c r="C1337" s="25" t="s">
        <v>4285</v>
      </c>
      <c r="D1337" s="25" t="s">
        <v>13</v>
      </c>
      <c r="E1337" s="25" t="s">
        <v>4227</v>
      </c>
      <c r="F1337" s="25" t="s">
        <v>4228</v>
      </c>
      <c r="G1337" s="25">
        <v>500</v>
      </c>
      <c r="H1337" s="25"/>
    </row>
    <row r="1338" spans="1:8" ht="14">
      <c r="A1338" s="25" t="str">
        <f t="shared" ref="A1338:A1365" si="19">LOWER(C1338)</f>
        <v>eosin</v>
      </c>
      <c r="B1338" s="35" t="s">
        <v>4225</v>
      </c>
      <c r="C1338" s="25" t="s">
        <v>4286</v>
      </c>
      <c r="D1338" s="25" t="s">
        <v>13</v>
      </c>
      <c r="E1338" s="25" t="s">
        <v>4229</v>
      </c>
      <c r="F1338" s="25" t="s">
        <v>4230</v>
      </c>
      <c r="G1338" s="25">
        <v>500</v>
      </c>
      <c r="H1338" s="25"/>
    </row>
    <row r="1339" spans="1:8" ht="14">
      <c r="A1339" s="25" t="str">
        <f t="shared" si="19"/>
        <v>dapi</v>
      </c>
      <c r="B1339" s="35" t="s">
        <v>4225</v>
      </c>
      <c r="C1339" s="25" t="s">
        <v>4287</v>
      </c>
      <c r="D1339" s="25" t="s">
        <v>13</v>
      </c>
      <c r="E1339" s="25" t="s">
        <v>4231</v>
      </c>
      <c r="F1339" s="25" t="s">
        <v>4232</v>
      </c>
      <c r="G1339" s="25">
        <v>500</v>
      </c>
      <c r="H1339" s="25"/>
    </row>
    <row r="1340" spans="1:8" ht="14">
      <c r="A1340" s="25" t="str">
        <f t="shared" si="19"/>
        <v>hoechst33342</v>
      </c>
      <c r="B1340" s="35" t="s">
        <v>4225</v>
      </c>
      <c r="C1340" s="25" t="s">
        <v>4292</v>
      </c>
      <c r="D1340" s="25" t="s">
        <v>13</v>
      </c>
      <c r="E1340" s="25" t="s">
        <v>4233</v>
      </c>
      <c r="F1340" s="25" t="s">
        <v>4234</v>
      </c>
      <c r="G1340" s="25">
        <v>500</v>
      </c>
      <c r="H1340" s="25"/>
    </row>
    <row r="1341" spans="1:8" ht="14">
      <c r="A1341" s="25" t="str">
        <f t="shared" si="19"/>
        <v>propidium_iodide</v>
      </c>
      <c r="B1341" s="35" t="s">
        <v>4225</v>
      </c>
      <c r="C1341" s="25" t="s">
        <v>4293</v>
      </c>
      <c r="D1341" s="25" t="s">
        <v>13</v>
      </c>
      <c r="E1341" s="25" t="s">
        <v>4235</v>
      </c>
      <c r="F1341" s="25" t="s">
        <v>4236</v>
      </c>
      <c r="G1341" s="25">
        <v>500</v>
      </c>
      <c r="H1341" s="25"/>
    </row>
    <row r="1342" spans="1:8" ht="14">
      <c r="A1342" s="25" t="str">
        <f t="shared" si="19"/>
        <v>acridine_orange</v>
      </c>
      <c r="B1342" s="35" t="s">
        <v>4225</v>
      </c>
      <c r="C1342" s="25" t="s">
        <v>4294</v>
      </c>
      <c r="D1342" s="25" t="s">
        <v>13</v>
      </c>
      <c r="E1342" s="25" t="s">
        <v>4237</v>
      </c>
      <c r="F1342" s="25" t="s">
        <v>4238</v>
      </c>
      <c r="G1342" s="25">
        <v>500</v>
      </c>
      <c r="H1342" s="25"/>
    </row>
    <row r="1343" spans="1:8" ht="14">
      <c r="A1343" s="25" t="str">
        <f t="shared" si="19"/>
        <v>crystal_violet</v>
      </c>
      <c r="B1343" s="35" t="s">
        <v>4225</v>
      </c>
      <c r="C1343" s="25" t="s">
        <v>4295</v>
      </c>
      <c r="D1343" s="25" t="s">
        <v>13</v>
      </c>
      <c r="E1343" s="25" t="s">
        <v>4239</v>
      </c>
      <c r="F1343" s="25" t="s">
        <v>4240</v>
      </c>
      <c r="G1343" s="25">
        <v>500</v>
      </c>
      <c r="H1343" s="25"/>
    </row>
    <row r="1344" spans="1:8" ht="14">
      <c r="A1344" s="25" t="str">
        <f t="shared" si="19"/>
        <v>safranin</v>
      </c>
      <c r="B1344" s="35" t="s">
        <v>4225</v>
      </c>
      <c r="C1344" s="25" t="s">
        <v>4288</v>
      </c>
      <c r="D1344" s="25" t="s">
        <v>13</v>
      </c>
      <c r="E1344" s="25" t="s">
        <v>4241</v>
      </c>
      <c r="F1344" s="25" t="s">
        <v>4242</v>
      </c>
      <c r="G1344" s="25">
        <v>500</v>
      </c>
      <c r="H1344" s="25"/>
    </row>
    <row r="1345" spans="1:8" ht="14">
      <c r="A1345" s="25" t="str">
        <f t="shared" si="19"/>
        <v>methylene_blue</v>
      </c>
      <c r="B1345" s="35" t="s">
        <v>4225</v>
      </c>
      <c r="C1345" s="25" t="s">
        <v>4296</v>
      </c>
      <c r="D1345" s="25" t="s">
        <v>13</v>
      </c>
      <c r="E1345" s="25" t="s">
        <v>4243</v>
      </c>
      <c r="F1345" s="25" t="s">
        <v>4244</v>
      </c>
      <c r="G1345" s="25">
        <v>500</v>
      </c>
      <c r="H1345" s="25"/>
    </row>
    <row r="1346" spans="1:8" ht="14">
      <c r="A1346" s="25" t="str">
        <f t="shared" si="19"/>
        <v>malachite_green</v>
      </c>
      <c r="B1346" s="35" t="s">
        <v>4225</v>
      </c>
      <c r="C1346" s="25" t="s">
        <v>4297</v>
      </c>
      <c r="D1346" s="25" t="s">
        <v>13</v>
      </c>
      <c r="E1346" s="25" t="s">
        <v>4245</v>
      </c>
      <c r="F1346" s="25" t="s">
        <v>4246</v>
      </c>
      <c r="G1346" s="25">
        <v>500</v>
      </c>
      <c r="H1346" s="25"/>
    </row>
    <row r="1347" spans="1:8" ht="14">
      <c r="A1347" s="25" t="str">
        <f t="shared" si="19"/>
        <v>nigrosin</v>
      </c>
      <c r="B1347" s="35" t="s">
        <v>4225</v>
      </c>
      <c r="C1347" s="25" t="s">
        <v>4289</v>
      </c>
      <c r="D1347" s="25" t="s">
        <v>13</v>
      </c>
      <c r="E1347" s="25" t="s">
        <v>4247</v>
      </c>
      <c r="F1347" s="25" t="s">
        <v>4248</v>
      </c>
      <c r="G1347" s="25">
        <v>500</v>
      </c>
      <c r="H1347" s="25"/>
    </row>
    <row r="1348" spans="1:8" ht="14">
      <c r="A1348" s="25" t="str">
        <f t="shared" si="19"/>
        <v>india_ink</v>
      </c>
      <c r="B1348" s="35" t="s">
        <v>4225</v>
      </c>
      <c r="C1348" s="25" t="s">
        <v>4298</v>
      </c>
      <c r="D1348" s="25" t="s">
        <v>13</v>
      </c>
      <c r="E1348" s="25" t="s">
        <v>4249</v>
      </c>
      <c r="F1348" s="25" t="s">
        <v>4250</v>
      </c>
      <c r="G1348" s="25">
        <v>500</v>
      </c>
      <c r="H1348" s="25"/>
    </row>
    <row r="1349" spans="1:8" ht="14">
      <c r="A1349" s="25" t="str">
        <f t="shared" si="19"/>
        <v>calcofluor_white</v>
      </c>
      <c r="B1349" s="35" t="s">
        <v>4225</v>
      </c>
      <c r="C1349" s="25" t="s">
        <v>4299</v>
      </c>
      <c r="D1349" s="25" t="s">
        <v>13</v>
      </c>
      <c r="E1349" s="25" t="s">
        <v>4251</v>
      </c>
      <c r="F1349" s="25" t="s">
        <v>4252</v>
      </c>
      <c r="G1349" s="25">
        <v>500</v>
      </c>
      <c r="H1349" s="25"/>
    </row>
    <row r="1350" spans="1:8" ht="14">
      <c r="A1350" s="25" t="str">
        <f t="shared" si="19"/>
        <v>rhodamine</v>
      </c>
      <c r="B1350" s="35" t="s">
        <v>4225</v>
      </c>
      <c r="C1350" s="25" t="s">
        <v>4290</v>
      </c>
      <c r="D1350" s="25" t="s">
        <v>13</v>
      </c>
      <c r="E1350" s="25" t="s">
        <v>4253</v>
      </c>
      <c r="F1350" s="25" t="s">
        <v>4254</v>
      </c>
      <c r="G1350" s="25">
        <v>500</v>
      </c>
      <c r="H1350" s="25"/>
    </row>
    <row r="1351" spans="1:8" ht="14">
      <c r="A1351" s="25" t="str">
        <f t="shared" si="19"/>
        <v>fluorescein</v>
      </c>
      <c r="B1351" s="35" t="s">
        <v>4225</v>
      </c>
      <c r="C1351" s="25" t="s">
        <v>4291</v>
      </c>
      <c r="D1351" s="25" t="s">
        <v>13</v>
      </c>
      <c r="E1351" s="25" t="s">
        <v>4255</v>
      </c>
      <c r="F1351" s="25" t="s">
        <v>4256</v>
      </c>
      <c r="G1351" s="25">
        <v>500</v>
      </c>
      <c r="H1351" s="25"/>
    </row>
    <row r="1352" spans="1:8" ht="14">
      <c r="A1352" s="25" t="str">
        <f t="shared" si="19"/>
        <v>congo_red</v>
      </c>
      <c r="B1352" s="35" t="s">
        <v>4225</v>
      </c>
      <c r="C1352" s="25" t="s">
        <v>4300</v>
      </c>
      <c r="D1352" s="25" t="s">
        <v>13</v>
      </c>
      <c r="E1352" s="25" t="s">
        <v>4257</v>
      </c>
      <c r="F1352" s="25" t="s">
        <v>4258</v>
      </c>
      <c r="G1352" s="25">
        <v>500</v>
      </c>
      <c r="H1352" s="25"/>
    </row>
    <row r="1353" spans="1:8" ht="14">
      <c r="A1353" s="25" t="str">
        <f t="shared" si="19"/>
        <v>oil_red_o</v>
      </c>
      <c r="B1353" s="35" t="s">
        <v>4225</v>
      </c>
      <c r="C1353" s="25" t="s">
        <v>4301</v>
      </c>
      <c r="D1353" s="25" t="s">
        <v>13</v>
      </c>
      <c r="E1353" s="25" t="s">
        <v>4259</v>
      </c>
      <c r="F1353" s="25" t="s">
        <v>4260</v>
      </c>
      <c r="G1353" s="25">
        <v>500</v>
      </c>
      <c r="H1353" s="25"/>
    </row>
    <row r="1354" spans="1:8" ht="14">
      <c r="A1354" s="25" t="str">
        <f t="shared" si="19"/>
        <v>sudan_black_b</v>
      </c>
      <c r="B1354" s="35" t="s">
        <v>4225</v>
      </c>
      <c r="C1354" s="25" t="s">
        <v>4302</v>
      </c>
      <c r="D1354" s="25" t="s">
        <v>13</v>
      </c>
      <c r="E1354" s="25" t="s">
        <v>4261</v>
      </c>
      <c r="F1354" s="25" t="s">
        <v>4262</v>
      </c>
      <c r="G1354" s="25">
        <v>500</v>
      </c>
      <c r="H1354" s="25"/>
    </row>
    <row r="1355" spans="1:8" ht="14">
      <c r="A1355" s="25" t="str">
        <f t="shared" si="19"/>
        <v>janus_green_b</v>
      </c>
      <c r="B1355" s="35" t="s">
        <v>4225</v>
      </c>
      <c r="C1355" s="25" t="s">
        <v>4303</v>
      </c>
      <c r="D1355" s="25" t="s">
        <v>13</v>
      </c>
      <c r="E1355" s="25" t="s">
        <v>4263</v>
      </c>
      <c r="F1355" s="25" t="s">
        <v>4264</v>
      </c>
      <c r="G1355" s="25">
        <v>500</v>
      </c>
      <c r="H1355" s="25"/>
    </row>
    <row r="1356" spans="1:8" ht="14">
      <c r="A1356" s="25" t="str">
        <f t="shared" si="19"/>
        <v>neutral_red</v>
      </c>
      <c r="B1356" s="35" t="s">
        <v>4225</v>
      </c>
      <c r="C1356" s="25" t="s">
        <v>4304</v>
      </c>
      <c r="D1356" s="25" t="s">
        <v>13</v>
      </c>
      <c r="E1356" s="25" t="s">
        <v>4265</v>
      </c>
      <c r="F1356" s="25" t="s">
        <v>4266</v>
      </c>
      <c r="G1356" s="25">
        <v>500</v>
      </c>
      <c r="H1356" s="25"/>
    </row>
    <row r="1357" spans="1:8" ht="14">
      <c r="A1357" s="25" t="str">
        <f t="shared" si="19"/>
        <v>trypan_blue</v>
      </c>
      <c r="B1357" s="35" t="s">
        <v>4225</v>
      </c>
      <c r="C1357" s="25" t="s">
        <v>4305</v>
      </c>
      <c r="D1357" s="25" t="s">
        <v>13</v>
      </c>
      <c r="E1357" s="25" t="s">
        <v>4267</v>
      </c>
      <c r="F1357" s="25" t="s">
        <v>4268</v>
      </c>
      <c r="G1357" s="25">
        <v>500</v>
      </c>
      <c r="H1357" s="25"/>
    </row>
    <row r="1358" spans="1:8" ht="14">
      <c r="A1358" s="25" t="str">
        <f t="shared" si="19"/>
        <v>toluidine_blue</v>
      </c>
      <c r="B1358" s="35" t="s">
        <v>4225</v>
      </c>
      <c r="C1358" s="25" t="s">
        <v>4306</v>
      </c>
      <c r="D1358" s="25" t="s">
        <v>13</v>
      </c>
      <c r="E1358" s="25" t="s">
        <v>4269</v>
      </c>
      <c r="F1358" s="25" t="s">
        <v>4270</v>
      </c>
      <c r="G1358" s="25">
        <v>500</v>
      </c>
      <c r="H1358" s="25"/>
    </row>
    <row r="1359" spans="1:8" ht="14">
      <c r="A1359" s="25" t="str">
        <f t="shared" si="19"/>
        <v>silver_stain</v>
      </c>
      <c r="B1359" s="35" t="s">
        <v>4225</v>
      </c>
      <c r="C1359" s="25" t="s">
        <v>4307</v>
      </c>
      <c r="D1359" s="25" t="s">
        <v>13</v>
      </c>
      <c r="E1359" s="25" t="s">
        <v>4271</v>
      </c>
      <c r="F1359" s="25" t="s">
        <v>4272</v>
      </c>
      <c r="G1359" s="25">
        <v>500</v>
      </c>
      <c r="H1359" s="25"/>
    </row>
    <row r="1360" spans="1:8" ht="14">
      <c r="A1360" s="25" t="str">
        <f t="shared" si="19"/>
        <v>auramine_o</v>
      </c>
      <c r="B1360" s="35" t="s">
        <v>4225</v>
      </c>
      <c r="C1360" s="25" t="s">
        <v>4308</v>
      </c>
      <c r="D1360" s="25" t="s">
        <v>13</v>
      </c>
      <c r="E1360" s="25" t="s">
        <v>4273</v>
      </c>
      <c r="F1360" s="25" t="s">
        <v>4274</v>
      </c>
      <c r="G1360" s="25">
        <v>500</v>
      </c>
      <c r="H1360" s="25"/>
    </row>
    <row r="1361" spans="1:8" ht="14">
      <c r="A1361" s="25" t="str">
        <f t="shared" si="19"/>
        <v>giemsa_stain</v>
      </c>
      <c r="B1361" s="35" t="s">
        <v>4225</v>
      </c>
      <c r="C1361" s="25" t="s">
        <v>4309</v>
      </c>
      <c r="D1361" s="25" t="s">
        <v>13</v>
      </c>
      <c r="E1361" s="25" t="s">
        <v>4275</v>
      </c>
      <c r="F1361" s="25" t="s">
        <v>4276</v>
      </c>
      <c r="G1361" s="25">
        <v>500</v>
      </c>
      <c r="H1361" s="25"/>
    </row>
    <row r="1362" spans="1:8" ht="14">
      <c r="A1362" s="25" t="str">
        <f t="shared" si="19"/>
        <v>wright_stain</v>
      </c>
      <c r="B1362" s="35" t="s">
        <v>4225</v>
      </c>
      <c r="C1362" s="25" t="s">
        <v>4310</v>
      </c>
      <c r="D1362" s="25" t="s">
        <v>13</v>
      </c>
      <c r="E1362" s="25" t="s">
        <v>4277</v>
      </c>
      <c r="F1362" s="25" t="s">
        <v>4278</v>
      </c>
      <c r="G1362" s="25">
        <v>500</v>
      </c>
      <c r="H1362" s="25"/>
    </row>
    <row r="1363" spans="1:8" ht="14">
      <c r="A1363" s="25" t="str">
        <f t="shared" si="19"/>
        <v>periodic_acid-schiff</v>
      </c>
      <c r="B1363" s="35" t="s">
        <v>4225</v>
      </c>
      <c r="C1363" s="25" t="s">
        <v>4311</v>
      </c>
      <c r="D1363" s="25" t="s">
        <v>13</v>
      </c>
      <c r="E1363" s="25" t="s">
        <v>4279</v>
      </c>
      <c r="F1363" s="25" t="s">
        <v>4280</v>
      </c>
      <c r="G1363" s="25">
        <v>500</v>
      </c>
      <c r="H1363" s="25"/>
    </row>
    <row r="1364" spans="1:8" ht="14">
      <c r="A1364" s="25" t="str">
        <f t="shared" si="19"/>
        <v>alcian_blue</v>
      </c>
      <c r="B1364" s="35" t="s">
        <v>4225</v>
      </c>
      <c r="C1364" s="25" t="s">
        <v>4312</v>
      </c>
      <c r="D1364" s="25" t="s">
        <v>13</v>
      </c>
      <c r="E1364" s="25" t="s">
        <v>4281</v>
      </c>
      <c r="F1364" s="25" t="s">
        <v>4282</v>
      </c>
      <c r="G1364" s="25">
        <v>500</v>
      </c>
      <c r="H1364" s="25"/>
    </row>
    <row r="1365" spans="1:8" ht="14">
      <c r="A1365" s="25" t="str">
        <f t="shared" si="19"/>
        <v>massons_trichrome</v>
      </c>
      <c r="B1365" s="35" t="s">
        <v>4225</v>
      </c>
      <c r="C1365" s="25" t="s">
        <v>4313</v>
      </c>
      <c r="D1365" s="25" t="s">
        <v>13</v>
      </c>
      <c r="E1365" s="25" t="s">
        <v>4283</v>
      </c>
      <c r="F1365" s="25" t="s">
        <v>4284</v>
      </c>
      <c r="G1365" s="25">
        <v>500</v>
      </c>
      <c r="H1365" s="25"/>
    </row>
    <row r="1366" spans="1:8" ht="14">
      <c r="A1366" s="25" t="s">
        <v>4320</v>
      </c>
      <c r="B1366" s="35" t="s">
        <v>4318</v>
      </c>
      <c r="C1366" s="25" t="s">
        <v>4320</v>
      </c>
      <c r="D1366" s="25" t="s">
        <v>13</v>
      </c>
      <c r="E1366" s="25" t="s">
        <v>4321</v>
      </c>
      <c r="F1366" s="25" t="s">
        <v>4322</v>
      </c>
      <c r="G1366" s="25">
        <v>450</v>
      </c>
      <c r="H1366" s="25"/>
    </row>
    <row r="1367" spans="1:8" ht="14">
      <c r="A1367" s="25" t="s">
        <v>4028</v>
      </c>
      <c r="B1367" s="35" t="s">
        <v>4318</v>
      </c>
      <c r="C1367" s="25" t="s">
        <v>4028</v>
      </c>
      <c r="D1367" s="25" t="s">
        <v>13</v>
      </c>
      <c r="E1367" s="25" t="s">
        <v>3911</v>
      </c>
      <c r="F1367" s="25" t="s">
        <v>4323</v>
      </c>
      <c r="G1367" s="25">
        <v>500</v>
      </c>
      <c r="H1367" s="25"/>
    </row>
    <row r="1368" spans="1:8" ht="14">
      <c r="A1368" s="25" t="s">
        <v>4028</v>
      </c>
      <c r="B1368" s="35" t="s">
        <v>4314</v>
      </c>
      <c r="C1368" s="25" t="s">
        <v>4028</v>
      </c>
      <c r="D1368" s="25" t="s">
        <v>13</v>
      </c>
      <c r="E1368" s="25" t="s">
        <v>3911</v>
      </c>
      <c r="F1368" s="25" t="s">
        <v>4324</v>
      </c>
      <c r="G1368" s="25">
        <v>500</v>
      </c>
      <c r="H1368" s="25"/>
    </row>
    <row r="1369" spans="1:8" ht="14">
      <c r="A1369" s="25" t="s">
        <v>21</v>
      </c>
      <c r="B1369" s="26" t="s">
        <v>4316</v>
      </c>
      <c r="C1369" s="25" t="s">
        <v>21</v>
      </c>
      <c r="D1369" s="25" t="s">
        <v>13</v>
      </c>
      <c r="E1369" s="25" t="s">
        <v>21</v>
      </c>
      <c r="F1369" s="25" t="s">
        <v>4325</v>
      </c>
      <c r="G1369" s="25">
        <v>700</v>
      </c>
      <c r="H1369" s="25"/>
    </row>
    <row r="1370" spans="1:8" ht="14">
      <c r="A1370" s="25" t="s">
        <v>3921</v>
      </c>
      <c r="B1370" s="26" t="s">
        <v>4316</v>
      </c>
      <c r="C1370" s="25" t="s">
        <v>3921</v>
      </c>
      <c r="D1370" s="25" t="s">
        <v>13</v>
      </c>
      <c r="E1370" s="25" t="s">
        <v>3921</v>
      </c>
      <c r="F1370" s="25" t="s">
        <v>4326</v>
      </c>
      <c r="G1370" s="25">
        <v>540</v>
      </c>
      <c r="H1370" s="25"/>
    </row>
    <row r="1371" spans="1:8" ht="14">
      <c r="A1371" s="25" t="s">
        <v>4327</v>
      </c>
      <c r="B1371" s="26" t="s">
        <v>4316</v>
      </c>
      <c r="C1371" s="25" t="s">
        <v>4327</v>
      </c>
      <c r="D1371" s="25" t="s">
        <v>13</v>
      </c>
      <c r="E1371" s="25" t="s">
        <v>4327</v>
      </c>
      <c r="F1371" s="25" t="s">
        <v>4328</v>
      </c>
      <c r="G1371" s="25">
        <v>500</v>
      </c>
      <c r="H1371" s="25"/>
    </row>
    <row r="1372" spans="1:8" ht="14">
      <c r="A1372" s="25" t="s">
        <v>2861</v>
      </c>
      <c r="B1372" s="36" t="s">
        <v>4330</v>
      </c>
      <c r="C1372" s="25" t="s">
        <v>2861</v>
      </c>
      <c r="D1372" s="25" t="s">
        <v>13</v>
      </c>
      <c r="E1372" s="25" t="s">
        <v>2862</v>
      </c>
      <c r="F1372" s="25" t="s">
        <v>4332</v>
      </c>
      <c r="G1372" s="25">
        <v>500</v>
      </c>
      <c r="H1372" s="25"/>
    </row>
    <row r="1373" spans="1:8" ht="14">
      <c r="A1373" s="25" t="s">
        <v>3017</v>
      </c>
      <c r="B1373" s="36" t="s">
        <v>4330</v>
      </c>
      <c r="C1373" s="25" t="s">
        <v>3017</v>
      </c>
      <c r="D1373" s="25" t="s">
        <v>13</v>
      </c>
      <c r="E1373" s="25" t="s">
        <v>3018</v>
      </c>
      <c r="F1373" s="25" t="s">
        <v>4333</v>
      </c>
      <c r="G1373" s="25">
        <v>500</v>
      </c>
      <c r="H1373" s="25"/>
    </row>
    <row r="1374" spans="1:8" ht="14">
      <c r="A1374" s="25" t="s">
        <v>3935</v>
      </c>
      <c r="B1374" s="35" t="s">
        <v>4335</v>
      </c>
      <c r="C1374" s="25" t="s">
        <v>3935</v>
      </c>
      <c r="D1374" s="25" t="s">
        <v>13</v>
      </c>
      <c r="E1374" s="25" t="s">
        <v>3935</v>
      </c>
      <c r="F1374" s="25" t="s">
        <v>4342</v>
      </c>
      <c r="G1374" s="25">
        <v>700</v>
      </c>
      <c r="H1374" s="25"/>
    </row>
    <row r="1375" spans="1:8" ht="14">
      <c r="A1375" s="25" t="s">
        <v>4341</v>
      </c>
      <c r="B1375" s="35" t="s">
        <v>4335</v>
      </c>
      <c r="C1375" s="25" t="s">
        <v>4341</v>
      </c>
      <c r="D1375" s="25" t="s">
        <v>13</v>
      </c>
      <c r="E1375" s="25" t="s">
        <v>4338</v>
      </c>
      <c r="F1375" s="25" t="s">
        <v>4339</v>
      </c>
      <c r="G1375" s="25">
        <v>400</v>
      </c>
      <c r="H1375" s="25"/>
    </row>
    <row r="1376" spans="1:8" ht="14">
      <c r="A1376" s="25" t="s">
        <v>4337</v>
      </c>
      <c r="B1376" s="35" t="s">
        <v>4335</v>
      </c>
      <c r="C1376" s="25" t="s">
        <v>4337</v>
      </c>
      <c r="D1376" s="25" t="s">
        <v>13</v>
      </c>
      <c r="E1376" s="25" t="s">
        <v>4337</v>
      </c>
      <c r="F1376" s="25" t="s">
        <v>4340</v>
      </c>
      <c r="G1376" s="25">
        <v>300</v>
      </c>
      <c r="H1376" s="25"/>
    </row>
    <row r="1377" spans="1:8" ht="14">
      <c r="A1377" s="25" t="s">
        <v>262</v>
      </c>
      <c r="B1377" s="35" t="s">
        <v>4343</v>
      </c>
      <c r="C1377" s="25" t="s">
        <v>262</v>
      </c>
      <c r="D1377" s="25" t="s">
        <v>13</v>
      </c>
      <c r="E1377" s="25" t="s">
        <v>1742</v>
      </c>
      <c r="F1377" s="25" t="s">
        <v>4345</v>
      </c>
      <c r="G1377" s="25">
        <v>400</v>
      </c>
      <c r="H1377" s="25"/>
    </row>
    <row r="1378" spans="1:8" ht="14">
      <c r="A1378" s="25" t="s">
        <v>4348</v>
      </c>
      <c r="B1378" s="35" t="s">
        <v>4343</v>
      </c>
      <c r="C1378" s="25" t="s">
        <v>4348</v>
      </c>
      <c r="D1378" s="25" t="s">
        <v>13</v>
      </c>
      <c r="E1378" s="25" t="s">
        <v>4346</v>
      </c>
      <c r="F1378" s="25" t="s">
        <v>4347</v>
      </c>
      <c r="G1378" s="25">
        <v>500</v>
      </c>
      <c r="H1378" s="25"/>
    </row>
    <row r="1379" spans="1:8" ht="14">
      <c r="A1379" s="25" t="s">
        <v>4352</v>
      </c>
      <c r="B1379" s="35" t="s">
        <v>4350</v>
      </c>
      <c r="C1379" s="25" t="s">
        <v>4352</v>
      </c>
      <c r="D1379" s="25" t="s">
        <v>13</v>
      </c>
      <c r="E1379" s="25" t="s">
        <v>4362</v>
      </c>
      <c r="F1379" s="25" t="s">
        <v>4353</v>
      </c>
      <c r="G1379" s="25">
        <v>500</v>
      </c>
      <c r="H1379" s="25"/>
    </row>
    <row r="1380" spans="1:8" ht="14">
      <c r="A1380" s="25" t="s">
        <v>4354</v>
      </c>
      <c r="B1380" s="35" t="s">
        <v>4350</v>
      </c>
      <c r="C1380" s="25" t="s">
        <v>4354</v>
      </c>
      <c r="D1380" s="25" t="s">
        <v>13</v>
      </c>
      <c r="E1380" s="25" t="s">
        <v>4355</v>
      </c>
      <c r="F1380" s="25" t="s">
        <v>4356</v>
      </c>
      <c r="G1380" s="25">
        <v>450</v>
      </c>
      <c r="H1380" s="25"/>
    </row>
    <row r="1381" spans="1:8" ht="14">
      <c r="A1381" s="25" t="s">
        <v>4357</v>
      </c>
      <c r="B1381" s="35" t="s">
        <v>4350</v>
      </c>
      <c r="C1381" s="25" t="s">
        <v>4357</v>
      </c>
      <c r="D1381" s="25" t="s">
        <v>13</v>
      </c>
      <c r="E1381" s="25" t="s">
        <v>4358</v>
      </c>
      <c r="F1381" s="25" t="s">
        <v>4359</v>
      </c>
      <c r="G1381" s="25">
        <v>500</v>
      </c>
      <c r="H1381" s="25"/>
    </row>
    <row r="1382" spans="1:8" ht="14">
      <c r="A1382" s="25" t="s">
        <v>4360</v>
      </c>
      <c r="B1382" s="36" t="s">
        <v>4350</v>
      </c>
      <c r="C1382" s="25" t="s">
        <v>4360</v>
      </c>
      <c r="D1382" s="25" t="s">
        <v>13</v>
      </c>
      <c r="E1382" s="25" t="s">
        <v>4361</v>
      </c>
      <c r="F1382" s="25" t="s">
        <v>4363</v>
      </c>
      <c r="G1382" s="25">
        <v>550</v>
      </c>
      <c r="H1382" s="25"/>
    </row>
    <row r="1383" spans="1:8" ht="14">
      <c r="A1383" s="25" t="s">
        <v>4408</v>
      </c>
      <c r="B1383" s="36" t="s">
        <v>4350</v>
      </c>
      <c r="C1383" s="25" t="s">
        <v>4408</v>
      </c>
      <c r="D1383" s="25" t="s">
        <v>13</v>
      </c>
      <c r="E1383" s="25" t="s">
        <v>4409</v>
      </c>
      <c r="F1383" s="25" t="s">
        <v>4410</v>
      </c>
      <c r="G1383" s="25">
        <v>600</v>
      </c>
      <c r="H1383" s="25"/>
    </row>
    <row r="1384" spans="1:8">
      <c r="A1384" s="42" t="s">
        <v>4369</v>
      </c>
      <c r="B1384" s="22" t="s">
        <v>4392</v>
      </c>
      <c r="C1384" s="43" t="s">
        <v>4369</v>
      </c>
      <c r="D1384" s="5" t="s">
        <v>13</v>
      </c>
      <c r="E1384" s="5" t="s">
        <v>405</v>
      </c>
      <c r="F1384" s="42" t="s">
        <v>4370</v>
      </c>
      <c r="G1384" s="41">
        <v>1000</v>
      </c>
    </row>
    <row r="1385" spans="1:8">
      <c r="A1385" s="42" t="s">
        <v>4371</v>
      </c>
      <c r="B1385" s="22" t="s">
        <v>4392</v>
      </c>
      <c r="C1385" s="43" t="s">
        <v>4371</v>
      </c>
      <c r="D1385" s="5" t="s">
        <v>13</v>
      </c>
      <c r="E1385" s="44" t="s">
        <v>4385</v>
      </c>
      <c r="F1385" s="42" t="s">
        <v>4372</v>
      </c>
      <c r="G1385" s="42">
        <v>900</v>
      </c>
    </row>
    <row r="1386" spans="1:8">
      <c r="A1386" s="42" t="s">
        <v>4373</v>
      </c>
      <c r="B1386" s="22" t="s">
        <v>4392</v>
      </c>
      <c r="C1386" s="43" t="s">
        <v>4373</v>
      </c>
      <c r="D1386" s="5" t="s">
        <v>13</v>
      </c>
      <c r="E1386" s="5" t="s">
        <v>4386</v>
      </c>
      <c r="F1386" s="42" t="s">
        <v>4374</v>
      </c>
      <c r="G1386" s="42">
        <v>850</v>
      </c>
    </row>
    <row r="1387" spans="1:8">
      <c r="A1387" s="42" t="s">
        <v>4375</v>
      </c>
      <c r="B1387" s="22" t="s">
        <v>4392</v>
      </c>
      <c r="C1387" s="43" t="s">
        <v>4375</v>
      </c>
      <c r="D1387" s="5" t="s">
        <v>13</v>
      </c>
      <c r="E1387" s="5" t="s">
        <v>4387</v>
      </c>
      <c r="F1387" s="42" t="s">
        <v>4376</v>
      </c>
      <c r="G1387" s="42">
        <v>820</v>
      </c>
    </row>
    <row r="1388" spans="1:8">
      <c r="A1388" s="42" t="s">
        <v>4377</v>
      </c>
      <c r="B1388" s="22" t="s">
        <v>4392</v>
      </c>
      <c r="C1388" s="43" t="s">
        <v>4377</v>
      </c>
      <c r="D1388" s="5" t="s">
        <v>13</v>
      </c>
      <c r="E1388" s="5" t="s">
        <v>4388</v>
      </c>
      <c r="F1388" s="42" t="s">
        <v>4378</v>
      </c>
      <c r="G1388" s="42">
        <v>780</v>
      </c>
    </row>
    <row r="1389" spans="1:8">
      <c r="A1389" s="42" t="s">
        <v>4379</v>
      </c>
      <c r="B1389" s="22" t="s">
        <v>4392</v>
      </c>
      <c r="C1389" s="43" t="s">
        <v>4379</v>
      </c>
      <c r="D1389" s="5" t="s">
        <v>13</v>
      </c>
      <c r="E1389" s="5" t="s">
        <v>4389</v>
      </c>
      <c r="F1389" s="42" t="s">
        <v>4380</v>
      </c>
      <c r="G1389" s="42">
        <v>760</v>
      </c>
    </row>
    <row r="1390" spans="1:8">
      <c r="A1390" s="42" t="s">
        <v>4381</v>
      </c>
      <c r="B1390" s="22" t="s">
        <v>4392</v>
      </c>
      <c r="C1390" s="43" t="s">
        <v>4381</v>
      </c>
      <c r="D1390" s="5" t="s">
        <v>13</v>
      </c>
      <c r="E1390" s="5" t="s">
        <v>4390</v>
      </c>
      <c r="F1390" s="42" t="s">
        <v>4382</v>
      </c>
      <c r="G1390" s="42">
        <v>740</v>
      </c>
    </row>
    <row r="1391" spans="1:8">
      <c r="A1391" s="42" t="s">
        <v>4383</v>
      </c>
      <c r="B1391" s="22" t="s">
        <v>4392</v>
      </c>
      <c r="C1391" s="43" t="s">
        <v>4383</v>
      </c>
      <c r="D1391" s="5" t="s">
        <v>13</v>
      </c>
      <c r="E1391" s="5" t="s">
        <v>4391</v>
      </c>
      <c r="F1391" s="42" t="s">
        <v>4384</v>
      </c>
      <c r="G1391" s="42">
        <v>700</v>
      </c>
    </row>
    <row r="1392" spans="1:8">
      <c r="A1392" s="5" t="s">
        <v>4402</v>
      </c>
      <c r="B1392" s="22" t="s">
        <v>2774</v>
      </c>
      <c r="C1392" s="5" t="s">
        <v>4402</v>
      </c>
      <c r="D1392" s="42" t="s">
        <v>13</v>
      </c>
      <c r="E1392" s="5" t="s">
        <v>4403</v>
      </c>
      <c r="F1392" s="5" t="s">
        <v>4404</v>
      </c>
      <c r="G1392" s="5">
        <v>400</v>
      </c>
    </row>
    <row r="1393" spans="1:7">
      <c r="A1393" s="5" t="s">
        <v>1716</v>
      </c>
      <c r="B1393" s="22" t="s">
        <v>2774</v>
      </c>
      <c r="C1393" s="5" t="s">
        <v>1716</v>
      </c>
      <c r="D1393" s="42" t="s">
        <v>13</v>
      </c>
      <c r="E1393" s="5" t="s">
        <v>4405</v>
      </c>
      <c r="F1393" s="5" t="s">
        <v>4406</v>
      </c>
      <c r="G1393" s="5">
        <v>400</v>
      </c>
    </row>
    <row r="1394" spans="1:7" ht="14">
      <c r="A1394" s="5" t="s">
        <v>4414</v>
      </c>
      <c r="B1394" s="36" t="s">
        <v>3896</v>
      </c>
      <c r="C1394" s="5" t="s">
        <v>4414</v>
      </c>
      <c r="D1394" s="5" t="s">
        <v>13</v>
      </c>
      <c r="E1394" s="5" t="s">
        <v>4415</v>
      </c>
      <c r="F1394" s="5" t="s">
        <v>4416</v>
      </c>
      <c r="G1394" s="5">
        <v>600</v>
      </c>
    </row>
    <row r="1395" spans="1:7" ht="14">
      <c r="A1395" s="5" t="s">
        <v>262</v>
      </c>
      <c r="B1395" s="36" t="s">
        <v>3896</v>
      </c>
      <c r="C1395" s="5" t="s">
        <v>262</v>
      </c>
      <c r="D1395" s="5" t="s">
        <v>13</v>
      </c>
      <c r="E1395" s="5" t="s">
        <v>1742</v>
      </c>
      <c r="F1395" s="5" t="s">
        <v>4413</v>
      </c>
      <c r="G1395" s="5">
        <v>500</v>
      </c>
    </row>
    <row r="1396" spans="1:7" ht="14">
      <c r="A1396" s="5" t="s">
        <v>4028</v>
      </c>
      <c r="B1396" s="26" t="s">
        <v>154</v>
      </c>
      <c r="C1396" s="5" t="s">
        <v>4028</v>
      </c>
      <c r="D1396" s="5" t="s">
        <v>13</v>
      </c>
      <c r="E1396" s="5" t="s">
        <v>3911</v>
      </c>
      <c r="F1396" s="5" t="s">
        <v>4429</v>
      </c>
      <c r="G1396" s="5">
        <v>600</v>
      </c>
    </row>
    <row r="1397" spans="1:7" ht="18">
      <c r="A1397" s="5" t="s">
        <v>4426</v>
      </c>
      <c r="B1397" s="26" t="s">
        <v>154</v>
      </c>
      <c r="C1397" s="5" t="s">
        <v>4426</v>
      </c>
      <c r="D1397" s="5" t="s">
        <v>13</v>
      </c>
      <c r="E1397" s="5" t="s">
        <v>4427</v>
      </c>
      <c r="F1397" s="47" t="s">
        <v>4428</v>
      </c>
      <c r="G1397" s="5">
        <v>500</v>
      </c>
    </row>
    <row r="1398" spans="1:7">
      <c r="A1398" s="5" t="s">
        <v>4420</v>
      </c>
      <c r="B1398" s="22" t="s">
        <v>80</v>
      </c>
      <c r="C1398" s="5" t="s">
        <v>4420</v>
      </c>
      <c r="D1398" s="5" t="s">
        <v>13</v>
      </c>
      <c r="E1398" s="5" t="s">
        <v>4430</v>
      </c>
      <c r="F1398" s="5" t="s">
        <v>4431</v>
      </c>
      <c r="G1398" s="5">
        <v>500</v>
      </c>
    </row>
    <row r="1399" spans="1:7" ht="14">
      <c r="A1399" s="5" t="s">
        <v>4436</v>
      </c>
      <c r="B1399" s="35" t="s">
        <v>82</v>
      </c>
      <c r="C1399" s="5" t="s">
        <v>4436</v>
      </c>
      <c r="D1399" s="5" t="s">
        <v>13</v>
      </c>
      <c r="E1399" s="5" t="s">
        <v>3918</v>
      </c>
      <c r="F1399" s="5" t="s">
        <v>4435</v>
      </c>
      <c r="G1399" s="5">
        <v>500</v>
      </c>
    </row>
    <row r="1400" spans="1:7" ht="14">
      <c r="A1400" s="5" t="s">
        <v>4047</v>
      </c>
      <c r="B1400" s="35" t="s">
        <v>83</v>
      </c>
      <c r="C1400" s="5" t="s">
        <v>4047</v>
      </c>
      <c r="D1400" s="5" t="s">
        <v>13</v>
      </c>
      <c r="E1400" s="5" t="s">
        <v>4174</v>
      </c>
      <c r="F1400" s="5" t="s">
        <v>4433</v>
      </c>
      <c r="G1400" s="5">
        <v>500</v>
      </c>
    </row>
    <row r="1401" spans="1:7" ht="14">
      <c r="A1401" s="5" t="s">
        <v>4047</v>
      </c>
      <c r="B1401" s="35" t="s">
        <v>85</v>
      </c>
      <c r="C1401" s="5" t="s">
        <v>4047</v>
      </c>
      <c r="D1401" s="5" t="s">
        <v>13</v>
      </c>
      <c r="E1401" s="5" t="s">
        <v>4174</v>
      </c>
      <c r="F1401" s="5" t="s">
        <v>4434</v>
      </c>
      <c r="G1401" s="5">
        <v>500</v>
      </c>
    </row>
    <row r="1402" spans="1:7">
      <c r="A1402" s="5">
        <v>200</v>
      </c>
      <c r="B1402" t="s">
        <v>121</v>
      </c>
      <c r="C1402" s="5">
        <v>200</v>
      </c>
      <c r="D1402" s="5" t="s">
        <v>13</v>
      </c>
      <c r="E1402" s="5" t="s">
        <v>4439</v>
      </c>
      <c r="F1402" s="5" t="s">
        <v>3973</v>
      </c>
      <c r="G1402" s="5">
        <v>600</v>
      </c>
    </row>
    <row r="1403" spans="1:7">
      <c r="A1403" s="5">
        <v>200</v>
      </c>
      <c r="B1403" t="s">
        <v>124</v>
      </c>
      <c r="C1403" s="5">
        <v>200</v>
      </c>
      <c r="D1403" s="5" t="s">
        <v>13</v>
      </c>
      <c r="E1403" s="5" t="s">
        <v>4439</v>
      </c>
      <c r="F1403" s="5" t="s">
        <v>3973</v>
      </c>
      <c r="G1403" s="5">
        <v>600</v>
      </c>
    </row>
    <row r="1404" spans="1:7">
      <c r="A1404" s="5">
        <v>400</v>
      </c>
      <c r="B1404" t="s">
        <v>121</v>
      </c>
      <c r="C1404" s="5">
        <v>400</v>
      </c>
      <c r="D1404" s="5" t="s">
        <v>13</v>
      </c>
      <c r="E1404" s="5" t="s">
        <v>4440</v>
      </c>
      <c r="F1404" s="5" t="s">
        <v>3975</v>
      </c>
      <c r="G1404" s="5">
        <v>500</v>
      </c>
    </row>
    <row r="1405" spans="1:7">
      <c r="A1405" s="5">
        <v>400</v>
      </c>
      <c r="B1405" t="s">
        <v>124</v>
      </c>
      <c r="C1405" s="5">
        <v>400</v>
      </c>
      <c r="D1405" s="5" t="s">
        <v>13</v>
      </c>
      <c r="E1405" s="5" t="s">
        <v>4440</v>
      </c>
      <c r="F1405" s="5" t="s">
        <v>3975</v>
      </c>
      <c r="G1405" s="5">
        <v>500</v>
      </c>
    </row>
    <row r="1406" spans="1:7" ht="14">
      <c r="A1406" s="5" t="s">
        <v>4441</v>
      </c>
      <c r="B1406" s="36" t="s">
        <v>43</v>
      </c>
      <c r="C1406" s="5" t="s">
        <v>4441</v>
      </c>
      <c r="D1406" s="5" t="s">
        <v>13</v>
      </c>
      <c r="E1406" s="5" t="s">
        <v>4442</v>
      </c>
      <c r="F1406" s="5" t="s">
        <v>4443</v>
      </c>
      <c r="G1406" s="5">
        <v>550</v>
      </c>
    </row>
    <row r="1407" spans="1:7" ht="14">
      <c r="A1407" s="5" t="s">
        <v>4420</v>
      </c>
      <c r="B1407" s="36" t="s">
        <v>43</v>
      </c>
      <c r="C1407" s="5" t="s">
        <v>4420</v>
      </c>
      <c r="D1407" s="5" t="s">
        <v>13</v>
      </c>
      <c r="E1407" s="5" t="s">
        <v>3948</v>
      </c>
      <c r="F1407" s="5" t="s">
        <v>4444</v>
      </c>
      <c r="G1407" s="5">
        <v>500</v>
      </c>
    </row>
    <row r="1408" spans="1:7">
      <c r="A1408" s="5" t="s">
        <v>4478</v>
      </c>
      <c r="B1408" t="s">
        <v>4465</v>
      </c>
      <c r="C1408" s="5" t="s">
        <v>4478</v>
      </c>
      <c r="D1408" s="5" t="s">
        <v>13</v>
      </c>
      <c r="E1408" s="5" t="s">
        <v>4462</v>
      </c>
      <c r="F1408" s="5" t="s">
        <v>4463</v>
      </c>
      <c r="G1408" s="5">
        <v>600</v>
      </c>
    </row>
    <row r="1409" spans="1:7">
      <c r="A1409" s="5" t="s">
        <v>4464</v>
      </c>
      <c r="B1409" t="s">
        <v>4465</v>
      </c>
      <c r="C1409" s="5" t="s">
        <v>4464</v>
      </c>
      <c r="D1409" s="5" t="s">
        <v>13</v>
      </c>
      <c r="E1409" s="5" t="s">
        <v>4460</v>
      </c>
      <c r="F1409" s="5" t="s">
        <v>4476</v>
      </c>
      <c r="G1409" s="5">
        <v>550</v>
      </c>
    </row>
    <row r="1410" spans="1:7">
      <c r="A1410" s="5" t="s">
        <v>4466</v>
      </c>
      <c r="B1410" t="s">
        <v>4461</v>
      </c>
      <c r="C1410" s="5" t="s">
        <v>4466</v>
      </c>
      <c r="D1410" s="5" t="s">
        <v>13</v>
      </c>
      <c r="E1410" s="5" t="s">
        <v>4467</v>
      </c>
      <c r="F1410" s="5" t="s">
        <v>4468</v>
      </c>
      <c r="G1410" s="5">
        <v>500</v>
      </c>
    </row>
    <row r="1411" spans="1:7">
      <c r="A1411" s="5" t="s">
        <v>4469</v>
      </c>
      <c r="B1411" t="s">
        <v>4461</v>
      </c>
      <c r="C1411" s="5" t="s">
        <v>4469</v>
      </c>
      <c r="D1411" s="5" t="s">
        <v>13</v>
      </c>
      <c r="E1411" s="5" t="s">
        <v>4470</v>
      </c>
      <c r="F1411" s="5" t="s">
        <v>4471</v>
      </c>
      <c r="G1411" s="5">
        <v>500</v>
      </c>
    </row>
    <row r="1412" spans="1:7">
      <c r="A1412" s="5" t="s">
        <v>4472</v>
      </c>
      <c r="B1412" t="s">
        <v>4461</v>
      </c>
      <c r="C1412" s="5" t="s">
        <v>4472</v>
      </c>
      <c r="D1412" s="5" t="s">
        <v>13</v>
      </c>
      <c r="E1412" s="5" t="s">
        <v>4472</v>
      </c>
      <c r="F1412" s="5" t="s">
        <v>4473</v>
      </c>
      <c r="G1412" s="5">
        <v>300</v>
      </c>
    </row>
    <row r="1413" spans="1:7">
      <c r="A1413" s="5" t="s">
        <v>4474</v>
      </c>
      <c r="B1413" t="s">
        <v>4461</v>
      </c>
      <c r="C1413" s="5" t="s">
        <v>4474</v>
      </c>
      <c r="D1413" s="5" t="s">
        <v>13</v>
      </c>
      <c r="E1413" s="5" t="s">
        <v>4474</v>
      </c>
      <c r="F1413" s="5" t="s">
        <v>4475</v>
      </c>
      <c r="G1413" s="5">
        <v>250</v>
      </c>
    </row>
  </sheetData>
  <phoneticPr fontId="23" type="noConversion"/>
  <conditionalFormatting sqref="F9:F187 F189:F202 F204:F326 E241 F328:F336">
    <cfRule type="cellIs" dxfId="3" priority="2" operator="equal">
      <formula>INDIRECT(ADDRESS(ROW()-1,COLUMN()))</formula>
    </cfRule>
  </conditionalFormatting>
  <conditionalFormatting sqref="F368">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sheetData>
    <row r="1" spans="1:1">
      <c r="A1" s="19" t="s">
        <v>3990</v>
      </c>
    </row>
    <row r="2" spans="1:1">
      <c r="A2" s="5" t="s">
        <v>3991</v>
      </c>
    </row>
    <row r="3" spans="1:1">
      <c r="A3" s="5" t="s">
        <v>3992</v>
      </c>
    </row>
    <row r="4" spans="1:1">
      <c r="A4" s="5" t="s">
        <v>3993</v>
      </c>
    </row>
    <row r="5" spans="1:1">
      <c r="A5" s="5" t="s">
        <v>3994</v>
      </c>
    </row>
    <row r="6" spans="1:1">
      <c r="A6" s="5" t="s">
        <v>3995</v>
      </c>
    </row>
    <row r="7" spans="1:1">
      <c r="A7" s="5" t="s">
        <v>3897</v>
      </c>
    </row>
    <row r="8" spans="1:1">
      <c r="A8" s="5" t="s">
        <v>3895</v>
      </c>
    </row>
    <row r="9" spans="1:1">
      <c r="A9" s="5" t="s">
        <v>3900</v>
      </c>
    </row>
    <row r="10" spans="1:1">
      <c r="A10" s="5" t="s">
        <v>3996</v>
      </c>
    </row>
    <row r="11" spans="1:1">
      <c r="A11" s="5" t="s">
        <v>3997</v>
      </c>
    </row>
    <row r="12" spans="1:1">
      <c r="A12" s="5" t="s">
        <v>1116</v>
      </c>
    </row>
    <row r="13" spans="1:1">
      <c r="A13" s="5" t="s">
        <v>3998</v>
      </c>
    </row>
    <row r="14" spans="1:1">
      <c r="A14" s="5" t="s">
        <v>3999</v>
      </c>
    </row>
    <row r="15" spans="1:1">
      <c r="A15" s="5" t="s">
        <v>4000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sheetData>
    <row r="2" spans="1:1022">
      <c r="A2" s="5" t="s">
        <v>2066</v>
      </c>
      <c r="B2" s="5" t="s">
        <v>139</v>
      </c>
      <c r="C2" s="5" t="str">
        <f>B2&amp;":"&amp;A2</f>
        <v>att_organism:UP000000589</v>
      </c>
      <c r="D2" s="5" t="s">
        <v>2067</v>
      </c>
      <c r="E2" s="5" t="s">
        <v>2068</v>
      </c>
      <c r="F2" s="5" t="s">
        <v>2069</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c r="A3" s="5" t="s">
        <v>2070</v>
      </c>
      <c r="B3" s="5" t="s">
        <v>139</v>
      </c>
      <c r="C3" s="5" t="str">
        <f>B3&amp;":"&amp;A3</f>
        <v>att_organism:UP000001940</v>
      </c>
      <c r="D3" s="5" t="s">
        <v>2071</v>
      </c>
      <c r="E3" s="5" t="s">
        <v>2072</v>
      </c>
      <c r="F3" s="5" t="s">
        <v>2073</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c r="A4" s="5" t="s">
        <v>2074</v>
      </c>
      <c r="B4" s="5" t="s">
        <v>139</v>
      </c>
      <c r="C4" s="5" t="str">
        <f>B4&amp;":"&amp;A4</f>
        <v>att_organism:UP000002311</v>
      </c>
      <c r="D4" s="5" t="s">
        <v>2075</v>
      </c>
      <c r="E4" s="5" t="s">
        <v>2076</v>
      </c>
      <c r="F4" s="5" t="s">
        <v>2077</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c r="A5" s="5" t="s">
        <v>2078</v>
      </c>
      <c r="B5" s="5" t="s">
        <v>139</v>
      </c>
      <c r="C5" s="5" t="str">
        <f>B5&amp;":"&amp;A5</f>
        <v>att_organism:UP000002494</v>
      </c>
      <c r="D5" s="5" t="s">
        <v>2079</v>
      </c>
      <c r="E5" s="5" t="s">
        <v>2080</v>
      </c>
      <c r="F5" s="5" t="s">
        <v>2081</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c r="A6" s="5" t="s">
        <v>2082</v>
      </c>
      <c r="B6" s="5" t="s">
        <v>139</v>
      </c>
      <c r="C6" s="5" t="str">
        <f>B6&amp;":"&amp;A6</f>
        <v>att_organism:UP000005640</v>
      </c>
      <c r="D6" s="5" t="s">
        <v>2083</v>
      </c>
      <c r="E6" s="5" t="s">
        <v>2084</v>
      </c>
      <c r="F6" s="5" t="s">
        <v>2085</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sheetData>
    <row r="1" spans="1:1022">
      <c r="A1" s="5" t="s">
        <v>2743</v>
      </c>
      <c r="B1" s="5" t="s">
        <v>172</v>
      </c>
      <c r="C1" s="5" t="str">
        <f t="shared" ref="C1:C8" si="0">B1&amp;":"&amp;A1</f>
        <v>att_user_research_group:niessen</v>
      </c>
      <c r="D1" s="5" t="s">
        <v>13</v>
      </c>
      <c r="E1" s="5" t="s">
        <v>2744</v>
      </c>
      <c r="F1" s="5" t="s">
        <v>2364</v>
      </c>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5"/>
      <c r="DL1" s="5"/>
      <c r="DM1" s="5"/>
      <c r="DN1" s="5"/>
      <c r="DO1" s="5"/>
      <c r="DP1" s="5"/>
      <c r="DQ1" s="5"/>
      <c r="DR1" s="5"/>
      <c r="DS1" s="5"/>
      <c r="DT1" s="5"/>
      <c r="DU1" s="5"/>
      <c r="DV1" s="5"/>
      <c r="DW1" s="5"/>
      <c r="DX1" s="5"/>
      <c r="DY1" s="5"/>
      <c r="DZ1" s="5"/>
      <c r="EA1" s="5"/>
      <c r="EB1" s="5"/>
      <c r="EC1" s="5"/>
      <c r="ED1" s="5"/>
      <c r="EE1" s="5"/>
      <c r="EF1" s="5"/>
      <c r="EG1" s="5"/>
      <c r="EH1" s="5"/>
      <c r="EI1" s="5"/>
      <c r="EJ1" s="5"/>
      <c r="EK1" s="5"/>
      <c r="EL1" s="5"/>
      <c r="EM1" s="5"/>
      <c r="EN1" s="5"/>
      <c r="EO1" s="5"/>
      <c r="EP1" s="5"/>
      <c r="EQ1" s="5"/>
      <c r="ER1" s="5"/>
      <c r="ES1" s="5"/>
      <c r="ET1" s="5"/>
      <c r="EU1" s="5"/>
      <c r="EV1" s="5"/>
      <c r="EW1" s="5"/>
      <c r="EX1" s="5"/>
      <c r="EY1" s="5"/>
      <c r="EZ1" s="5"/>
      <c r="FA1" s="5"/>
      <c r="FB1" s="5"/>
      <c r="FC1" s="5"/>
      <c r="FD1" s="5"/>
      <c r="FE1" s="5"/>
      <c r="FF1" s="5"/>
      <c r="FG1" s="5"/>
      <c r="FH1" s="5"/>
      <c r="FI1" s="5"/>
      <c r="FJ1" s="5"/>
      <c r="FK1" s="5"/>
      <c r="FL1" s="5"/>
      <c r="FM1" s="5"/>
      <c r="FN1" s="5"/>
      <c r="FO1" s="5"/>
      <c r="FP1" s="5"/>
      <c r="FQ1" s="5"/>
      <c r="FR1" s="5"/>
      <c r="FS1" s="5"/>
      <c r="FT1" s="5"/>
      <c r="FU1" s="5"/>
      <c r="FV1" s="5"/>
      <c r="FW1" s="5"/>
      <c r="FX1" s="5"/>
      <c r="FY1" s="5"/>
      <c r="FZ1" s="5"/>
      <c r="GA1" s="5"/>
      <c r="GB1" s="5"/>
      <c r="GC1" s="5"/>
      <c r="GD1" s="5"/>
      <c r="GE1" s="5"/>
      <c r="GF1" s="5"/>
      <c r="GG1" s="5"/>
      <c r="GH1" s="5"/>
      <c r="GI1" s="5"/>
      <c r="GJ1" s="5"/>
      <c r="GK1" s="5"/>
      <c r="GL1" s="5"/>
      <c r="GM1" s="5"/>
      <c r="GN1" s="5"/>
      <c r="GO1" s="5"/>
      <c r="GP1" s="5"/>
      <c r="GQ1" s="5"/>
      <c r="GR1" s="5"/>
      <c r="GS1" s="5"/>
      <c r="GT1" s="5"/>
      <c r="GU1" s="5"/>
      <c r="GV1" s="5"/>
      <c r="GW1" s="5"/>
      <c r="GX1" s="5"/>
      <c r="GY1" s="5"/>
      <c r="GZ1" s="5"/>
      <c r="HA1" s="5"/>
      <c r="HB1" s="5"/>
      <c r="HC1" s="5"/>
      <c r="HD1" s="5"/>
      <c r="HE1" s="5"/>
      <c r="HF1" s="5"/>
      <c r="HG1" s="5"/>
      <c r="HH1" s="5"/>
      <c r="HI1" s="5"/>
      <c r="HJ1" s="5"/>
      <c r="HK1" s="5"/>
      <c r="HL1" s="5"/>
      <c r="HM1" s="5"/>
      <c r="HN1" s="5"/>
      <c r="HO1" s="5"/>
      <c r="HP1" s="5"/>
      <c r="HQ1" s="5"/>
      <c r="HR1" s="5"/>
      <c r="HS1" s="5"/>
      <c r="HT1" s="5"/>
      <c r="HU1" s="5"/>
      <c r="HV1" s="5"/>
      <c r="HW1" s="5"/>
      <c r="HX1" s="5"/>
      <c r="HY1" s="5"/>
      <c r="HZ1" s="5"/>
      <c r="IA1" s="5"/>
      <c r="IB1" s="5"/>
      <c r="IC1" s="5"/>
      <c r="ID1" s="5"/>
      <c r="IE1" s="5"/>
      <c r="IF1" s="5"/>
      <c r="IG1" s="5"/>
      <c r="IH1" s="5"/>
      <c r="II1" s="5"/>
      <c r="IJ1" s="5"/>
      <c r="IK1" s="5"/>
      <c r="IL1" s="5"/>
      <c r="IM1" s="5"/>
      <c r="IN1" s="5"/>
      <c r="IO1" s="5"/>
      <c r="IP1" s="5"/>
      <c r="IQ1" s="5"/>
      <c r="IR1" s="5"/>
      <c r="IS1" s="5"/>
      <c r="IT1" s="5"/>
      <c r="IU1" s="5"/>
      <c r="IV1" s="5"/>
      <c r="IW1" s="5"/>
      <c r="IX1" s="5"/>
      <c r="IY1" s="5"/>
      <c r="IZ1" s="5"/>
      <c r="JA1" s="5"/>
      <c r="JB1" s="5"/>
      <c r="JC1" s="5"/>
      <c r="JD1" s="5"/>
      <c r="JE1" s="5"/>
      <c r="JF1" s="5"/>
      <c r="JG1" s="5"/>
      <c r="JH1" s="5"/>
      <c r="JI1" s="5"/>
      <c r="JJ1" s="5"/>
      <c r="JK1" s="5"/>
      <c r="JL1" s="5"/>
      <c r="JM1" s="5"/>
      <c r="JN1" s="5"/>
      <c r="JO1" s="5"/>
      <c r="JP1" s="5"/>
      <c r="JQ1" s="5"/>
      <c r="JR1" s="5"/>
      <c r="JS1" s="5"/>
      <c r="JT1" s="5"/>
      <c r="JU1" s="5"/>
      <c r="JV1" s="5"/>
      <c r="JW1" s="5"/>
      <c r="JX1" s="5"/>
      <c r="JY1" s="5"/>
      <c r="JZ1" s="5"/>
      <c r="KA1" s="5"/>
      <c r="KB1" s="5"/>
      <c r="KC1" s="5"/>
      <c r="KD1" s="5"/>
      <c r="KE1" s="5"/>
      <c r="KF1" s="5"/>
      <c r="KG1" s="5"/>
      <c r="KH1" s="5"/>
      <c r="KI1" s="5"/>
      <c r="KJ1" s="5"/>
      <c r="KK1" s="5"/>
      <c r="KL1" s="5"/>
      <c r="KM1" s="5"/>
      <c r="KN1" s="5"/>
      <c r="KO1" s="5"/>
      <c r="KP1" s="5"/>
      <c r="KQ1" s="5"/>
      <c r="KR1" s="5"/>
      <c r="KS1" s="5"/>
      <c r="KT1" s="5"/>
      <c r="KU1" s="5"/>
      <c r="KV1" s="5"/>
      <c r="KW1" s="5"/>
      <c r="KX1" s="5"/>
      <c r="KY1" s="5"/>
      <c r="KZ1" s="5"/>
      <c r="LA1" s="5"/>
      <c r="LB1" s="5"/>
      <c r="LC1" s="5"/>
      <c r="LD1" s="5"/>
      <c r="LE1" s="5"/>
      <c r="LF1" s="5"/>
      <c r="LG1" s="5"/>
      <c r="LH1" s="5"/>
      <c r="LI1" s="5"/>
      <c r="LJ1" s="5"/>
      <c r="LK1" s="5"/>
      <c r="LL1" s="5"/>
      <c r="LM1" s="5"/>
      <c r="LN1" s="5"/>
      <c r="LO1" s="5"/>
      <c r="LP1" s="5"/>
      <c r="LQ1" s="5"/>
      <c r="LR1" s="5"/>
      <c r="LS1" s="5"/>
      <c r="LT1" s="5"/>
      <c r="LU1" s="5"/>
      <c r="LV1" s="5"/>
      <c r="LW1" s="5"/>
      <c r="LX1" s="5"/>
      <c r="LY1" s="5"/>
      <c r="LZ1" s="5"/>
      <c r="MA1" s="5"/>
      <c r="MB1" s="5"/>
      <c r="MC1" s="5"/>
      <c r="MD1" s="5"/>
      <c r="ME1" s="5"/>
      <c r="MF1" s="5"/>
      <c r="MG1" s="5"/>
      <c r="MH1" s="5"/>
      <c r="MI1" s="5"/>
      <c r="MJ1" s="5"/>
      <c r="MK1" s="5"/>
      <c r="ML1" s="5"/>
      <c r="MM1" s="5"/>
      <c r="MN1" s="5"/>
      <c r="MO1" s="5"/>
      <c r="MP1" s="5"/>
      <c r="MQ1" s="5"/>
      <c r="MR1" s="5"/>
      <c r="MS1" s="5"/>
      <c r="MT1" s="5"/>
      <c r="MU1" s="5"/>
      <c r="MV1" s="5"/>
      <c r="MW1" s="5"/>
      <c r="MX1" s="5"/>
      <c r="MY1" s="5"/>
      <c r="MZ1" s="5"/>
      <c r="NA1" s="5"/>
      <c r="NB1" s="5"/>
      <c r="NC1" s="5"/>
      <c r="ND1" s="5"/>
      <c r="NE1" s="5"/>
      <c r="NF1" s="5"/>
      <c r="NG1" s="5"/>
      <c r="NH1" s="5"/>
      <c r="NI1" s="5"/>
      <c r="NJ1" s="5"/>
      <c r="NK1" s="5"/>
      <c r="NL1" s="5"/>
      <c r="NM1" s="5"/>
      <c r="NN1" s="5"/>
      <c r="NO1" s="5"/>
      <c r="NP1" s="5"/>
      <c r="NQ1" s="5"/>
      <c r="NR1" s="5"/>
      <c r="NS1" s="5"/>
      <c r="NT1" s="5"/>
      <c r="NU1" s="5"/>
      <c r="NV1" s="5"/>
      <c r="NW1" s="5"/>
      <c r="NX1" s="5"/>
      <c r="NY1" s="5"/>
      <c r="NZ1" s="5"/>
      <c r="OA1" s="5"/>
      <c r="OB1" s="5"/>
      <c r="OC1" s="5"/>
      <c r="OD1" s="5"/>
      <c r="OE1" s="5"/>
      <c r="OF1" s="5"/>
      <c r="OG1" s="5"/>
      <c r="OH1" s="5"/>
      <c r="OI1" s="5"/>
      <c r="OJ1" s="5"/>
      <c r="OK1" s="5"/>
      <c r="OL1" s="5"/>
      <c r="OM1" s="5"/>
      <c r="ON1" s="5"/>
      <c r="OO1" s="5"/>
      <c r="OP1" s="5"/>
      <c r="OQ1" s="5"/>
      <c r="OR1" s="5"/>
      <c r="OS1" s="5"/>
      <c r="OT1" s="5"/>
      <c r="OU1" s="5"/>
      <c r="OV1" s="5"/>
      <c r="OW1" s="5"/>
      <c r="OX1" s="5"/>
      <c r="OY1" s="5"/>
      <c r="OZ1" s="5"/>
      <c r="PA1" s="5"/>
      <c r="PB1" s="5"/>
      <c r="PC1" s="5"/>
      <c r="PD1" s="5"/>
      <c r="PE1" s="5"/>
      <c r="PF1" s="5"/>
      <c r="PG1" s="5"/>
      <c r="PH1" s="5"/>
      <c r="PI1" s="5"/>
      <c r="PJ1" s="5"/>
      <c r="PK1" s="5"/>
      <c r="PL1" s="5"/>
      <c r="PM1" s="5"/>
      <c r="PN1" s="5"/>
      <c r="PO1" s="5"/>
      <c r="PP1" s="5"/>
      <c r="PQ1" s="5"/>
      <c r="PR1" s="5"/>
      <c r="PS1" s="5"/>
      <c r="PT1" s="5"/>
      <c r="PU1" s="5"/>
      <c r="PV1" s="5"/>
      <c r="PW1" s="5"/>
      <c r="PX1" s="5"/>
      <c r="PY1" s="5"/>
      <c r="PZ1" s="5"/>
      <c r="QA1" s="5"/>
      <c r="QB1" s="5"/>
      <c r="QC1" s="5"/>
      <c r="QD1" s="5"/>
      <c r="QE1" s="5"/>
      <c r="QF1" s="5"/>
      <c r="QG1" s="5"/>
      <c r="QH1" s="5"/>
      <c r="QI1" s="5"/>
      <c r="QJ1" s="5"/>
      <c r="QK1" s="5"/>
      <c r="QL1" s="5"/>
      <c r="QM1" s="5"/>
      <c r="QN1" s="5"/>
      <c r="QO1" s="5"/>
      <c r="QP1" s="5"/>
      <c r="QQ1" s="5"/>
      <c r="QR1" s="5"/>
      <c r="QS1" s="5"/>
      <c r="QT1" s="5"/>
      <c r="QU1" s="5"/>
      <c r="QV1" s="5"/>
      <c r="QW1" s="5"/>
      <c r="QX1" s="5"/>
      <c r="QY1" s="5"/>
      <c r="QZ1" s="5"/>
      <c r="RA1" s="5"/>
      <c r="RB1" s="5"/>
      <c r="RC1" s="5"/>
      <c r="RD1" s="5"/>
      <c r="RE1" s="5"/>
      <c r="RF1" s="5"/>
      <c r="RG1" s="5"/>
      <c r="RH1" s="5"/>
      <c r="RI1" s="5"/>
      <c r="RJ1" s="5"/>
      <c r="RK1" s="5"/>
      <c r="RL1" s="5"/>
      <c r="RM1" s="5"/>
      <c r="RN1" s="5"/>
      <c r="RO1" s="5"/>
      <c r="RP1" s="5"/>
      <c r="RQ1" s="5"/>
      <c r="RR1" s="5"/>
      <c r="RS1" s="5"/>
      <c r="RT1" s="5"/>
      <c r="RU1" s="5"/>
      <c r="RV1" s="5"/>
      <c r="RW1" s="5"/>
      <c r="RX1" s="5"/>
      <c r="RY1" s="5"/>
      <c r="RZ1" s="5"/>
      <c r="SA1" s="5"/>
      <c r="SB1" s="5"/>
      <c r="SC1" s="5"/>
      <c r="SD1" s="5"/>
      <c r="SE1" s="5"/>
      <c r="SF1" s="5"/>
      <c r="SG1" s="5"/>
      <c r="SH1" s="5"/>
      <c r="SI1" s="5"/>
      <c r="SJ1" s="5"/>
      <c r="SK1" s="5"/>
      <c r="SL1" s="5"/>
      <c r="SM1" s="5"/>
      <c r="SN1" s="5"/>
      <c r="SO1" s="5"/>
      <c r="SP1" s="5"/>
      <c r="SQ1" s="5"/>
      <c r="SR1" s="5"/>
      <c r="SS1" s="5"/>
      <c r="ST1" s="5"/>
      <c r="SU1" s="5"/>
      <c r="SV1" s="5"/>
      <c r="SW1" s="5"/>
      <c r="SX1" s="5"/>
      <c r="SY1" s="5"/>
      <c r="SZ1" s="5"/>
      <c r="TA1" s="5"/>
      <c r="TB1" s="5"/>
      <c r="TC1" s="5"/>
      <c r="TD1" s="5"/>
      <c r="TE1" s="5"/>
      <c r="TF1" s="5"/>
      <c r="TG1" s="5"/>
      <c r="TH1" s="5"/>
      <c r="TI1" s="5"/>
      <c r="TJ1" s="5"/>
      <c r="TK1" s="5"/>
      <c r="TL1" s="5"/>
      <c r="TM1" s="5"/>
      <c r="TN1" s="5"/>
      <c r="TO1" s="5"/>
      <c r="TP1" s="5"/>
      <c r="TQ1" s="5"/>
      <c r="TR1" s="5"/>
      <c r="TS1" s="5"/>
      <c r="TT1" s="5"/>
      <c r="TU1" s="5"/>
      <c r="TV1" s="5"/>
      <c r="TW1" s="5"/>
      <c r="TX1" s="5"/>
      <c r="TY1" s="5"/>
      <c r="TZ1" s="5"/>
      <c r="UA1" s="5"/>
      <c r="UB1" s="5"/>
      <c r="UC1" s="5"/>
      <c r="UD1" s="5"/>
      <c r="UE1" s="5"/>
      <c r="UF1" s="5"/>
      <c r="UG1" s="5"/>
      <c r="UH1" s="5"/>
      <c r="UI1" s="5"/>
      <c r="UJ1" s="5"/>
      <c r="UK1" s="5"/>
      <c r="UL1" s="5"/>
      <c r="UM1" s="5"/>
      <c r="UN1" s="5"/>
      <c r="UO1" s="5"/>
      <c r="UP1" s="5"/>
      <c r="UQ1" s="5"/>
      <c r="UR1" s="5"/>
      <c r="US1" s="5"/>
      <c r="UT1" s="5"/>
      <c r="UU1" s="5"/>
      <c r="UV1" s="5"/>
      <c r="UW1" s="5"/>
      <c r="UX1" s="5"/>
      <c r="UY1" s="5"/>
      <c r="UZ1" s="5"/>
      <c r="VA1" s="5"/>
      <c r="VB1" s="5"/>
      <c r="VC1" s="5"/>
      <c r="VD1" s="5"/>
      <c r="VE1" s="5"/>
      <c r="VF1" s="5"/>
      <c r="VG1" s="5"/>
      <c r="VH1" s="5"/>
      <c r="VI1" s="5"/>
      <c r="VJ1" s="5"/>
      <c r="VK1" s="5"/>
      <c r="VL1" s="5"/>
      <c r="VM1" s="5"/>
      <c r="VN1" s="5"/>
      <c r="VO1" s="5"/>
      <c r="VP1" s="5"/>
      <c r="VQ1" s="5"/>
      <c r="VR1" s="5"/>
      <c r="VS1" s="5"/>
      <c r="VT1" s="5"/>
      <c r="VU1" s="5"/>
      <c r="VV1" s="5"/>
      <c r="VW1" s="5"/>
      <c r="VX1" s="5"/>
      <c r="VY1" s="5"/>
      <c r="VZ1" s="5"/>
      <c r="WA1" s="5"/>
      <c r="WB1" s="5"/>
      <c r="WC1" s="5"/>
      <c r="WD1" s="5"/>
      <c r="WE1" s="5"/>
      <c r="WF1" s="5"/>
      <c r="WG1" s="5"/>
      <c r="WH1" s="5"/>
      <c r="WI1" s="5"/>
      <c r="WJ1" s="5"/>
      <c r="WK1" s="5"/>
      <c r="WL1" s="5"/>
      <c r="WM1" s="5"/>
      <c r="WN1" s="5"/>
      <c r="WO1" s="5"/>
      <c r="WP1" s="5"/>
      <c r="WQ1" s="5"/>
      <c r="WR1" s="5"/>
      <c r="WS1" s="5"/>
      <c r="WT1" s="5"/>
      <c r="WU1" s="5"/>
      <c r="WV1" s="5"/>
      <c r="WW1" s="5"/>
      <c r="WX1" s="5"/>
      <c r="WY1" s="5"/>
      <c r="WZ1" s="5"/>
      <c r="XA1" s="5"/>
      <c r="XB1" s="5"/>
      <c r="XC1" s="5"/>
      <c r="XD1" s="5"/>
      <c r="XE1" s="5"/>
      <c r="XF1" s="5"/>
      <c r="XG1" s="5"/>
      <c r="XH1" s="5"/>
      <c r="XI1" s="5"/>
      <c r="XJ1" s="5"/>
      <c r="XK1" s="5"/>
      <c r="XL1" s="5"/>
      <c r="XM1" s="5"/>
      <c r="XN1" s="5"/>
      <c r="XO1" s="5"/>
      <c r="XP1" s="5"/>
      <c r="XQ1" s="5"/>
      <c r="XR1" s="5"/>
      <c r="XS1" s="5"/>
      <c r="XT1" s="5"/>
      <c r="XU1" s="5"/>
      <c r="XV1" s="5"/>
      <c r="XW1" s="5"/>
      <c r="XX1" s="5"/>
      <c r="XY1" s="5"/>
      <c r="XZ1" s="5"/>
      <c r="YA1" s="5"/>
      <c r="YB1" s="5"/>
      <c r="YC1" s="5"/>
      <c r="YD1" s="5"/>
      <c r="YE1" s="5"/>
      <c r="YF1" s="5"/>
      <c r="YG1" s="5"/>
      <c r="YH1" s="5"/>
      <c r="YI1" s="5"/>
      <c r="YJ1" s="5"/>
      <c r="YK1" s="5"/>
      <c r="YL1" s="5"/>
      <c r="YM1" s="5"/>
      <c r="YN1" s="5"/>
      <c r="YO1" s="5"/>
      <c r="YP1" s="5"/>
      <c r="YQ1" s="5"/>
      <c r="YR1" s="5"/>
      <c r="YS1" s="5"/>
      <c r="YT1" s="5"/>
      <c r="YU1" s="5"/>
      <c r="YV1" s="5"/>
      <c r="YW1" s="5"/>
      <c r="YX1" s="5"/>
      <c r="YY1" s="5"/>
      <c r="YZ1" s="5"/>
      <c r="ZA1" s="5"/>
      <c r="ZB1" s="5"/>
      <c r="ZC1" s="5"/>
      <c r="ZD1" s="5"/>
      <c r="ZE1" s="5"/>
      <c r="ZF1" s="5"/>
      <c r="ZG1" s="5"/>
      <c r="ZH1" s="5"/>
      <c r="ZI1" s="5"/>
      <c r="ZJ1" s="5"/>
      <c r="ZK1" s="5"/>
      <c r="ZL1" s="5"/>
      <c r="ZM1" s="5"/>
      <c r="ZN1" s="5"/>
      <c r="ZO1" s="5"/>
      <c r="ZP1" s="5"/>
      <c r="ZQ1" s="5"/>
      <c r="ZR1" s="5"/>
      <c r="ZS1" s="5"/>
      <c r="ZT1" s="5"/>
      <c r="ZU1" s="5"/>
      <c r="ZV1" s="5"/>
      <c r="ZW1" s="5"/>
      <c r="ZX1" s="5"/>
      <c r="ZY1" s="5"/>
      <c r="ZZ1" s="5"/>
      <c r="AAA1" s="5"/>
      <c r="AAB1" s="5"/>
      <c r="AAC1" s="5"/>
      <c r="AAD1" s="5"/>
      <c r="AAE1" s="5"/>
      <c r="AAF1" s="5"/>
      <c r="AAG1" s="5"/>
      <c r="AAH1" s="5"/>
      <c r="AAI1" s="5"/>
      <c r="AAJ1" s="5"/>
      <c r="AAK1" s="5"/>
      <c r="AAL1" s="5"/>
      <c r="AAM1" s="5"/>
      <c r="AAN1" s="5"/>
      <c r="AAO1" s="5"/>
      <c r="AAP1" s="5"/>
      <c r="AAQ1" s="5"/>
      <c r="AAR1" s="5"/>
      <c r="AAS1" s="5"/>
      <c r="AAT1" s="5"/>
      <c r="AAU1" s="5"/>
      <c r="AAV1" s="5"/>
      <c r="AAW1" s="5"/>
      <c r="AAX1" s="5"/>
      <c r="AAY1" s="5"/>
      <c r="AAZ1" s="5"/>
      <c r="ABA1" s="5"/>
      <c r="ABB1" s="5"/>
      <c r="ABC1" s="5"/>
      <c r="ABD1" s="5"/>
      <c r="ABE1" s="5"/>
      <c r="ABF1" s="5"/>
      <c r="ABG1" s="5"/>
      <c r="ABH1" s="5"/>
      <c r="ABI1" s="5"/>
      <c r="ABJ1" s="5"/>
      <c r="ABK1" s="5"/>
      <c r="ABL1" s="5"/>
      <c r="ABM1" s="5"/>
      <c r="ABN1" s="5"/>
      <c r="ABO1" s="5"/>
      <c r="ABP1" s="5"/>
      <c r="ABQ1" s="5"/>
      <c r="ABR1" s="5"/>
      <c r="ABS1" s="5"/>
      <c r="ABT1" s="5"/>
      <c r="ABU1" s="5"/>
      <c r="ABV1" s="5"/>
      <c r="ABW1" s="5"/>
      <c r="ABX1" s="5"/>
      <c r="ABY1" s="5"/>
      <c r="ABZ1" s="5"/>
      <c r="ACA1" s="5"/>
      <c r="ACB1" s="5"/>
      <c r="ACC1" s="5"/>
      <c r="ACD1" s="5"/>
      <c r="ACE1" s="5"/>
      <c r="ACF1" s="5"/>
      <c r="ACG1" s="5"/>
      <c r="ACH1" s="5"/>
      <c r="ACI1" s="5"/>
      <c r="ACJ1" s="5"/>
      <c r="ACK1" s="5"/>
      <c r="ACL1" s="5"/>
      <c r="ACM1" s="5"/>
      <c r="ACN1" s="5"/>
      <c r="ACO1" s="5"/>
      <c r="ACP1" s="5"/>
      <c r="ACQ1" s="5"/>
      <c r="ACR1" s="5"/>
      <c r="ACS1" s="5"/>
      <c r="ACT1" s="5"/>
      <c r="ACU1" s="5"/>
      <c r="ACV1" s="5"/>
      <c r="ACW1" s="5"/>
      <c r="ACX1" s="5"/>
      <c r="ACY1" s="5"/>
      <c r="ACZ1" s="5"/>
      <c r="ADA1" s="5"/>
      <c r="ADB1" s="5"/>
      <c r="ADC1" s="5"/>
      <c r="ADD1" s="5"/>
      <c r="ADE1" s="5"/>
      <c r="ADF1" s="5"/>
      <c r="ADG1" s="5"/>
      <c r="ADH1" s="5"/>
      <c r="ADI1" s="5"/>
      <c r="ADJ1" s="5"/>
      <c r="ADK1" s="5"/>
      <c r="ADL1" s="5"/>
      <c r="ADM1" s="5"/>
      <c r="ADN1" s="5"/>
      <c r="ADO1" s="5"/>
      <c r="ADP1" s="5"/>
      <c r="ADQ1" s="5"/>
      <c r="ADR1" s="5"/>
      <c r="ADS1" s="5"/>
      <c r="ADT1" s="5"/>
      <c r="ADU1" s="5"/>
      <c r="ADV1" s="5"/>
      <c r="ADW1" s="5"/>
      <c r="ADX1" s="5"/>
      <c r="ADY1" s="5"/>
      <c r="ADZ1" s="5"/>
      <c r="AEA1" s="5"/>
      <c r="AEB1" s="5"/>
      <c r="AEC1" s="5"/>
      <c r="AED1" s="5"/>
      <c r="AEE1" s="5"/>
      <c r="AEF1" s="5"/>
      <c r="AEG1" s="5"/>
      <c r="AEH1" s="5"/>
      <c r="AEI1" s="5"/>
      <c r="AEJ1" s="5"/>
      <c r="AEK1" s="5"/>
      <c r="AEL1" s="5"/>
      <c r="AEM1" s="5"/>
      <c r="AEN1" s="5"/>
      <c r="AEO1" s="5"/>
      <c r="AEP1" s="5"/>
      <c r="AEQ1" s="5"/>
      <c r="AER1" s="5"/>
      <c r="AES1" s="5"/>
      <c r="AET1" s="5"/>
      <c r="AEU1" s="5"/>
      <c r="AEV1" s="5"/>
      <c r="AEW1" s="5"/>
      <c r="AEX1" s="5"/>
      <c r="AEY1" s="5"/>
      <c r="AEZ1" s="5"/>
      <c r="AFA1" s="5"/>
      <c r="AFB1" s="5"/>
      <c r="AFC1" s="5"/>
      <c r="AFD1" s="5"/>
      <c r="AFE1" s="5"/>
      <c r="AFF1" s="5"/>
      <c r="AFG1" s="5"/>
      <c r="AFH1" s="5"/>
      <c r="AFI1" s="5"/>
      <c r="AFJ1" s="5"/>
      <c r="AFK1" s="5"/>
      <c r="AFL1" s="5"/>
      <c r="AFM1" s="5"/>
      <c r="AFN1" s="5"/>
      <c r="AFO1" s="5"/>
      <c r="AFP1" s="5"/>
      <c r="AFQ1" s="5"/>
      <c r="AFR1" s="5"/>
      <c r="AFS1" s="5"/>
      <c r="AFT1" s="5"/>
      <c r="AFU1" s="5"/>
      <c r="AFV1" s="5"/>
      <c r="AFW1" s="5"/>
      <c r="AFX1" s="5"/>
      <c r="AFY1" s="5"/>
      <c r="AFZ1" s="5"/>
      <c r="AGA1" s="5"/>
      <c r="AGB1" s="5"/>
      <c r="AGC1" s="5"/>
      <c r="AGD1" s="5"/>
      <c r="AGE1" s="5"/>
      <c r="AGF1" s="5"/>
      <c r="AGG1" s="5"/>
      <c r="AGH1" s="5"/>
      <c r="AGI1" s="5"/>
      <c r="AGJ1" s="5"/>
      <c r="AGK1" s="5"/>
      <c r="AGL1" s="5"/>
      <c r="AGM1" s="5"/>
      <c r="AGN1" s="5"/>
      <c r="AGO1" s="5"/>
      <c r="AGP1" s="5"/>
      <c r="AGQ1" s="5"/>
      <c r="AGR1" s="5"/>
      <c r="AGS1" s="5"/>
      <c r="AGT1" s="5"/>
      <c r="AGU1" s="5"/>
      <c r="AGV1" s="5"/>
      <c r="AGW1" s="5"/>
      <c r="AGX1" s="5"/>
      <c r="AGY1" s="5"/>
      <c r="AGZ1" s="5"/>
      <c r="AHA1" s="5"/>
      <c r="AHB1" s="5"/>
      <c r="AHC1" s="5"/>
      <c r="AHD1" s="5"/>
      <c r="AHE1" s="5"/>
      <c r="AHF1" s="5"/>
      <c r="AHG1" s="5"/>
      <c r="AHH1" s="5"/>
      <c r="AHI1" s="5"/>
      <c r="AHJ1" s="5"/>
      <c r="AHK1" s="5"/>
      <c r="AHL1" s="5"/>
      <c r="AHM1" s="5"/>
      <c r="AHN1" s="5"/>
      <c r="AHO1" s="5"/>
      <c r="AHP1" s="5"/>
      <c r="AHQ1" s="5"/>
      <c r="AHR1" s="5"/>
      <c r="AHS1" s="5"/>
      <c r="AHT1" s="5"/>
      <c r="AHU1" s="5"/>
      <c r="AHV1" s="5"/>
      <c r="AHW1" s="5"/>
      <c r="AHX1" s="5"/>
      <c r="AHY1" s="5"/>
      <c r="AHZ1" s="5"/>
      <c r="AIA1" s="5"/>
      <c r="AIB1" s="5"/>
      <c r="AIC1" s="5"/>
      <c r="AID1" s="5"/>
      <c r="AIE1" s="5"/>
      <c r="AIF1" s="5"/>
      <c r="AIG1" s="5"/>
      <c r="AIH1" s="5"/>
      <c r="AII1" s="5"/>
      <c r="AIJ1" s="5"/>
      <c r="AIK1" s="5"/>
      <c r="AIL1" s="5"/>
      <c r="AIM1" s="5"/>
      <c r="AIN1" s="5"/>
      <c r="AIO1" s="5"/>
      <c r="AIP1" s="5"/>
      <c r="AIQ1" s="5"/>
      <c r="AIR1" s="5"/>
      <c r="AIS1" s="5"/>
      <c r="AIT1" s="5"/>
      <c r="AIU1" s="5"/>
      <c r="AIV1" s="5"/>
      <c r="AIW1" s="5"/>
      <c r="AIX1" s="5"/>
      <c r="AIY1" s="5"/>
      <c r="AIZ1" s="5"/>
      <c r="AJA1" s="5"/>
      <c r="AJB1" s="5"/>
      <c r="AJC1" s="5"/>
      <c r="AJD1" s="5"/>
      <c r="AJE1" s="5"/>
      <c r="AJF1" s="5"/>
      <c r="AJG1" s="5"/>
      <c r="AJH1" s="5"/>
      <c r="AJI1" s="5"/>
      <c r="AJJ1" s="5"/>
      <c r="AJK1" s="5"/>
      <c r="AJL1" s="5"/>
      <c r="AJM1" s="5"/>
      <c r="AJN1" s="5"/>
      <c r="AJO1" s="5"/>
      <c r="AJP1" s="5"/>
      <c r="AJQ1" s="5"/>
      <c r="AJR1" s="5"/>
      <c r="AJS1" s="5"/>
      <c r="AJT1" s="5"/>
      <c r="AJU1" s="5"/>
      <c r="AJV1" s="5"/>
      <c r="AJW1" s="5"/>
      <c r="AJX1" s="5"/>
      <c r="AJY1" s="5"/>
      <c r="AJZ1" s="5"/>
      <c r="AKA1" s="5"/>
      <c r="AKB1" s="5"/>
      <c r="AKC1" s="5"/>
      <c r="AKD1" s="5"/>
      <c r="AKE1" s="5"/>
      <c r="AKF1" s="5"/>
      <c r="AKG1" s="5"/>
      <c r="AKH1" s="5"/>
      <c r="AKI1" s="5"/>
      <c r="AKJ1" s="5"/>
      <c r="AKK1" s="5"/>
      <c r="AKL1" s="5"/>
      <c r="AKM1" s="5"/>
      <c r="AKN1" s="5"/>
      <c r="AKO1" s="5"/>
      <c r="AKP1" s="5"/>
      <c r="AKQ1" s="5"/>
      <c r="AKR1" s="5"/>
      <c r="AKS1" s="5"/>
      <c r="AKT1" s="5"/>
      <c r="AKU1" s="5"/>
      <c r="AKV1" s="5"/>
      <c r="AKW1" s="5"/>
      <c r="AKX1" s="5"/>
      <c r="AKY1" s="5"/>
      <c r="AKZ1" s="5"/>
      <c r="ALA1" s="5"/>
      <c r="ALB1" s="5"/>
      <c r="ALC1" s="5"/>
      <c r="ALD1" s="5"/>
      <c r="ALE1" s="5"/>
      <c r="ALF1" s="5"/>
      <c r="ALG1" s="5"/>
      <c r="ALH1" s="5"/>
      <c r="ALI1" s="5"/>
      <c r="ALJ1" s="5"/>
      <c r="ALK1" s="5"/>
      <c r="ALL1" s="5"/>
      <c r="ALM1" s="5"/>
      <c r="ALN1" s="5"/>
      <c r="ALO1" s="5"/>
      <c r="ALP1" s="5"/>
      <c r="ALQ1" s="5"/>
      <c r="ALR1" s="5"/>
      <c r="ALS1" s="5"/>
      <c r="ALT1" s="5"/>
      <c r="ALU1" s="5"/>
      <c r="ALV1" s="5"/>
      <c r="ALW1" s="5"/>
      <c r="ALX1" s="5"/>
      <c r="ALY1" s="5"/>
      <c r="ALZ1" s="5"/>
      <c r="AMA1" s="5"/>
      <c r="AMB1" s="5"/>
      <c r="AMC1" s="5"/>
      <c r="AMD1" s="5"/>
      <c r="AME1" s="5"/>
      <c r="AMF1" s="5"/>
      <c r="AMG1" s="5"/>
      <c r="AMH1" s="5"/>
    </row>
    <row r="2" spans="1:1022">
      <c r="A2" s="5" t="s">
        <v>2745</v>
      </c>
      <c r="B2" s="5" t="s">
        <v>172</v>
      </c>
      <c r="C2" s="5" t="str">
        <f t="shared" si="0"/>
        <v>att_user_research_group:gloeckner</v>
      </c>
      <c r="D2" s="5" t="s">
        <v>13</v>
      </c>
      <c r="E2" s="5" t="s">
        <v>2746</v>
      </c>
      <c r="F2" s="5" t="s">
        <v>2747</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c r="A3" s="5" t="s">
        <v>2748</v>
      </c>
      <c r="B3" s="5" t="s">
        <v>172</v>
      </c>
      <c r="C3" s="5" t="str">
        <f t="shared" si="0"/>
        <v>att_user_research_group:bazzi</v>
      </c>
      <c r="D3" s="5" t="s">
        <v>13</v>
      </c>
      <c r="E3" s="5" t="s">
        <v>2749</v>
      </c>
      <c r="F3" s="5" t="s">
        <v>2750</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c r="A4" s="5" t="s">
        <v>2751</v>
      </c>
      <c r="B4" s="5" t="s">
        <v>172</v>
      </c>
      <c r="C4" s="5" t="str">
        <f t="shared" si="0"/>
        <v>att_user_research_group:hallek</v>
      </c>
      <c r="D4" s="5" t="s">
        <v>13</v>
      </c>
      <c r="E4" s="5" t="s">
        <v>2752</v>
      </c>
      <c r="F4" s="5" t="s">
        <v>2753</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c r="A5" s="5" t="s">
        <v>2754</v>
      </c>
      <c r="B5" s="5" t="s">
        <v>172</v>
      </c>
      <c r="C5" s="5" t="str">
        <f t="shared" si="0"/>
        <v>att_user_research_group:benzing</v>
      </c>
      <c r="D5" s="5" t="s">
        <v>13</v>
      </c>
      <c r="E5" s="5" t="s">
        <v>2755</v>
      </c>
      <c r="F5" s="5" t="s">
        <v>2756</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c r="A6" s="5" t="s">
        <v>2757</v>
      </c>
      <c r="B6" s="5" t="s">
        <v>172</v>
      </c>
      <c r="C6" s="5" t="str">
        <f t="shared" si="0"/>
        <v>att_user_research_group:hennies</v>
      </c>
      <c r="D6" s="5" t="s">
        <v>13</v>
      </c>
      <c r="E6" s="5" t="s">
        <v>2758</v>
      </c>
      <c r="F6" s="5" t="s">
        <v>2759</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row r="7" spans="1:1022">
      <c r="A7" s="5" t="s">
        <v>2760</v>
      </c>
      <c r="B7" s="5" t="s">
        <v>172</v>
      </c>
      <c r="C7" s="5" t="str">
        <f t="shared" si="0"/>
        <v>att_user_research_group:vonkarstedt</v>
      </c>
      <c r="D7" s="5" t="s">
        <v>13</v>
      </c>
      <c r="E7" s="5" t="s">
        <v>2761</v>
      </c>
      <c r="F7" s="5" t="s">
        <v>2762</v>
      </c>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row>
    <row r="8" spans="1:1022">
      <c r="A8" s="5" t="s">
        <v>2763</v>
      </c>
      <c r="B8" s="5" t="s">
        <v>172</v>
      </c>
      <c r="C8" s="5" t="str">
        <f t="shared" si="0"/>
        <v>att_user_research_group:laessig</v>
      </c>
      <c r="D8" s="5" t="s">
        <v>13</v>
      </c>
      <c r="E8" s="5" t="s">
        <v>2764</v>
      </c>
      <c r="F8" s="5" t="s">
        <v>2765</v>
      </c>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cols>
    <col min="1" max="1" width="20.33203125" style="4" customWidth="1"/>
    <col min="2" max="2" width="12" style="4" customWidth="1"/>
    <col min="3" max="4" width="20.33203125" style="4" customWidth="1"/>
    <col min="5" max="5" width="5.1640625" style="4" customWidth="1"/>
    <col min="6" max="6" width="23.83203125" style="4" customWidth="1"/>
    <col min="7" max="7" width="15.6640625" style="4" customWidth="1"/>
    <col min="8" max="8" width="18.83203125" style="4" customWidth="1"/>
    <col min="9" max="9" width="21.5" style="4" customWidth="1"/>
    <col min="10" max="10" width="33" style="4" customWidth="1"/>
    <col min="11" max="11" width="8.5" style="4" customWidth="1"/>
    <col min="12" max="12" width="79" style="4" customWidth="1"/>
    <col min="13" max="13" width="15.1640625" style="4" customWidth="1"/>
    <col min="14" max="15" width="35.1640625" style="4" customWidth="1"/>
    <col min="16" max="1024" width="11.5" style="4"/>
  </cols>
  <sheetData>
    <row r="1" spans="1:15" s="6" customFormat="1">
      <c r="A1" s="6" t="s">
        <v>2378</v>
      </c>
      <c r="B1" s="6" t="s">
        <v>2379</v>
      </c>
      <c r="C1" s="6" t="s">
        <v>2380</v>
      </c>
      <c r="D1" s="6" t="s">
        <v>2381</v>
      </c>
      <c r="E1" s="6" t="s">
        <v>2382</v>
      </c>
      <c r="F1" s="6" t="s">
        <v>2383</v>
      </c>
      <c r="G1" s="6" t="s">
        <v>2384</v>
      </c>
      <c r="H1" s="6" t="s">
        <v>2385</v>
      </c>
      <c r="I1" s="6" t="s">
        <v>2386</v>
      </c>
      <c r="J1" s="6" t="s">
        <v>2387</v>
      </c>
      <c r="K1" s="6" t="s">
        <v>2388</v>
      </c>
      <c r="L1" s="6" t="s">
        <v>2389</v>
      </c>
      <c r="M1" s="6" t="s">
        <v>2390</v>
      </c>
      <c r="N1" s="6" t="s">
        <v>2391</v>
      </c>
      <c r="O1" s="6" t="s">
        <v>2392</v>
      </c>
    </row>
    <row r="2" spans="1:15">
      <c r="A2" s="7" t="s">
        <v>17</v>
      </c>
      <c r="B2" s="7"/>
      <c r="C2" s="4" t="s">
        <v>247</v>
      </c>
      <c r="D2" s="4" t="s">
        <v>248</v>
      </c>
      <c r="E2" s="4" t="s">
        <v>13</v>
      </c>
      <c r="F2" s="4" t="s">
        <v>20</v>
      </c>
      <c r="G2" s="4" t="s">
        <v>2393</v>
      </c>
      <c r="H2" s="4" t="str">
        <f t="shared" ref="H2:H65" si="0">"att_"&amp;G2</f>
        <v>att_acquisition</v>
      </c>
      <c r="I2" s="4" t="s">
        <v>247</v>
      </c>
      <c r="J2" s="4" t="str">
        <f t="shared" ref="J2:J65" si="1">H2&amp;":"&amp;I2</f>
        <v>att_acquisition:dda</v>
      </c>
      <c r="K2" s="7" t="s">
        <v>17</v>
      </c>
      <c r="L2" s="4" t="s">
        <v>249</v>
      </c>
      <c r="M2" s="4" t="s">
        <v>13</v>
      </c>
      <c r="N2" s="4"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4"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c r="A3" s="7" t="s">
        <v>17</v>
      </c>
      <c r="B3" s="7"/>
      <c r="C3" s="4" t="s">
        <v>250</v>
      </c>
      <c r="D3" s="4" t="s">
        <v>251</v>
      </c>
      <c r="E3" s="4" t="s">
        <v>13</v>
      </c>
      <c r="F3" s="4" t="s">
        <v>20</v>
      </c>
      <c r="G3" s="4" t="s">
        <v>2393</v>
      </c>
      <c r="H3" s="4" t="str">
        <f t="shared" si="0"/>
        <v>att_acquisition</v>
      </c>
      <c r="I3" s="4" t="s">
        <v>250</v>
      </c>
      <c r="J3" s="4" t="str">
        <f t="shared" si="1"/>
        <v>att_acquisition:dia</v>
      </c>
      <c r="K3" s="7" t="s">
        <v>17</v>
      </c>
      <c r="L3" s="4" t="s">
        <v>252</v>
      </c>
      <c r="M3" s="4" t="s">
        <v>13</v>
      </c>
      <c r="N3" s="4" t="str">
        <f t="shared" si="2"/>
        <v>INSERT INTO attributes (parent_id, tag, name, priority, allow_as_filter, allow_for_dataset, allow_for_measurement, allow_for_users, allow_for_qc) VALUES (NULL, 'att_acquisition',  'Acquisition',  500,  TRUE, TRUE, TRUE, FALSE, FALSE);</v>
      </c>
      <c r="O3" s="4" t="str">
        <f t="shared" si="3"/>
        <v xml:space="preserve">INSERT INTO attribute_values (attribute_id, tag, name, details) VALUES ((SELECT id FROM attributes WHERE tag = 'att_acquisition' LIMIT 1),  'att_acquisition:dia',  'DIA',  'Data-independent acquisition'); </v>
      </c>
    </row>
    <row r="4" spans="1:15">
      <c r="A4" s="7" t="s">
        <v>17</v>
      </c>
      <c r="B4" s="7"/>
      <c r="C4" s="4" t="s">
        <v>253</v>
      </c>
      <c r="D4" s="4" t="s">
        <v>254</v>
      </c>
      <c r="E4" s="4" t="s">
        <v>13</v>
      </c>
      <c r="F4" s="4" t="s">
        <v>20</v>
      </c>
      <c r="G4" s="4" t="s">
        <v>2393</v>
      </c>
      <c r="H4" s="4" t="str">
        <f t="shared" si="0"/>
        <v>att_acquisition</v>
      </c>
      <c r="I4" s="4" t="s">
        <v>253</v>
      </c>
      <c r="J4" s="4" t="str">
        <f t="shared" si="1"/>
        <v>att_acquisition:srm</v>
      </c>
      <c r="K4" s="7" t="s">
        <v>17</v>
      </c>
      <c r="L4" s="4" t="s">
        <v>255</v>
      </c>
      <c r="M4" s="4" t="s">
        <v>13</v>
      </c>
      <c r="N4" s="4" t="str">
        <f t="shared" si="2"/>
        <v>INSERT INTO attributes (parent_id, tag, name, priority, allow_as_filter, allow_for_dataset, allow_for_measurement, allow_for_users, allow_for_qc) VALUES (NULL, 'att_acquisition',  'Acquisition',  500,  TRUE, TRUE, TRUE, FALSE, FALSE);</v>
      </c>
      <c r="O4" s="4" t="str">
        <f t="shared" si="3"/>
        <v xml:space="preserve">INSERT INTO attribute_values (attribute_id, tag, name, details) VALUES ((SELECT id FROM attributes WHERE tag = 'att_acquisition' LIMIT 1),  'att_acquisition:srm',  'SRM / MRM',  'Selected reaction monitoring / Multiple reaction monitoring'); </v>
      </c>
    </row>
    <row r="5" spans="1:15">
      <c r="A5" s="8" t="b">
        <f>FALSE()</f>
        <v>0</v>
      </c>
      <c r="B5" s="8"/>
      <c r="C5" s="4" t="s">
        <v>2394</v>
      </c>
      <c r="D5" s="4" t="s">
        <v>273</v>
      </c>
      <c r="E5" s="4" t="s">
        <v>13</v>
      </c>
      <c r="F5" s="4" t="s">
        <v>2395</v>
      </c>
      <c r="G5" s="4" t="s">
        <v>2396</v>
      </c>
      <c r="H5" s="4" t="str">
        <f t="shared" si="0"/>
        <v>att_animal_model</v>
      </c>
      <c r="I5" s="4" t="s">
        <v>271</v>
      </c>
      <c r="J5" s="4" t="str">
        <f t="shared" si="1"/>
        <v>att_animal_model:adipoq_cre</v>
      </c>
      <c r="K5" s="7" t="s">
        <v>17</v>
      </c>
      <c r="L5" s="4" t="s">
        <v>274</v>
      </c>
      <c r="M5" s="4" t="s">
        <v>13</v>
      </c>
      <c r="N5" s="4" t="str">
        <f t="shared" si="2"/>
        <v>INSERT INTO attributes (parent_id, tag, name, priority, allow_as_filter, allow_for_dataset, allow_for_measurement, allow_for_users, allow_for_qc) VALUES (NULL, 'att_animal_model',  'Animal Model',  500,  TRUE, TRUE, TRUE, FALSE, FALSE);</v>
      </c>
      <c r="O5" s="4" t="str">
        <f t="shared" si="3"/>
        <v xml:space="preserve">INSERT INTO attribute_values (attribute_id, tag, name, details) VALUES ((SELECT id FROM attributes WHERE tag = 'att_animal_model' LIMIT 1),  'att_animal_model:adipoq_cre',  'Adipoq-Cre',  'white adipose tissue'); </v>
      </c>
    </row>
    <row r="6" spans="1:15">
      <c r="A6" s="8" t="b">
        <f>FALSE()</f>
        <v>0</v>
      </c>
      <c r="B6" s="8"/>
      <c r="C6" s="4" t="s">
        <v>2397</v>
      </c>
      <c r="D6" s="4" t="s">
        <v>276</v>
      </c>
      <c r="E6" s="4" t="s">
        <v>13</v>
      </c>
      <c r="F6" s="4" t="s">
        <v>2395</v>
      </c>
      <c r="G6" s="4" t="s">
        <v>2396</v>
      </c>
      <c r="H6" s="4" t="str">
        <f t="shared" si="0"/>
        <v>att_animal_model</v>
      </c>
      <c r="I6" s="4" t="s">
        <v>275</v>
      </c>
      <c r="J6" s="4" t="str">
        <f t="shared" si="1"/>
        <v>att_animal_model:alb_cre</v>
      </c>
      <c r="K6" s="7" t="s">
        <v>17</v>
      </c>
      <c r="L6" s="4" t="s">
        <v>277</v>
      </c>
      <c r="M6" s="4" t="s">
        <v>13</v>
      </c>
      <c r="N6" s="4" t="str">
        <f t="shared" si="2"/>
        <v>INSERT INTO attributes (parent_id, tag, name, priority, allow_as_filter, allow_for_dataset, allow_for_measurement, allow_for_users, allow_for_qc) VALUES (NULL, 'att_animal_model',  'Animal Model',  500,  TRUE, TRUE, TRUE, FALSE, FALSE);</v>
      </c>
      <c r="O6" s="4" t="str">
        <f t="shared" si="3"/>
        <v xml:space="preserve">INSERT INTO attribute_values (attribute_id, tag, name, details) VALUES ((SELECT id FROM attributes WHERE tag = 'att_animal_model' LIMIT 1),  'att_animal_model:alb_cre',  'Alb-Cre',  'Hepatocytes'); </v>
      </c>
    </row>
    <row r="7" spans="1:15">
      <c r="A7" s="8" t="b">
        <f>FALSE()</f>
        <v>0</v>
      </c>
      <c r="B7" s="8"/>
      <c r="C7" s="4" t="s">
        <v>2398</v>
      </c>
      <c r="D7" s="4" t="s">
        <v>279</v>
      </c>
      <c r="E7" s="4" t="s">
        <v>13</v>
      </c>
      <c r="F7" s="4" t="s">
        <v>2395</v>
      </c>
      <c r="G7" s="4" t="s">
        <v>2396</v>
      </c>
      <c r="H7" s="4" t="str">
        <f t="shared" si="0"/>
        <v>att_animal_model</v>
      </c>
      <c r="I7" s="4" t="s">
        <v>278</v>
      </c>
      <c r="J7" s="4" t="str">
        <f t="shared" si="1"/>
        <v>att_animal_model:asc_ko</v>
      </c>
      <c r="K7" s="7" t="s">
        <v>17</v>
      </c>
      <c r="L7" s="4" t="s">
        <v>279</v>
      </c>
      <c r="M7" s="4" t="s">
        <v>13</v>
      </c>
      <c r="N7" s="4" t="str">
        <f t="shared" si="2"/>
        <v>INSERT INTO attributes (parent_id, tag, name, priority, allow_as_filter, allow_for_dataset, allow_for_measurement, allow_for_users, allow_for_qc) VALUES (NULL, 'att_animal_model',  'Animal Model',  500,  TRUE, TRUE, TRUE, FALSE, FALSE);</v>
      </c>
      <c r="O7" s="4" t="str">
        <f t="shared" si="3"/>
        <v xml:space="preserve">INSERT INTO attribute_values (attribute_id, tag, name, details) VALUES ((SELECT id FROM attributes WHERE tag = 'att_animal_model' LIMIT 1),  'att_animal_model:asc_ko',  'ASC ko',  'ASC ko'); </v>
      </c>
    </row>
    <row r="8" spans="1:15">
      <c r="A8" s="8" t="b">
        <f>FALSE()</f>
        <v>0</v>
      </c>
      <c r="B8" s="8"/>
      <c r="C8" s="4" t="s">
        <v>2399</v>
      </c>
      <c r="D8" s="4" t="s">
        <v>281</v>
      </c>
      <c r="E8" s="4" t="s">
        <v>13</v>
      </c>
      <c r="F8" s="4" t="s">
        <v>2395</v>
      </c>
      <c r="G8" s="4" t="s">
        <v>2396</v>
      </c>
      <c r="H8" s="4" t="str">
        <f t="shared" si="0"/>
        <v>att_animal_model</v>
      </c>
      <c r="I8" s="4" t="s">
        <v>280</v>
      </c>
      <c r="J8" s="4" t="str">
        <f t="shared" si="1"/>
        <v>att_animal_model:baf53b_cre</v>
      </c>
      <c r="K8" s="7" t="s">
        <v>17</v>
      </c>
      <c r="L8" s="4" t="s">
        <v>282</v>
      </c>
      <c r="M8" s="4" t="s">
        <v>13</v>
      </c>
      <c r="N8" s="4" t="str">
        <f t="shared" si="2"/>
        <v>INSERT INTO attributes (parent_id, tag, name, priority, allow_as_filter, allow_for_dataset, allow_for_measurement, allow_for_users, allow_for_qc) VALUES (NULL, 'att_animal_model',  'Animal Model',  500,  TRUE, TRUE, TRUE, FALSE, FALSE);</v>
      </c>
      <c r="O8" s="4" t="str">
        <f t="shared" si="3"/>
        <v xml:space="preserve">INSERT INTO attribute_values (attribute_id, tag, name, details) VALUES ((SELECT id FROM attributes WHERE tag = 'att_animal_model' LIMIT 1),  'att_animal_model:baf53b_cre',  'Baf53b-Cre',  'Neurons'); </v>
      </c>
    </row>
    <row r="9" spans="1:15">
      <c r="A9" s="8" t="b">
        <f>FALSE()</f>
        <v>0</v>
      </c>
      <c r="B9" s="8"/>
      <c r="C9" s="4" t="s">
        <v>2400</v>
      </c>
      <c r="D9" s="4" t="s">
        <v>284</v>
      </c>
      <c r="E9" s="4" t="s">
        <v>13</v>
      </c>
      <c r="F9" s="4" t="s">
        <v>2395</v>
      </c>
      <c r="G9" s="4" t="s">
        <v>2396</v>
      </c>
      <c r="H9" s="4" t="str">
        <f t="shared" si="0"/>
        <v>att_animal_model</v>
      </c>
      <c r="I9" s="4" t="s">
        <v>283</v>
      </c>
      <c r="J9" s="4" t="str">
        <f t="shared" si="1"/>
        <v>att_animal_model:c57_bl6j</v>
      </c>
      <c r="K9" s="7" t="s">
        <v>17</v>
      </c>
      <c r="L9" s="4" t="s">
        <v>284</v>
      </c>
      <c r="M9" s="4" t="s">
        <v>13</v>
      </c>
      <c r="N9" s="4" t="str">
        <f t="shared" si="2"/>
        <v>INSERT INTO attributes (parent_id, tag, name, priority, allow_as_filter, allow_for_dataset, allow_for_measurement, allow_for_users, allow_for_qc) VALUES (NULL, 'att_animal_model',  'Animal Model',  500,  TRUE, TRUE, TRUE, FALSE, FALSE);</v>
      </c>
      <c r="O9" s="4" t="str">
        <f t="shared" si="3"/>
        <v xml:space="preserve">INSERT INTO attribute_values (attribute_id, tag, name, details) VALUES ((SELECT id FROM attributes WHERE tag = 'att_animal_model' LIMIT 1),  'att_animal_model:c57_bl6j',  'C57/Bl6J',  'C57/Bl6J'); </v>
      </c>
    </row>
    <row r="10" spans="1:15">
      <c r="A10" s="8" t="b">
        <f>FALSE()</f>
        <v>0</v>
      </c>
      <c r="B10" s="8"/>
      <c r="C10" s="4" t="s">
        <v>2401</v>
      </c>
      <c r="D10" s="4" t="s">
        <v>286</v>
      </c>
      <c r="E10" s="4" t="s">
        <v>13</v>
      </c>
      <c r="F10" s="4" t="s">
        <v>2395</v>
      </c>
      <c r="G10" s="4" t="s">
        <v>2396</v>
      </c>
      <c r="H10" s="4" t="str">
        <f t="shared" si="0"/>
        <v>att_animal_model</v>
      </c>
      <c r="I10" s="4" t="s">
        <v>285</v>
      </c>
      <c r="J10" s="4" t="str">
        <f t="shared" si="1"/>
        <v>att_animal_model:clec4f_cre</v>
      </c>
      <c r="K10" s="7" t="s">
        <v>17</v>
      </c>
      <c r="L10" s="4" t="s">
        <v>287</v>
      </c>
      <c r="M10" s="4" t="s">
        <v>13</v>
      </c>
      <c r="N10" s="4" t="str">
        <f t="shared" si="2"/>
        <v>INSERT INTO attributes (parent_id, tag, name, priority, allow_as_filter, allow_for_dataset, allow_for_measurement, allow_for_users, allow_for_qc) VALUES (NULL, 'att_animal_model',  'Animal Model',  500,  TRUE, TRUE, TRUE, FALSE, FALSE);</v>
      </c>
      <c r="O10" s="4" t="str">
        <f t="shared" si="3"/>
        <v xml:space="preserve">INSERT INTO attribute_values (attribute_id, tag, name, details) VALUES ((SELECT id FROM attributes WHERE tag = 'att_animal_model' LIMIT 1),  'att_animal_model:clec4f_cre',  'Clec4f-Cre',  'Kupffer cells'); </v>
      </c>
    </row>
    <row r="11" spans="1:15">
      <c r="A11" s="8" t="b">
        <f>FALSE()</f>
        <v>0</v>
      </c>
      <c r="B11" s="8"/>
      <c r="C11" s="4" t="s">
        <v>2402</v>
      </c>
      <c r="D11" s="4" t="s">
        <v>289</v>
      </c>
      <c r="E11" s="4" t="s">
        <v>13</v>
      </c>
      <c r="F11" s="4" t="s">
        <v>2395</v>
      </c>
      <c r="G11" s="4" t="s">
        <v>2396</v>
      </c>
      <c r="H11" s="4" t="str">
        <f t="shared" si="0"/>
        <v>att_animal_model</v>
      </c>
      <c r="I11" s="4" t="s">
        <v>288</v>
      </c>
      <c r="J11" s="4" t="str">
        <f t="shared" si="1"/>
        <v>att_animal_model:cx3cr1_cre</v>
      </c>
      <c r="K11" s="7" t="s">
        <v>17</v>
      </c>
      <c r="L11" s="4" t="s">
        <v>290</v>
      </c>
      <c r="M11" s="4" t="s">
        <v>13</v>
      </c>
      <c r="N11" s="4" t="str">
        <f t="shared" si="2"/>
        <v>INSERT INTO attributes (parent_id, tag, name, priority, allow_as_filter, allow_for_dataset, allow_for_measurement, allow_for_users, allow_for_qc) VALUES (NULL, 'att_animal_model',  'Animal Model',  500,  TRUE, TRUE, TRUE, FALSE, FALSE);</v>
      </c>
      <c r="O11" s="4" t="str">
        <f t="shared" si="3"/>
        <v xml:space="preserve">INSERT INTO attribute_values (attribute_id, tag, name, details) VALUES ((SELECT id FROM attributes WHERE tag = 'att_animal_model' LIMIT 1),  'att_animal_model:cx3cr1_cre',  'Cx3cr1-Cre',  '(Yalk sac) Macrophages'); </v>
      </c>
    </row>
    <row r="12" spans="1:15">
      <c r="A12" s="8" t="b">
        <f>FALSE()</f>
        <v>0</v>
      </c>
      <c r="B12" s="8"/>
      <c r="C12" s="4" t="s">
        <v>291</v>
      </c>
      <c r="D12" s="4" t="s">
        <v>292</v>
      </c>
      <c r="E12" s="4" t="s">
        <v>13</v>
      </c>
      <c r="F12" s="4" t="s">
        <v>2395</v>
      </c>
      <c r="G12" s="4" t="s">
        <v>2396</v>
      </c>
      <c r="H12" s="4" t="str">
        <f t="shared" si="0"/>
        <v>att_animal_model</v>
      </c>
      <c r="I12" s="4" t="s">
        <v>291</v>
      </c>
      <c r="J12" s="4" t="str">
        <f t="shared" si="1"/>
        <v>att_animal_model:cxcr4creert2</v>
      </c>
      <c r="K12" s="7" t="s">
        <v>17</v>
      </c>
      <c r="L12" s="4" t="s">
        <v>292</v>
      </c>
      <c r="M12" s="4" t="s">
        <v>13</v>
      </c>
      <c r="N12" s="4" t="str">
        <f t="shared" si="2"/>
        <v>INSERT INTO attributes (parent_id, tag, name, priority, allow_as_filter, allow_for_dataset, allow_for_measurement, allow_for_users, allow_for_qc) VALUES (NULL, 'att_animal_model',  'Animal Model',  500,  TRUE, TRUE, TRUE, FALSE, FALSE);</v>
      </c>
      <c r="O12" s="4" t="str">
        <f t="shared" si="3"/>
        <v xml:space="preserve">INSERT INTO attribute_values (attribute_id, tag, name, details) VALUES ((SELECT id FROM attributes WHERE tag = 'att_animal_model' LIMIT 1),  'att_animal_model:cxcr4creert2',  'Cxcr4CreERT2',  'Cxcr4CreERT2'); </v>
      </c>
    </row>
    <row r="13" spans="1:15">
      <c r="A13" s="8" t="b">
        <f>FALSE()</f>
        <v>0</v>
      </c>
      <c r="B13" s="8"/>
      <c r="C13" s="4" t="s">
        <v>2403</v>
      </c>
      <c r="D13" s="4" t="s">
        <v>294</v>
      </c>
      <c r="E13" s="4" t="s">
        <v>13</v>
      </c>
      <c r="F13" s="4" t="s">
        <v>2395</v>
      </c>
      <c r="G13" s="4" t="s">
        <v>2396</v>
      </c>
      <c r="H13" s="4" t="str">
        <f t="shared" si="0"/>
        <v>att_animal_model</v>
      </c>
      <c r="I13" s="4" t="s">
        <v>293</v>
      </c>
      <c r="J13" s="4" t="str">
        <f t="shared" si="1"/>
        <v>att_animal_model:glast_cre</v>
      </c>
      <c r="K13" s="7" t="s">
        <v>17</v>
      </c>
      <c r="L13" s="4" t="s">
        <v>295</v>
      </c>
      <c r="M13" s="4" t="s">
        <v>13</v>
      </c>
      <c r="N13" s="4" t="str">
        <f t="shared" si="2"/>
        <v>INSERT INTO attributes (parent_id, tag, name, priority, allow_as_filter, allow_for_dataset, allow_for_measurement, allow_for_users, allow_for_qc) VALUES (NULL, 'att_animal_model',  'Animal Model',  500,  TRUE, TRUE, TRUE, FALSE, FALSE);</v>
      </c>
      <c r="O13" s="4" t="str">
        <f t="shared" si="3"/>
        <v xml:space="preserve">INSERT INTO attribute_values (attribute_id, tag, name, details) VALUES ((SELECT id FROM attributes WHERE tag = 'att_animal_model' LIMIT 1),  'att_animal_model:glast_cre',  'Glast-Cre',  'Astrocytes'); </v>
      </c>
    </row>
    <row r="14" spans="1:15">
      <c r="A14" s="8" t="b">
        <f>FALSE()</f>
        <v>0</v>
      </c>
      <c r="B14" s="8"/>
      <c r="C14" s="4" t="s">
        <v>2404</v>
      </c>
      <c r="D14" s="4" t="s">
        <v>297</v>
      </c>
      <c r="E14" s="4" t="s">
        <v>13</v>
      </c>
      <c r="F14" s="4" t="s">
        <v>2395</v>
      </c>
      <c r="G14" s="4" t="s">
        <v>2396</v>
      </c>
      <c r="H14" s="4" t="str">
        <f t="shared" si="0"/>
        <v>att_animal_model</v>
      </c>
      <c r="I14" s="4" t="s">
        <v>296</v>
      </c>
      <c r="J14" s="4" t="str">
        <f t="shared" si="1"/>
        <v>att_animal_model:lrat_cre</v>
      </c>
      <c r="K14" s="7" t="s">
        <v>17</v>
      </c>
      <c r="L14" s="4" t="s">
        <v>298</v>
      </c>
      <c r="M14" s="4" t="s">
        <v>13</v>
      </c>
      <c r="N14" s="4" t="str">
        <f t="shared" si="2"/>
        <v>INSERT INTO attributes (parent_id, tag, name, priority, allow_as_filter, allow_for_dataset, allow_for_measurement, allow_for_users, allow_for_qc) VALUES (NULL, 'att_animal_model',  'Animal Model',  500,  TRUE, TRUE, TRUE, FALSE, FALSE);</v>
      </c>
      <c r="O14" s="4" t="str">
        <f t="shared" si="3"/>
        <v xml:space="preserve">INSERT INTO attribute_values (attribute_id, tag, name, details) VALUES ((SELECT id FROM attributes WHERE tag = 'att_animal_model' LIMIT 1),  'att_animal_model:lrat_cre',  'Lrat-Cre',  'Hepatic stellate cells'); </v>
      </c>
    </row>
    <row r="15" spans="1:15">
      <c r="A15" s="8" t="b">
        <f>FALSE()</f>
        <v>0</v>
      </c>
      <c r="B15" s="8"/>
      <c r="C15" s="4" t="s">
        <v>2405</v>
      </c>
      <c r="D15" s="4" t="s">
        <v>300</v>
      </c>
      <c r="E15" s="4" t="s">
        <v>13</v>
      </c>
      <c r="F15" s="4" t="s">
        <v>2395</v>
      </c>
      <c r="G15" s="4" t="s">
        <v>2396</v>
      </c>
      <c r="H15" s="4" t="str">
        <f t="shared" si="0"/>
        <v>att_animal_model</v>
      </c>
      <c r="I15" s="4" t="s">
        <v>299</v>
      </c>
      <c r="J15" s="4" t="str">
        <f t="shared" si="1"/>
        <v>att_animal_model:lysm_cre</v>
      </c>
      <c r="K15" s="7" t="s">
        <v>17</v>
      </c>
      <c r="L15" s="4" t="s">
        <v>301</v>
      </c>
      <c r="M15" s="4" t="s">
        <v>13</v>
      </c>
      <c r="N15" s="4" t="str">
        <f t="shared" si="2"/>
        <v>INSERT INTO attributes (parent_id, tag, name, priority, allow_as_filter, allow_for_dataset, allow_for_measurement, allow_for_users, allow_for_qc) VALUES (NULL, 'att_animal_model',  'Animal Model',  500,  TRUE, TRUE, TRUE, FALSE, FALSE);</v>
      </c>
      <c r="O15" s="4" t="str">
        <f t="shared" si="3"/>
        <v xml:space="preserve">INSERT INTO attribute_values (attribute_id, tag, name, details) VALUES ((SELECT id FROM attributes WHERE tag = 'att_animal_model' LIMIT 1),  'att_animal_model:lysm_cre',  'LysM-Cre',  'Macrophages/Neutrophils'); </v>
      </c>
    </row>
    <row r="16" spans="1:15">
      <c r="A16" s="8" t="b">
        <f>FALSE()</f>
        <v>0</v>
      </c>
      <c r="B16" s="8"/>
      <c r="C16" s="4" t="s">
        <v>2406</v>
      </c>
      <c r="D16" s="4" t="s">
        <v>303</v>
      </c>
      <c r="E16" s="4" t="s">
        <v>13</v>
      </c>
      <c r="F16" s="4" t="s">
        <v>2395</v>
      </c>
      <c r="G16" s="4" t="s">
        <v>2396</v>
      </c>
      <c r="H16" s="4" t="str">
        <f t="shared" si="0"/>
        <v>att_animal_model</v>
      </c>
      <c r="I16" s="4" t="s">
        <v>302</v>
      </c>
      <c r="J16" s="4" t="str">
        <f t="shared" si="1"/>
        <v>att_animal_model:ms4a3_cre</v>
      </c>
      <c r="K16" s="7" t="s">
        <v>17</v>
      </c>
      <c r="L16" s="4" t="s">
        <v>304</v>
      </c>
      <c r="M16" s="4" t="s">
        <v>13</v>
      </c>
      <c r="N16" s="4" t="str">
        <f t="shared" si="2"/>
        <v>INSERT INTO attributes (parent_id, tag, name, priority, allow_as_filter, allow_for_dataset, allow_for_measurement, allow_for_users, allow_for_qc) VALUES (NULL, 'att_animal_model',  'Animal Model',  500,  TRUE, TRUE, TRUE, FALSE, FALSE);</v>
      </c>
      <c r="O16" s="4" t="str">
        <f t="shared" si="3"/>
        <v xml:space="preserve">INSERT INTO attribute_values (attribute_id, tag, name, details) VALUES ((SELECT id FROM attributes WHERE tag = 'att_animal_model' LIMIT 1),  'att_animal_model:ms4a3_cre',  'Ms4a3-Cre',  'Monocytes'); </v>
      </c>
    </row>
    <row r="17" spans="1:15">
      <c r="A17" s="8" t="b">
        <f>FALSE()</f>
        <v>0</v>
      </c>
      <c r="B17" s="8"/>
      <c r="C17" s="4" t="s">
        <v>2407</v>
      </c>
      <c r="D17" s="4" t="s">
        <v>306</v>
      </c>
      <c r="E17" s="4" t="s">
        <v>13</v>
      </c>
      <c r="F17" s="4" t="s">
        <v>2395</v>
      </c>
      <c r="G17" s="4" t="s">
        <v>2396</v>
      </c>
      <c r="H17" s="4" t="str">
        <f t="shared" si="0"/>
        <v>att_animal_model</v>
      </c>
      <c r="I17" s="4" t="s">
        <v>305</v>
      </c>
      <c r="J17" s="4" t="str">
        <f t="shared" si="1"/>
        <v>att_animal_model:mt_nlrp3_cre</v>
      </c>
      <c r="K17" s="7" t="s">
        <v>17</v>
      </c>
      <c r="L17" s="4" t="s">
        <v>307</v>
      </c>
      <c r="M17" s="4" t="s">
        <v>13</v>
      </c>
      <c r="N17" s="4" t="str">
        <f t="shared" si="2"/>
        <v>INSERT INTO attributes (parent_id, tag, name, priority, allow_as_filter, allow_for_dataset, allow_for_measurement, allow_for_users, allow_for_qc) VALUES (NULL, 'att_animal_model',  'Animal Model',  500,  TRUE, TRUE, TRUE, FALSE, FALSE);</v>
      </c>
      <c r="O17" s="4" t="str">
        <f t="shared" si="3"/>
        <v xml:space="preserve">INSERT INTO attribute_values (attribute_id, tag, name, details) VALUES ((SELECT id FROM attributes WHERE tag = 'att_animal_model' LIMIT 1),  'att_animal_model:mt_nlrp3_cre',  'MT-Nlrp3-Cre',  'CAPS R26ERtCreNlrp3A350V '); </v>
      </c>
    </row>
    <row r="18" spans="1:15">
      <c r="A18" s="8" t="b">
        <f>FALSE()</f>
        <v>0</v>
      </c>
      <c r="B18" s="8"/>
      <c r="C18" s="4" t="s">
        <v>2408</v>
      </c>
      <c r="D18" s="4" t="s">
        <v>309</v>
      </c>
      <c r="E18" s="4" t="s">
        <v>13</v>
      </c>
      <c r="F18" s="4" t="s">
        <v>2395</v>
      </c>
      <c r="G18" s="4" t="s">
        <v>2396</v>
      </c>
      <c r="H18" s="4" t="str">
        <f t="shared" si="0"/>
        <v>att_animal_model</v>
      </c>
      <c r="I18" s="4" t="s">
        <v>308</v>
      </c>
      <c r="J18" s="4" t="str">
        <f t="shared" si="1"/>
        <v>att_animal_model:nlrp3_flox</v>
      </c>
      <c r="K18" s="7" t="s">
        <v>17</v>
      </c>
      <c r="L18" s="4" t="s">
        <v>309</v>
      </c>
      <c r="M18" s="4" t="s">
        <v>13</v>
      </c>
      <c r="N18" s="4" t="str">
        <f t="shared" si="2"/>
        <v>INSERT INTO attributes (parent_id, tag, name, priority, allow_as_filter, allow_for_dataset, allow_for_measurement, allow_for_users, allow_for_qc) VALUES (NULL, 'att_animal_model',  'Animal Model',  500,  TRUE, TRUE, TRUE, FALSE, FALSE);</v>
      </c>
      <c r="O18" s="4" t="str">
        <f t="shared" si="3"/>
        <v xml:space="preserve">INSERT INTO attribute_values (attribute_id, tag, name, details) VALUES ((SELECT id FROM attributes WHERE tag = 'att_animal_model' LIMIT 1),  'att_animal_model:nlrp3_flox',  'Nlrp3-flox',  'Nlrp3-flox'); </v>
      </c>
    </row>
    <row r="19" spans="1:15">
      <c r="A19" s="8" t="b">
        <f>FALSE()</f>
        <v>0</v>
      </c>
      <c r="B19" s="8"/>
      <c r="C19" s="4" t="s">
        <v>2409</v>
      </c>
      <c r="D19" s="4" t="s">
        <v>311</v>
      </c>
      <c r="E19" s="4" t="s">
        <v>13</v>
      </c>
      <c r="F19" s="4" t="s">
        <v>2395</v>
      </c>
      <c r="G19" s="4" t="s">
        <v>2396</v>
      </c>
      <c r="H19" s="4" t="str">
        <f t="shared" si="0"/>
        <v>att_animal_model</v>
      </c>
      <c r="I19" s="4" t="s">
        <v>310</v>
      </c>
      <c r="J19" s="4" t="str">
        <f t="shared" si="1"/>
        <v>att_animal_model:nlrp3_ko</v>
      </c>
      <c r="K19" s="7" t="s">
        <v>17</v>
      </c>
      <c r="L19" s="4" t="s">
        <v>311</v>
      </c>
      <c r="M19" s="4" t="s">
        <v>13</v>
      </c>
      <c r="N19" s="4" t="str">
        <f t="shared" si="2"/>
        <v>INSERT INTO attributes (parent_id, tag, name, priority, allow_as_filter, allow_for_dataset, allow_for_measurement, allow_for_users, allow_for_qc) VALUES (NULL, 'att_animal_model',  'Animal Model',  500,  TRUE, TRUE, TRUE, FALSE, FALSE);</v>
      </c>
      <c r="O19" s="4" t="str">
        <f t="shared" si="3"/>
        <v xml:space="preserve">INSERT INTO attribute_values (attribute_id, tag, name, details) VALUES ((SELECT id FROM attributes WHERE tag = 'att_animal_model' LIMIT 1),  'att_animal_model:nlrp3_ko',  'Nlrp3 ko',  'Nlrp3 ko'); </v>
      </c>
    </row>
    <row r="20" spans="1:15">
      <c r="A20" s="8" t="b">
        <f>FALSE()</f>
        <v>0</v>
      </c>
      <c r="B20" s="8"/>
      <c r="C20" s="4" t="s">
        <v>312</v>
      </c>
      <c r="D20" s="4" t="s">
        <v>313</v>
      </c>
      <c r="E20" s="4" t="s">
        <v>13</v>
      </c>
      <c r="F20" s="4" t="s">
        <v>2395</v>
      </c>
      <c r="G20" s="4" t="s">
        <v>2396</v>
      </c>
      <c r="H20" s="4" t="str">
        <f t="shared" si="0"/>
        <v>att_animal_model</v>
      </c>
      <c r="I20" s="4" t="s">
        <v>312</v>
      </c>
      <c r="J20" s="4" t="str">
        <f t="shared" si="1"/>
        <v>att_animal_model:oaf</v>
      </c>
      <c r="K20" s="7" t="s">
        <v>17</v>
      </c>
      <c r="L20" s="4" t="s">
        <v>313</v>
      </c>
      <c r="M20" s="4" t="s">
        <v>13</v>
      </c>
      <c r="N20" s="4" t="str">
        <f t="shared" si="2"/>
        <v>INSERT INTO attributes (parent_id, tag, name, priority, allow_as_filter, allow_for_dataset, allow_for_measurement, allow_for_users, allow_for_qc) VALUES (NULL, 'att_animal_model',  'Animal Model',  500,  TRUE, TRUE, TRUE, FALSE, FALSE);</v>
      </c>
      <c r="O20" s="4" t="str">
        <f t="shared" si="3"/>
        <v xml:space="preserve">INSERT INTO attribute_values (attribute_id, tag, name, details) VALUES ((SELECT id FROM attributes WHERE tag = 'att_animal_model' LIMIT 1),  'att_animal_model:oaf',  'OAF',  'OAF'); </v>
      </c>
    </row>
    <row r="21" spans="1:15">
      <c r="A21" s="8" t="b">
        <f>FALSE()</f>
        <v>0</v>
      </c>
      <c r="B21" s="8"/>
      <c r="C21" s="4" t="s">
        <v>2410</v>
      </c>
      <c r="D21" s="4" t="s">
        <v>315</v>
      </c>
      <c r="E21" s="4" t="s">
        <v>13</v>
      </c>
      <c r="F21" s="4" t="s">
        <v>2395</v>
      </c>
      <c r="G21" s="4" t="s">
        <v>2396</v>
      </c>
      <c r="H21" s="4" t="str">
        <f t="shared" si="0"/>
        <v>att_animal_model</v>
      </c>
      <c r="I21" s="4" t="s">
        <v>314</v>
      </c>
      <c r="J21" s="4" t="str">
        <f t="shared" si="1"/>
        <v>att_animal_model:r26_ert2cre</v>
      </c>
      <c r="K21" s="7" t="s">
        <v>17</v>
      </c>
      <c r="L21" s="4" t="s">
        <v>316</v>
      </c>
      <c r="M21" s="4" t="s">
        <v>13</v>
      </c>
      <c r="N21" s="4" t="str">
        <f t="shared" si="2"/>
        <v>INSERT INTO attributes (parent_id, tag, name, priority, allow_as_filter, allow_for_dataset, allow_for_measurement, allow_for_users, allow_for_qc) VALUES (NULL, 'att_animal_model',  'Animal Model',  500,  TRUE, TRUE, TRUE, FALSE, FALSE);</v>
      </c>
      <c r="O21" s="4" t="str">
        <f t="shared" si="3"/>
        <v xml:space="preserve">INSERT INTO attribute_values (attribute_id, tag, name, details) VALUES ((SELECT id FROM attributes WHERE tag = 'att_animal_model' LIMIT 1),  'att_animal_model:r26_ert2cre',  'R26 ERt2Cre',  'R26 Ert2Cre'); </v>
      </c>
    </row>
    <row r="22" spans="1:15">
      <c r="A22" s="8" t="b">
        <f>FALSE()</f>
        <v>0</v>
      </c>
      <c r="B22" s="8"/>
      <c r="C22" s="4" t="s">
        <v>2411</v>
      </c>
      <c r="D22" s="8" t="s">
        <v>318</v>
      </c>
      <c r="E22" s="4" t="s">
        <v>13</v>
      </c>
      <c r="F22" s="4" t="s">
        <v>2395</v>
      </c>
      <c r="G22" s="4" t="s">
        <v>2396</v>
      </c>
      <c r="H22" s="4" t="str">
        <f t="shared" si="0"/>
        <v>att_animal_model</v>
      </c>
      <c r="I22" s="4" t="s">
        <v>317</v>
      </c>
      <c r="J22" s="4" t="str">
        <f t="shared" si="1"/>
        <v>att_animal_model:r26_metrs_flox</v>
      </c>
      <c r="K22" s="7" t="s">
        <v>17</v>
      </c>
      <c r="L22" s="4" t="s">
        <v>319</v>
      </c>
      <c r="M22" s="4" t="s">
        <v>13</v>
      </c>
      <c r="N22" s="4" t="str">
        <f t="shared" si="2"/>
        <v>INSERT INTO attributes (parent_id, tag, name, priority, allow_as_filter, allow_for_dataset, allow_for_measurement, allow_for_users, allow_for_qc) VALUES (NULL, 'att_animal_model',  'Animal Model',  500,  TRUE, TRUE, TRUE, FALSE, FALSE);</v>
      </c>
      <c r="O22" s="4" t="str">
        <f t="shared" si="3"/>
        <v xml:space="preserve">INSERT INTO attribute_values (attribute_id, tag, name, details) VALUES ((SELECT id FROM attributes WHERE tag = 'att_animal_model' LIMIT 1),  'att_animal_model:r26_metrs_flox',  'R26 MetRS*-flox',  'Cell-type specific labelling'); </v>
      </c>
    </row>
    <row r="23" spans="1:15">
      <c r="A23" s="8" t="b">
        <f>FALSE()</f>
        <v>0</v>
      </c>
      <c r="B23" s="8"/>
      <c r="C23" s="4" t="s">
        <v>2412</v>
      </c>
      <c r="D23" s="4" t="s">
        <v>321</v>
      </c>
      <c r="E23" s="4" t="s">
        <v>13</v>
      </c>
      <c r="F23" s="4" t="s">
        <v>2395</v>
      </c>
      <c r="G23" s="4" t="s">
        <v>2396</v>
      </c>
      <c r="H23" s="4" t="str">
        <f t="shared" si="0"/>
        <v>att_animal_model</v>
      </c>
      <c r="I23" s="4" t="s">
        <v>320</v>
      </c>
      <c r="J23" s="4" t="str">
        <f t="shared" si="1"/>
        <v>att_animal_model:r26_nlrp3_flox</v>
      </c>
      <c r="K23" s="7" t="s">
        <v>17</v>
      </c>
      <c r="L23" s="4" t="s">
        <v>321</v>
      </c>
      <c r="M23" s="4" t="s">
        <v>13</v>
      </c>
      <c r="N23" s="4" t="str">
        <f t="shared" si="2"/>
        <v>INSERT INTO attributes (parent_id, tag, name, priority, allow_as_filter, allow_for_dataset, allow_for_measurement, allow_for_users, allow_for_qc) VALUES (NULL, 'att_animal_model',  'Animal Model',  500,  TRUE, TRUE, TRUE, FALSE, FALSE);</v>
      </c>
      <c r="O23" s="4" t="str">
        <f t="shared" si="3"/>
        <v xml:space="preserve">INSERT INTO attribute_values (attribute_id, tag, name, details) VALUES ((SELECT id FROM attributes WHERE tag = 'att_animal_model' LIMIT 1),  'att_animal_model:r26_nlrp3_flox',  'R26 Nlrp3-flox',  'R26 Nlrp3-flox'); </v>
      </c>
    </row>
    <row r="24" spans="1:15">
      <c r="A24" s="8" t="b">
        <f>FALSE()</f>
        <v>0</v>
      </c>
      <c r="B24" s="8"/>
      <c r="C24" s="4" t="s">
        <v>2413</v>
      </c>
      <c r="D24" s="4" t="s">
        <v>323</v>
      </c>
      <c r="E24" s="4" t="s">
        <v>13</v>
      </c>
      <c r="F24" s="4" t="s">
        <v>2395</v>
      </c>
      <c r="G24" s="4" t="s">
        <v>2396</v>
      </c>
      <c r="H24" s="4" t="str">
        <f t="shared" si="0"/>
        <v>att_animal_model</v>
      </c>
      <c r="I24" s="4" t="s">
        <v>322</v>
      </c>
      <c r="J24" s="4" t="str">
        <f t="shared" si="1"/>
        <v>att_animal_model:ribotag_lox</v>
      </c>
      <c r="K24" s="7" t="s">
        <v>17</v>
      </c>
      <c r="L24" s="4" t="s">
        <v>316</v>
      </c>
      <c r="M24" s="4" t="s">
        <v>13</v>
      </c>
      <c r="N24" s="4" t="str">
        <f t="shared" si="2"/>
        <v>INSERT INTO attributes (parent_id, tag, name, priority, allow_as_filter, allow_for_dataset, allow_for_measurement, allow_for_users, allow_for_qc) VALUES (NULL, 'att_animal_model',  'Animal Model',  500,  TRUE, TRUE, TRUE, FALSE, FALSE);</v>
      </c>
      <c r="O24" s="4" t="str">
        <f t="shared" si="3"/>
        <v xml:space="preserve">INSERT INTO attribute_values (attribute_id, tag, name, details) VALUES ((SELECT id FROM attributes WHERE tag = 'att_animal_model' LIMIT 1),  'att_animal_model:ribotag_lox',  'Ribotag-lox',  'R26 Ert2Cre'); </v>
      </c>
    </row>
    <row r="25" spans="1:15">
      <c r="A25" s="8" t="b">
        <f>FALSE()</f>
        <v>0</v>
      </c>
      <c r="B25" s="8"/>
      <c r="C25" s="4" t="s">
        <v>2414</v>
      </c>
      <c r="D25" s="4" t="s">
        <v>325</v>
      </c>
      <c r="E25" s="4" t="s">
        <v>13</v>
      </c>
      <c r="F25" s="4" t="s">
        <v>2395</v>
      </c>
      <c r="G25" s="4" t="s">
        <v>2396</v>
      </c>
      <c r="H25" s="4" t="str">
        <f t="shared" si="0"/>
        <v>att_animal_model</v>
      </c>
      <c r="I25" s="4" t="s">
        <v>324</v>
      </c>
      <c r="J25" s="4" t="str">
        <f t="shared" si="1"/>
        <v>att_animal_model:sox10_cre</v>
      </c>
      <c r="K25" s="7" t="s">
        <v>17</v>
      </c>
      <c r="L25" s="4" t="s">
        <v>326</v>
      </c>
      <c r="M25" s="4" t="s">
        <v>13</v>
      </c>
      <c r="N25" s="4" t="str">
        <f t="shared" si="2"/>
        <v>INSERT INTO attributes (parent_id, tag, name, priority, allow_as_filter, allow_for_dataset, allow_for_measurement, allow_for_users, allow_for_qc) VALUES (NULL, 'att_animal_model',  'Animal Model',  500,  TRUE, TRUE, TRUE, FALSE, FALSE);</v>
      </c>
      <c r="O25" s="4" t="str">
        <f t="shared" si="3"/>
        <v xml:space="preserve">INSERT INTO attribute_values (attribute_id, tag, name, details) VALUES ((SELECT id FROM attributes WHERE tag = 'att_animal_model' LIMIT 1),  'att_animal_model:sox10_cre',  'Sox10-Cre',  'Neural crest ?'); </v>
      </c>
    </row>
    <row r="26" spans="1:15">
      <c r="A26" s="8" t="b">
        <f>FALSE()</f>
        <v>0</v>
      </c>
      <c r="B26" s="8"/>
      <c r="C26" s="4" t="s">
        <v>2415</v>
      </c>
      <c r="D26" s="4" t="s">
        <v>328</v>
      </c>
      <c r="E26" s="4" t="s">
        <v>13</v>
      </c>
      <c r="F26" s="4" t="s">
        <v>2395</v>
      </c>
      <c r="G26" s="4" t="s">
        <v>2396</v>
      </c>
      <c r="H26" s="4" t="str">
        <f t="shared" si="0"/>
        <v>att_animal_model</v>
      </c>
      <c r="I26" s="4" t="s">
        <v>327</v>
      </c>
      <c r="J26" s="4" t="str">
        <f t="shared" si="1"/>
        <v>att_animal_model:ucp1_cre</v>
      </c>
      <c r="K26" s="7" t="s">
        <v>17</v>
      </c>
      <c r="L26" s="4" t="s">
        <v>329</v>
      </c>
      <c r="M26" s="4" t="s">
        <v>13</v>
      </c>
      <c r="N26" s="4" t="str">
        <f t="shared" si="2"/>
        <v>INSERT INTO attributes (parent_id, tag, name, priority, allow_as_filter, allow_for_dataset, allow_for_measurement, allow_for_users, allow_for_qc) VALUES (NULL, 'att_animal_model',  'Animal Model',  500,  TRUE, TRUE, TRUE, FALSE, FALSE);</v>
      </c>
      <c r="O26" s="4" t="str">
        <f t="shared" si="3"/>
        <v xml:space="preserve">INSERT INTO attribute_values (attribute_id, tag, name, details) VALUES ((SELECT id FROM attributes WHERE tag = 'att_animal_model' LIMIT 1),  'att_animal_model:ucp1_cre',  'UCP1-Cre',  'brown adipose tissue'); </v>
      </c>
    </row>
    <row r="27" spans="1:15">
      <c r="A27" s="8" t="b">
        <f>FALSE()</f>
        <v>0</v>
      </c>
      <c r="B27" s="8"/>
      <c r="C27" s="4" t="s">
        <v>2416</v>
      </c>
      <c r="D27" s="4" t="s">
        <v>331</v>
      </c>
      <c r="E27" s="4" t="s">
        <v>13</v>
      </c>
      <c r="F27" s="4" t="s">
        <v>2395</v>
      </c>
      <c r="G27" s="4" t="s">
        <v>2396</v>
      </c>
      <c r="H27" s="4" t="str">
        <f t="shared" si="0"/>
        <v>att_animal_model</v>
      </c>
      <c r="I27" s="4" t="s">
        <v>330</v>
      </c>
      <c r="J27" s="4" t="str">
        <f t="shared" si="1"/>
        <v>att_animal_model:vil_cre</v>
      </c>
      <c r="K27" s="7" t="s">
        <v>17</v>
      </c>
      <c r="L27" s="4" t="s">
        <v>332</v>
      </c>
      <c r="M27" s="4" t="s">
        <v>13</v>
      </c>
      <c r="N27" s="4" t="str">
        <f t="shared" si="2"/>
        <v>INSERT INTO attributes (parent_id, tag, name, priority, allow_as_filter, allow_for_dataset, allow_for_measurement, allow_for_users, allow_for_qc) VALUES (NULL, 'att_animal_model',  'Animal Model',  500,  TRUE, TRUE, TRUE, FALSE, FALSE);</v>
      </c>
      <c r="O27" s="4" t="str">
        <f t="shared" si="3"/>
        <v xml:space="preserve">INSERT INTO attribute_values (attribute_id, tag, name, details) VALUES ((SELECT id FROM attributes WHERE tag = 'att_animal_model' LIMIT 1),  'att_animal_model:vil_cre',  'Vil-Cre',  'Intestinal epithelium'); </v>
      </c>
    </row>
    <row r="28" spans="1:15">
      <c r="A28" s="8" t="b">
        <f>FALSE()</f>
        <v>0</v>
      </c>
      <c r="B28" s="8"/>
      <c r="C28" s="4">
        <v>7860</v>
      </c>
      <c r="D28" s="4" t="s">
        <v>421</v>
      </c>
      <c r="E28" s="4" t="s">
        <v>13</v>
      </c>
      <c r="F28" s="4" t="s">
        <v>2417</v>
      </c>
      <c r="G28" s="4" t="s">
        <v>2418</v>
      </c>
      <c r="H28" s="4" t="str">
        <f t="shared" si="0"/>
        <v>att_celllines</v>
      </c>
      <c r="I28" s="4" t="s">
        <v>420</v>
      </c>
      <c r="J28" s="4" t="str">
        <f t="shared" si="1"/>
        <v>att_celllines:786_0</v>
      </c>
      <c r="K28" s="7" t="s">
        <v>17</v>
      </c>
      <c r="L28" s="4" t="s">
        <v>422</v>
      </c>
      <c r="M28" s="4" t="s">
        <v>2419</v>
      </c>
      <c r="N28" s="4" t="str">
        <f t="shared" si="2"/>
        <v>INSERT INTO attributes (parent_id, tag, name, priority, allow_as_filter, allow_for_dataset, allow_for_measurement, allow_for_users, allow_for_qc) VALUES (NULL, 'att_celllines',  'Celllines',  500,  TRUE, TRUE, TRUE, FALSE, FALSE);</v>
      </c>
      <c r="O28" s="4" t="str">
        <f t="shared" si="3"/>
        <v xml:space="preserve">INSERT INTO attribute_values (attribute_id, tag, name, details) VALUES ((SELECT id FROM attributes WHERE tag = 'att_celllines' LIMIT 1),  'att_celllines:786_0',  '786-0',  'Human NCI-60 cell line; Renal Cancer'); </v>
      </c>
    </row>
    <row r="29" spans="1:15">
      <c r="A29" s="8" t="b">
        <f>FALSE()</f>
        <v>0</v>
      </c>
      <c r="B29" s="8"/>
      <c r="C29" s="4" t="s">
        <v>423</v>
      </c>
      <c r="D29" s="4" t="s">
        <v>424</v>
      </c>
      <c r="E29" s="4" t="s">
        <v>13</v>
      </c>
      <c r="F29" s="4" t="s">
        <v>2417</v>
      </c>
      <c r="G29" s="4" t="s">
        <v>2418</v>
      </c>
      <c r="H29" s="4" t="str">
        <f t="shared" si="0"/>
        <v>att_celllines</v>
      </c>
      <c r="I29" s="4" t="s">
        <v>423</v>
      </c>
      <c r="J29" s="4" t="str">
        <f t="shared" si="1"/>
        <v>att_celllines:a498</v>
      </c>
      <c r="K29" s="7" t="s">
        <v>17</v>
      </c>
      <c r="L29" s="4" t="s">
        <v>422</v>
      </c>
      <c r="M29" s="4" t="s">
        <v>2419</v>
      </c>
      <c r="N29" s="4" t="str">
        <f t="shared" si="2"/>
        <v>INSERT INTO attributes (parent_id, tag, name, priority, allow_as_filter, allow_for_dataset, allow_for_measurement, allow_for_users, allow_for_qc) VALUES (NULL, 'att_celllines',  'Celllines',  500,  TRUE, TRUE, TRUE, FALSE, FALSE);</v>
      </c>
      <c r="O29" s="4" t="str">
        <f t="shared" si="3"/>
        <v xml:space="preserve">INSERT INTO attribute_values (attribute_id, tag, name, details) VALUES ((SELECT id FROM attributes WHERE tag = 'att_celllines' LIMIT 1),  'att_celllines:a498',  'A498',  'Human NCI-60 cell line; Renal Cancer'); </v>
      </c>
    </row>
    <row r="30" spans="1:15">
      <c r="A30" s="8" t="b">
        <f>FALSE()</f>
        <v>0</v>
      </c>
      <c r="B30" s="8"/>
      <c r="C30" s="4" t="s">
        <v>425</v>
      </c>
      <c r="D30" s="4" t="s">
        <v>426</v>
      </c>
      <c r="E30" s="4" t="s">
        <v>13</v>
      </c>
      <c r="F30" s="4" t="s">
        <v>2417</v>
      </c>
      <c r="G30" s="4" t="s">
        <v>2418</v>
      </c>
      <c r="H30" s="4" t="str">
        <f t="shared" si="0"/>
        <v>att_celllines</v>
      </c>
      <c r="I30" s="4" t="s">
        <v>425</v>
      </c>
      <c r="J30" s="4" t="str">
        <f t="shared" si="1"/>
        <v>att_celllines:a549</v>
      </c>
      <c r="K30" s="7" t="s">
        <v>17</v>
      </c>
      <c r="L30" s="4" t="s">
        <v>427</v>
      </c>
      <c r="M30" s="4" t="s">
        <v>2419</v>
      </c>
      <c r="N30" s="4" t="str">
        <f t="shared" si="2"/>
        <v>INSERT INTO attributes (parent_id, tag, name, priority, allow_as_filter, allow_for_dataset, allow_for_measurement, allow_for_users, allow_for_qc) VALUES (NULL, 'att_celllines',  'Celllines',  500,  TRUE, TRUE, TRUE, FALSE, FALSE);</v>
      </c>
      <c r="O30" s="4" t="str">
        <f t="shared" si="3"/>
        <v xml:space="preserve">INSERT INTO attribute_values (attribute_id, tag, name, details) VALUES ((SELECT id FROM attributes WHERE tag = 'att_celllines' LIMIT 1),  'att_celllines:a549',  'A549',  'Human NCI-60 cell line; Non-Small Cell Lung cancer'); </v>
      </c>
    </row>
    <row r="31" spans="1:15">
      <c r="A31" s="8" t="b">
        <f>FALSE()</f>
        <v>0</v>
      </c>
      <c r="B31" s="8"/>
      <c r="C31" s="4" t="s">
        <v>428</v>
      </c>
      <c r="D31" s="4" t="s">
        <v>429</v>
      </c>
      <c r="E31" s="4" t="s">
        <v>13</v>
      </c>
      <c r="F31" s="4" t="s">
        <v>2417</v>
      </c>
      <c r="G31" s="4" t="s">
        <v>2418</v>
      </c>
      <c r="H31" s="4" t="str">
        <f t="shared" si="0"/>
        <v>att_celllines</v>
      </c>
      <c r="I31" s="4" t="s">
        <v>428</v>
      </c>
      <c r="J31" s="4" t="str">
        <f t="shared" si="1"/>
        <v>att_celllines:achn</v>
      </c>
      <c r="K31" s="7" t="s">
        <v>17</v>
      </c>
      <c r="L31" s="4" t="s">
        <v>422</v>
      </c>
      <c r="M31" s="4" t="s">
        <v>2419</v>
      </c>
      <c r="N31" s="4" t="str">
        <f t="shared" si="2"/>
        <v>INSERT INTO attributes (parent_id, tag, name, priority, allow_as_filter, allow_for_dataset, allow_for_measurement, allow_for_users, allow_for_qc) VALUES (NULL, 'att_celllines',  'Celllines',  500,  TRUE, TRUE, TRUE, FALSE, FALSE);</v>
      </c>
      <c r="O31" s="4" t="str">
        <f t="shared" si="3"/>
        <v xml:space="preserve">INSERT INTO attribute_values (attribute_id, tag, name, details) VALUES ((SELECT id FROM attributes WHERE tag = 'att_celllines' LIMIT 1),  'att_celllines:achn',  'ACHN',  'Human NCI-60 cell line; Renal Cancer'); </v>
      </c>
    </row>
    <row r="32" spans="1:15">
      <c r="A32" s="8" t="b">
        <f>FALSE()</f>
        <v>0</v>
      </c>
      <c r="B32" s="8"/>
      <c r="C32" s="4" t="s">
        <v>430</v>
      </c>
      <c r="D32" s="4" t="s">
        <v>431</v>
      </c>
      <c r="E32" s="4" t="s">
        <v>13</v>
      </c>
      <c r="F32" s="4" t="s">
        <v>2417</v>
      </c>
      <c r="G32" s="4" t="s">
        <v>2418</v>
      </c>
      <c r="H32" s="4" t="str">
        <f t="shared" si="0"/>
        <v>att_celllines</v>
      </c>
      <c r="I32" s="4" t="s">
        <v>430</v>
      </c>
      <c r="J32" s="4" t="str">
        <f t="shared" si="1"/>
        <v>att_celllines:bmdc</v>
      </c>
      <c r="K32" s="7" t="s">
        <v>17</v>
      </c>
      <c r="L32" s="4" t="s">
        <v>431</v>
      </c>
      <c r="M32" s="4" t="s">
        <v>13</v>
      </c>
      <c r="N32" s="4" t="str">
        <f t="shared" si="2"/>
        <v>INSERT INTO attributes (parent_id, tag, name, priority, allow_as_filter, allow_for_dataset, allow_for_measurement, allow_for_users, allow_for_qc) VALUES (NULL, 'att_celllines',  'Celllines',  500,  TRUE, TRUE, TRUE, FALSE, FALSE);</v>
      </c>
      <c r="O32" s="4" t="str">
        <f t="shared" si="3"/>
        <v xml:space="preserve">INSERT INTO attribute_values (attribute_id, tag, name, details) VALUES ((SELECT id FROM attributes WHERE tag = 'att_celllines' LIMIT 1),  'att_celllines:bmdc',  'BMDC',  'BMDC'); </v>
      </c>
    </row>
    <row r="33" spans="1:15">
      <c r="A33" s="8" t="b">
        <f>FALSE()</f>
        <v>0</v>
      </c>
      <c r="B33" s="8"/>
      <c r="C33" s="4" t="s">
        <v>432</v>
      </c>
      <c r="D33" s="4" t="s">
        <v>433</v>
      </c>
      <c r="E33" s="4" t="s">
        <v>13</v>
      </c>
      <c r="F33" s="4" t="s">
        <v>2417</v>
      </c>
      <c r="G33" s="4" t="s">
        <v>2418</v>
      </c>
      <c r="H33" s="4" t="str">
        <f t="shared" si="0"/>
        <v>att_celllines</v>
      </c>
      <c r="I33" s="4" t="s">
        <v>432</v>
      </c>
      <c r="J33" s="4" t="str">
        <f t="shared" si="1"/>
        <v>att_celllines:bmm</v>
      </c>
      <c r="K33" s="7" t="s">
        <v>17</v>
      </c>
      <c r="L33" s="4" t="s">
        <v>434</v>
      </c>
      <c r="M33" s="4" t="s">
        <v>13</v>
      </c>
      <c r="N33" s="4" t="str">
        <f t="shared" si="2"/>
        <v>INSERT INTO attributes (parent_id, tag, name, priority, allow_as_filter, allow_for_dataset, allow_for_measurement, allow_for_users, allow_for_qc) VALUES (NULL, 'att_celllines',  'Celllines',  500,  TRUE, TRUE, TRUE, FALSE, FALSE);</v>
      </c>
      <c r="O33" s="4" t="str">
        <f t="shared" si="3"/>
        <v xml:space="preserve">INSERT INTO attribute_values (attribute_id, tag, name, details) VALUES ((SELECT id FROM attributes WHERE tag = 'att_celllines' LIMIT 1),  'att_celllines:bmm',  'BMM',  'Bone-marrow-derived macrophages'); </v>
      </c>
    </row>
    <row r="34" spans="1:15">
      <c r="A34" s="8" t="b">
        <f>FALSE()</f>
        <v>0</v>
      </c>
      <c r="B34" s="8"/>
      <c r="C34" s="4" t="s">
        <v>435</v>
      </c>
      <c r="D34" s="4" t="s">
        <v>436</v>
      </c>
      <c r="E34" s="4" t="s">
        <v>13</v>
      </c>
      <c r="F34" s="4" t="s">
        <v>2417</v>
      </c>
      <c r="G34" s="4" t="s">
        <v>2418</v>
      </c>
      <c r="H34" s="4" t="str">
        <f t="shared" si="0"/>
        <v>att_celllines</v>
      </c>
      <c r="I34" s="4" t="s">
        <v>435</v>
      </c>
      <c r="J34" s="4" t="str">
        <f t="shared" si="1"/>
        <v>att_celllines:bt549</v>
      </c>
      <c r="K34" s="7" t="s">
        <v>17</v>
      </c>
      <c r="L34" s="4" t="s">
        <v>437</v>
      </c>
      <c r="M34" s="4" t="s">
        <v>2419</v>
      </c>
      <c r="N34" s="4" t="str">
        <f t="shared" si="2"/>
        <v>INSERT INTO attributes (parent_id, tag, name, priority, allow_as_filter, allow_for_dataset, allow_for_measurement, allow_for_users, allow_for_qc) VALUES (NULL, 'att_celllines',  'Celllines',  500,  TRUE, TRUE, TRUE, FALSE, FALSE);</v>
      </c>
      <c r="O34" s="4" t="str">
        <f t="shared" si="3"/>
        <v xml:space="preserve">INSERT INTO attribute_values (attribute_id, tag, name, details) VALUES ((SELECT id FROM attributes WHERE tag = 'att_celllines' LIMIT 1),  'att_celllines:bt549',  'BT-549',  'Human NCI-60 cell line; Breast Cancer'); </v>
      </c>
    </row>
    <row r="35" spans="1:15">
      <c r="A35" s="8" t="b">
        <f>FALSE()</f>
        <v>0</v>
      </c>
      <c r="B35" s="8"/>
      <c r="C35" s="4" t="s">
        <v>438</v>
      </c>
      <c r="D35" s="4" t="s">
        <v>439</v>
      </c>
      <c r="E35" s="4" t="s">
        <v>13</v>
      </c>
      <c r="F35" s="4" t="s">
        <v>2417</v>
      </c>
      <c r="G35" s="4" t="s">
        <v>2418</v>
      </c>
      <c r="H35" s="4" t="str">
        <f t="shared" si="0"/>
        <v>att_celllines</v>
      </c>
      <c r="I35" s="4" t="s">
        <v>438</v>
      </c>
      <c r="J35" s="4" t="str">
        <f t="shared" si="1"/>
        <v>att_celllines:caki1</v>
      </c>
      <c r="K35" s="7" t="s">
        <v>17</v>
      </c>
      <c r="L35" s="4" t="s">
        <v>422</v>
      </c>
      <c r="M35" s="4" t="s">
        <v>2419</v>
      </c>
      <c r="N35" s="4" t="str">
        <f t="shared" si="2"/>
        <v>INSERT INTO attributes (parent_id, tag, name, priority, allow_as_filter, allow_for_dataset, allow_for_measurement, allow_for_users, allow_for_qc) VALUES (NULL, 'att_celllines',  'Celllines',  500,  TRUE, TRUE, TRUE, FALSE, FALSE);</v>
      </c>
      <c r="O35" s="4" t="str">
        <f t="shared" si="3"/>
        <v xml:space="preserve">INSERT INTO attribute_values (attribute_id, tag, name, details) VALUES ((SELECT id FROM attributes WHERE tag = 'att_celllines' LIMIT 1),  'att_celllines:caki1',  'CAKI-1',  'Human NCI-60 cell line; Renal Cancer'); </v>
      </c>
    </row>
    <row r="36" spans="1:15">
      <c r="A36" s="8" t="b">
        <f>FALSE()</f>
        <v>0</v>
      </c>
      <c r="B36" s="8"/>
      <c r="C36" s="4" t="s">
        <v>440</v>
      </c>
      <c r="D36" s="4" t="s">
        <v>441</v>
      </c>
      <c r="E36" s="4" t="s">
        <v>13</v>
      </c>
      <c r="F36" s="4" t="s">
        <v>2417</v>
      </c>
      <c r="G36" s="4" t="s">
        <v>2418</v>
      </c>
      <c r="H36" s="4" t="str">
        <f t="shared" si="0"/>
        <v>att_celllines</v>
      </c>
      <c r="I36" s="4" t="s">
        <v>440</v>
      </c>
      <c r="J36" s="4" t="str">
        <f t="shared" si="1"/>
        <v>att_celllines:cho</v>
      </c>
      <c r="K36" s="7" t="s">
        <v>17</v>
      </c>
      <c r="L36" s="4" t="s">
        <v>442</v>
      </c>
      <c r="M36" s="4" t="s">
        <v>2420</v>
      </c>
      <c r="N36" s="4" t="str">
        <f t="shared" si="2"/>
        <v>INSERT INTO attributes (parent_id, tag, name, priority, allow_as_filter, allow_for_dataset, allow_for_measurement, allow_for_users, allow_for_qc) VALUES (NULL, 'att_celllines',  'Celllines',  500,  TRUE, TRUE, TRUE, FALSE, FALSE);</v>
      </c>
      <c r="O36" s="4" t="str">
        <f t="shared" si="3"/>
        <v xml:space="preserve">INSERT INTO attribute_values (attribute_id, tag, name, details) VALUES ((SELECT id FROM attributes WHERE tag = 'att_celllines' LIMIT 1),  'att_celllines:cho',  'CHO',  'Chinese hamster ovary'); </v>
      </c>
    </row>
    <row r="37" spans="1:15">
      <c r="A37" s="8" t="b">
        <f>FALSE()</f>
        <v>0</v>
      </c>
      <c r="B37" s="8"/>
      <c r="C37" s="4" t="s">
        <v>443</v>
      </c>
      <c r="D37" s="4" t="s">
        <v>444</v>
      </c>
      <c r="E37" s="4" t="s">
        <v>13</v>
      </c>
      <c r="F37" s="4" t="s">
        <v>2417</v>
      </c>
      <c r="G37" s="4" t="s">
        <v>2418</v>
      </c>
      <c r="H37" s="4" t="str">
        <f t="shared" si="0"/>
        <v>att_celllines</v>
      </c>
      <c r="I37" s="4" t="s">
        <v>443</v>
      </c>
      <c r="J37" s="4" t="str">
        <f t="shared" si="1"/>
        <v>att_celllines:colo205</v>
      </c>
      <c r="K37" s="7" t="s">
        <v>17</v>
      </c>
      <c r="L37" s="4" t="s">
        <v>445</v>
      </c>
      <c r="M37" s="4" t="s">
        <v>2419</v>
      </c>
      <c r="N37" s="4" t="str">
        <f t="shared" si="2"/>
        <v>INSERT INTO attributes (parent_id, tag, name, priority, allow_as_filter, allow_for_dataset, allow_for_measurement, allow_for_users, allow_for_qc) VALUES (NULL, 'att_celllines',  'Celllines',  500,  TRUE, TRUE, TRUE, FALSE, FALSE);</v>
      </c>
      <c r="O37" s="4" t="str">
        <f t="shared" si="3"/>
        <v xml:space="preserve">INSERT INTO attribute_values (attribute_id, tag, name, details) VALUES ((SELECT id FROM attributes WHERE tag = 'att_celllines' LIMIT 1),  'att_celllines:colo205',  'COLO205',  'Human NCI-60 cell line; Colon cancer'); </v>
      </c>
    </row>
    <row r="38" spans="1:15">
      <c r="A38" s="8" t="b">
        <f>FALSE()</f>
        <v>0</v>
      </c>
      <c r="B38" s="8"/>
      <c r="C38" s="4" t="s">
        <v>446</v>
      </c>
      <c r="D38" s="4" t="s">
        <v>447</v>
      </c>
      <c r="E38" s="4" t="s">
        <v>13</v>
      </c>
      <c r="F38" s="4" t="s">
        <v>2417</v>
      </c>
      <c r="G38" s="4" t="s">
        <v>2418</v>
      </c>
      <c r="H38" s="4" t="str">
        <f t="shared" si="0"/>
        <v>att_celllines</v>
      </c>
      <c r="I38" s="4" t="s">
        <v>446</v>
      </c>
      <c r="J38" s="4" t="str">
        <f t="shared" si="1"/>
        <v>att_celllines:crfcem</v>
      </c>
      <c r="K38" s="7" t="s">
        <v>17</v>
      </c>
      <c r="L38" s="4" t="s">
        <v>448</v>
      </c>
      <c r="M38" s="4" t="s">
        <v>2419</v>
      </c>
      <c r="N38" s="4" t="str">
        <f t="shared" si="2"/>
        <v>INSERT INTO attributes (parent_id, tag, name, priority, allow_as_filter, allow_for_dataset, allow_for_measurement, allow_for_users, allow_for_qc) VALUES (NULL, 'att_celllines',  'Celllines',  500,  TRUE, TRUE, TRUE, FALSE, FALSE);</v>
      </c>
      <c r="O38" s="4" t="str">
        <f t="shared" si="3"/>
        <v xml:space="preserve">INSERT INTO attribute_values (attribute_id, tag, name, details) VALUES ((SELECT id FROM attributes WHERE tag = 'att_celllines' LIMIT 1),  'att_celllines:crfcem',  'CRF-CEM',  'Human NCI-60 cell line; Leukemia'); </v>
      </c>
    </row>
    <row r="39" spans="1:15">
      <c r="A39" s="8" t="b">
        <f>FALSE()</f>
        <v>0</v>
      </c>
      <c r="B39" s="8"/>
      <c r="C39" s="4" t="s">
        <v>449</v>
      </c>
      <c r="D39" s="4" t="s">
        <v>450</v>
      </c>
      <c r="E39" s="4" t="s">
        <v>13</v>
      </c>
      <c r="F39" s="4" t="s">
        <v>2417</v>
      </c>
      <c r="G39" s="4" t="s">
        <v>2418</v>
      </c>
      <c r="H39" s="4" t="str">
        <f t="shared" si="0"/>
        <v>att_celllines</v>
      </c>
      <c r="I39" s="4" t="s">
        <v>449</v>
      </c>
      <c r="J39" s="4" t="str">
        <f t="shared" si="1"/>
        <v>att_celllines:du145</v>
      </c>
      <c r="K39" s="7" t="s">
        <v>17</v>
      </c>
      <c r="L39" s="4" t="s">
        <v>451</v>
      </c>
      <c r="M39" s="4" t="s">
        <v>2419</v>
      </c>
      <c r="N39" s="4" t="str">
        <f t="shared" si="2"/>
        <v>INSERT INTO attributes (parent_id, tag, name, priority, allow_as_filter, allow_for_dataset, allow_for_measurement, allow_for_users, allow_for_qc) VALUES (NULL, 'att_celllines',  'Celllines',  500,  TRUE, TRUE, TRUE, FALSE, FALSE);</v>
      </c>
      <c r="O39" s="4" t="str">
        <f t="shared" si="3"/>
        <v xml:space="preserve">INSERT INTO attribute_values (attribute_id, tag, name, details) VALUES ((SELECT id FROM attributes WHERE tag = 'att_celllines' LIMIT 1),  'att_celllines:du145',  'DU-145',  'Human NCI-60 cell line; Prostate Cancer'); </v>
      </c>
    </row>
    <row r="40" spans="1:15">
      <c r="A40" s="8" t="b">
        <f>FALSE()</f>
        <v>0</v>
      </c>
      <c r="B40" s="8"/>
      <c r="C40" s="4" t="s">
        <v>452</v>
      </c>
      <c r="D40" s="4" t="s">
        <v>453</v>
      </c>
      <c r="E40" s="4" t="s">
        <v>13</v>
      </c>
      <c r="F40" s="4" t="s">
        <v>2417</v>
      </c>
      <c r="G40" s="4" t="s">
        <v>2418</v>
      </c>
      <c r="H40" s="4" t="str">
        <f t="shared" si="0"/>
        <v>att_celllines</v>
      </c>
      <c r="I40" s="4" t="s">
        <v>452</v>
      </c>
      <c r="J40" s="4" t="str">
        <f t="shared" si="1"/>
        <v>att_celllines:ekvx</v>
      </c>
      <c r="K40" s="7" t="s">
        <v>17</v>
      </c>
      <c r="L40" s="4" t="s">
        <v>427</v>
      </c>
      <c r="M40" s="4" t="s">
        <v>2419</v>
      </c>
      <c r="N40" s="4" t="str">
        <f t="shared" si="2"/>
        <v>INSERT INTO attributes (parent_id, tag, name, priority, allow_as_filter, allow_for_dataset, allow_for_measurement, allow_for_users, allow_for_qc) VALUES (NULL, 'att_celllines',  'Celllines',  500,  TRUE, TRUE, TRUE, FALSE, FALSE);</v>
      </c>
      <c r="O40" s="4" t="str">
        <f t="shared" si="3"/>
        <v xml:space="preserve">INSERT INTO attribute_values (attribute_id, tag, name, details) VALUES ((SELECT id FROM attributes WHERE tag = 'att_celllines' LIMIT 1),  'att_celllines:ekvx',  'EKVX',  'Human NCI-60 cell line; Non-Small Cell Lung cancer'); </v>
      </c>
    </row>
    <row r="41" spans="1:15">
      <c r="A41" s="8" t="b">
        <f>FALSE()</f>
        <v>0</v>
      </c>
      <c r="B41" s="8"/>
      <c r="C41" s="4" t="s">
        <v>454</v>
      </c>
      <c r="D41" s="4" t="s">
        <v>455</v>
      </c>
      <c r="E41" s="4" t="s">
        <v>13</v>
      </c>
      <c r="F41" s="4" t="s">
        <v>2417</v>
      </c>
      <c r="G41" s="4" t="s">
        <v>2418</v>
      </c>
      <c r="H41" s="4" t="str">
        <f t="shared" si="0"/>
        <v>att_celllines</v>
      </c>
      <c r="I41" s="4" t="s">
        <v>454</v>
      </c>
      <c r="J41" s="4" t="str">
        <f t="shared" si="1"/>
        <v>att_celllines:hcc2998</v>
      </c>
      <c r="K41" s="7" t="s">
        <v>17</v>
      </c>
      <c r="L41" s="4" t="s">
        <v>445</v>
      </c>
      <c r="M41" s="4" t="s">
        <v>2419</v>
      </c>
      <c r="N41" s="4" t="str">
        <f t="shared" si="2"/>
        <v>INSERT INTO attributes (parent_id, tag, name, priority, allow_as_filter, allow_for_dataset, allow_for_measurement, allow_for_users, allow_for_qc) VALUES (NULL, 'att_celllines',  'Celllines',  500,  TRUE, TRUE, TRUE, FALSE, FALSE);</v>
      </c>
      <c r="O41" s="4" t="str">
        <f t="shared" si="3"/>
        <v xml:space="preserve">INSERT INTO attribute_values (attribute_id, tag, name, details) VALUES ((SELECT id FROM attributes WHERE tag = 'att_celllines' LIMIT 1),  'att_celllines:hcc2998',  'HCC-2998',  'Human NCI-60 cell line; Colon cancer'); </v>
      </c>
    </row>
    <row r="42" spans="1:15">
      <c r="A42" s="8" t="b">
        <f>FALSE()</f>
        <v>0</v>
      </c>
      <c r="B42" s="8"/>
      <c r="C42" s="4" t="s">
        <v>456</v>
      </c>
      <c r="D42" s="4" t="s">
        <v>457</v>
      </c>
      <c r="E42" s="4" t="s">
        <v>13</v>
      </c>
      <c r="F42" s="4" t="s">
        <v>2417</v>
      </c>
      <c r="G42" s="4" t="s">
        <v>2418</v>
      </c>
      <c r="H42" s="4" t="str">
        <f t="shared" si="0"/>
        <v>att_celllines</v>
      </c>
      <c r="I42" s="4" t="s">
        <v>456</v>
      </c>
      <c r="J42" s="4" t="str">
        <f t="shared" si="1"/>
        <v>att_celllines:hct116</v>
      </c>
      <c r="K42" s="7" t="s">
        <v>17</v>
      </c>
      <c r="L42" s="4" t="s">
        <v>445</v>
      </c>
      <c r="M42" s="4" t="s">
        <v>2419</v>
      </c>
      <c r="N42" s="4" t="str">
        <f t="shared" si="2"/>
        <v>INSERT INTO attributes (parent_id, tag, name, priority, allow_as_filter, allow_for_dataset, allow_for_measurement, allow_for_users, allow_for_qc) VALUES (NULL, 'att_celllines',  'Celllines',  500,  TRUE, TRUE, TRUE, FALSE, FALSE);</v>
      </c>
      <c r="O42" s="4" t="str">
        <f t="shared" si="3"/>
        <v xml:space="preserve">INSERT INTO attribute_values (attribute_id, tag, name, details) VALUES ((SELECT id FROM attributes WHERE tag = 'att_celllines' LIMIT 1),  'att_celllines:hct116',  'HCT-116',  'Human NCI-60 cell line; Colon cancer'); </v>
      </c>
    </row>
    <row r="43" spans="1:15">
      <c r="A43" s="8" t="b">
        <f>FALSE()</f>
        <v>0</v>
      </c>
      <c r="B43" s="8"/>
      <c r="C43" s="4" t="s">
        <v>458</v>
      </c>
      <c r="D43" s="4" t="s">
        <v>459</v>
      </c>
      <c r="E43" s="4" t="s">
        <v>13</v>
      </c>
      <c r="F43" s="4" t="s">
        <v>2417</v>
      </c>
      <c r="G43" s="4" t="s">
        <v>2418</v>
      </c>
      <c r="H43" s="4" t="str">
        <f t="shared" si="0"/>
        <v>att_celllines</v>
      </c>
      <c r="I43" s="4" t="s">
        <v>458</v>
      </c>
      <c r="J43" s="4" t="str">
        <f t="shared" si="1"/>
        <v>att_celllines:hct15</v>
      </c>
      <c r="K43" s="7" t="s">
        <v>17</v>
      </c>
      <c r="L43" s="4" t="s">
        <v>445</v>
      </c>
      <c r="M43" s="4" t="s">
        <v>2419</v>
      </c>
      <c r="N43" s="4" t="str">
        <f t="shared" si="2"/>
        <v>INSERT INTO attributes (parent_id, tag, name, priority, allow_as_filter, allow_for_dataset, allow_for_measurement, allow_for_users, allow_for_qc) VALUES (NULL, 'att_celllines',  'Celllines',  500,  TRUE, TRUE, TRUE, FALSE, FALSE);</v>
      </c>
      <c r="O43" s="4" t="str">
        <f t="shared" si="3"/>
        <v xml:space="preserve">INSERT INTO attribute_values (attribute_id, tag, name, details) VALUES ((SELECT id FROM attributes WHERE tag = 'att_celllines' LIMIT 1),  'att_celllines:hct15',  'HCT-15',  'Human NCI-60 cell line; Colon cancer'); </v>
      </c>
    </row>
    <row r="44" spans="1:15">
      <c r="A44" s="8" t="b">
        <f>FALSE()</f>
        <v>0</v>
      </c>
      <c r="B44" s="8"/>
      <c r="C44" s="4" t="s">
        <v>460</v>
      </c>
      <c r="D44" s="4" t="s">
        <v>461</v>
      </c>
      <c r="E44" s="4" t="s">
        <v>13</v>
      </c>
      <c r="F44" s="4" t="s">
        <v>2417</v>
      </c>
      <c r="G44" s="4" t="s">
        <v>2418</v>
      </c>
      <c r="H44" s="4" t="str">
        <f t="shared" si="0"/>
        <v>att_celllines</v>
      </c>
      <c r="I44" s="4" t="s">
        <v>460</v>
      </c>
      <c r="J44" s="4" t="str">
        <f t="shared" si="1"/>
        <v>att_celllines:hek293</v>
      </c>
      <c r="K44" s="7" t="s">
        <v>17</v>
      </c>
      <c r="L44" s="4" t="s">
        <v>462</v>
      </c>
      <c r="M44" s="4" t="s">
        <v>2420</v>
      </c>
      <c r="N44" s="4" t="str">
        <f t="shared" si="2"/>
        <v>INSERT INTO attributes (parent_id, tag, name, priority, allow_as_filter, allow_for_dataset, allow_for_measurement, allow_for_users, allow_for_qc) VALUES (NULL, 'att_celllines',  'Celllines',  500,  TRUE, TRUE, TRUE, FALSE, FALSE);</v>
      </c>
      <c r="O44" s="4" t="str">
        <f t="shared" si="3"/>
        <v xml:space="preserve">INSERT INTO attribute_values (attribute_id, tag, name, details) VALUES ((SELECT id FROM attributes WHERE tag = 'att_celllines' LIMIT 1),  'att_celllines:hek293',  'HEK293',  'Human Embryonic Kidney cancer cells; epithelial'); </v>
      </c>
    </row>
    <row r="45" spans="1:15">
      <c r="A45" s="8" t="b">
        <f>FALSE()</f>
        <v>0</v>
      </c>
      <c r="B45" s="8"/>
      <c r="C45" s="4" t="s">
        <v>463</v>
      </c>
      <c r="D45" s="4" t="s">
        <v>464</v>
      </c>
      <c r="E45" s="4" t="s">
        <v>13</v>
      </c>
      <c r="F45" s="4" t="s">
        <v>2417</v>
      </c>
      <c r="G45" s="4" t="s">
        <v>2418</v>
      </c>
      <c r="H45" s="4" t="str">
        <f t="shared" si="0"/>
        <v>att_celllines</v>
      </c>
      <c r="I45" s="4" t="s">
        <v>463</v>
      </c>
      <c r="J45" s="4" t="str">
        <f t="shared" si="1"/>
        <v>att_celllines:hek293t</v>
      </c>
      <c r="K45" s="7" t="s">
        <v>17</v>
      </c>
      <c r="L45" s="4" t="s">
        <v>465</v>
      </c>
      <c r="M45" s="4" t="s">
        <v>2420</v>
      </c>
      <c r="N45" s="4" t="str">
        <f t="shared" si="2"/>
        <v>INSERT INTO attributes (parent_id, tag, name, priority, allow_as_filter, allow_for_dataset, allow_for_measurement, allow_for_users, allow_for_qc) VALUES (NULL, 'att_celllines',  'Celllines',  500,  TRUE, TRUE, TRUE, FALSE, FALSE);</v>
      </c>
      <c r="O45" s="4"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c r="A46" s="8" t="b">
        <f>FALSE()</f>
        <v>0</v>
      </c>
      <c r="B46" s="8"/>
      <c r="C46" s="4" t="s">
        <v>466</v>
      </c>
      <c r="D46" s="4" t="s">
        <v>467</v>
      </c>
      <c r="E46" s="4" t="s">
        <v>13</v>
      </c>
      <c r="F46" s="4" t="s">
        <v>2417</v>
      </c>
      <c r="G46" s="4" t="s">
        <v>2418</v>
      </c>
      <c r="H46" s="4" t="str">
        <f t="shared" si="0"/>
        <v>att_celllines</v>
      </c>
      <c r="I46" s="4" t="s">
        <v>466</v>
      </c>
      <c r="J46" s="4" t="str">
        <f t="shared" si="1"/>
        <v>att_celllines:hela</v>
      </c>
      <c r="K46" s="7" t="s">
        <v>17</v>
      </c>
      <c r="L46" s="4" t="s">
        <v>468</v>
      </c>
      <c r="M46" s="4" t="s">
        <v>2420</v>
      </c>
      <c r="N46" s="4" t="str">
        <f t="shared" si="2"/>
        <v>INSERT INTO attributes (parent_id, tag, name, priority, allow_as_filter, allow_for_dataset, allow_for_measurement, allow_for_users, allow_for_qc) VALUES (NULL, 'att_celllines',  'Celllines',  500,  TRUE, TRUE, TRUE, FALSE, FALSE);</v>
      </c>
      <c r="O46" s="4" t="str">
        <f t="shared" si="3"/>
        <v xml:space="preserve">INSERT INTO attribute_values (attribute_id, tag, name, details) VALUES ((SELECT id FROM attributes WHERE tag = 'att_celllines' LIMIT 1),  'att_celllines:hela',  'HeLa',  'Human epithelial cell; cervical cancer; Henrietta Lacks'); </v>
      </c>
    </row>
    <row r="47" spans="1:15">
      <c r="A47" s="8" t="b">
        <f>FALSE()</f>
        <v>0</v>
      </c>
      <c r="B47" s="8"/>
      <c r="C47" s="4" t="s">
        <v>469</v>
      </c>
      <c r="D47" s="4" t="s">
        <v>470</v>
      </c>
      <c r="E47" s="4" t="s">
        <v>13</v>
      </c>
      <c r="F47" s="4" t="s">
        <v>2417</v>
      </c>
      <c r="G47" s="4" t="s">
        <v>2418</v>
      </c>
      <c r="H47" s="4" t="str">
        <f t="shared" si="0"/>
        <v>att_celllines</v>
      </c>
      <c r="I47" s="4" t="s">
        <v>469</v>
      </c>
      <c r="J47" s="4" t="str">
        <f t="shared" si="1"/>
        <v>att_celllines:hl60</v>
      </c>
      <c r="K47" s="7" t="s">
        <v>17</v>
      </c>
      <c r="L47" s="4" t="s">
        <v>448</v>
      </c>
      <c r="M47" s="4" t="s">
        <v>2419</v>
      </c>
      <c r="N47" s="4" t="str">
        <f t="shared" si="2"/>
        <v>INSERT INTO attributes (parent_id, tag, name, priority, allow_as_filter, allow_for_dataset, allow_for_measurement, allow_for_users, allow_for_qc) VALUES (NULL, 'att_celllines',  'Celllines',  500,  TRUE, TRUE, TRUE, FALSE, FALSE);</v>
      </c>
      <c r="O47" s="4" t="str">
        <f t="shared" si="3"/>
        <v xml:space="preserve">INSERT INTO attribute_values (attribute_id, tag, name, details) VALUES ((SELECT id FROM attributes WHERE tag = 'att_celllines' LIMIT 1),  'att_celllines:hl60',  'HL-60',  'Human NCI-60 cell line; Leukemia'); </v>
      </c>
    </row>
    <row r="48" spans="1:15">
      <c r="A48" s="8" t="b">
        <f>FALSE()</f>
        <v>0</v>
      </c>
      <c r="B48" s="8"/>
      <c r="C48" s="4" t="s">
        <v>471</v>
      </c>
      <c r="D48" s="4" t="s">
        <v>472</v>
      </c>
      <c r="E48" s="4" t="s">
        <v>13</v>
      </c>
      <c r="F48" s="4" t="s">
        <v>2417</v>
      </c>
      <c r="G48" s="4" t="s">
        <v>2418</v>
      </c>
      <c r="H48" s="4" t="str">
        <f t="shared" si="0"/>
        <v>att_celllines</v>
      </c>
      <c r="I48" s="4" t="s">
        <v>471</v>
      </c>
      <c r="J48" s="4" t="str">
        <f t="shared" si="1"/>
        <v>att_celllines:hop62</v>
      </c>
      <c r="K48" s="7" t="s">
        <v>17</v>
      </c>
      <c r="L48" s="4" t="s">
        <v>427</v>
      </c>
      <c r="M48" s="4" t="s">
        <v>2419</v>
      </c>
      <c r="N48" s="4" t="str">
        <f t="shared" si="2"/>
        <v>INSERT INTO attributes (parent_id, tag, name, priority, allow_as_filter, allow_for_dataset, allow_for_measurement, allow_for_users, allow_for_qc) VALUES (NULL, 'att_celllines',  'Celllines',  500,  TRUE, TRUE, TRUE, FALSE, FALSE);</v>
      </c>
      <c r="O48" s="4" t="str">
        <f t="shared" si="3"/>
        <v xml:space="preserve">INSERT INTO attribute_values (attribute_id, tag, name, details) VALUES ((SELECT id FROM attributes WHERE tag = 'att_celllines' LIMIT 1),  'att_celllines:hop62',  'HOP-62',  'Human NCI-60 cell line; Non-Small Cell Lung cancer'); </v>
      </c>
    </row>
    <row r="49" spans="1:15">
      <c r="A49" s="8" t="b">
        <f>FALSE()</f>
        <v>0</v>
      </c>
      <c r="B49" s="8"/>
      <c r="C49" s="4" t="s">
        <v>473</v>
      </c>
      <c r="D49" s="4" t="s">
        <v>474</v>
      </c>
      <c r="E49" s="4" t="s">
        <v>13</v>
      </c>
      <c r="F49" s="4" t="s">
        <v>2417</v>
      </c>
      <c r="G49" s="4" t="s">
        <v>2418</v>
      </c>
      <c r="H49" s="4" t="str">
        <f t="shared" si="0"/>
        <v>att_celllines</v>
      </c>
      <c r="I49" s="4" t="s">
        <v>473</v>
      </c>
      <c r="J49" s="4" t="str">
        <f t="shared" si="1"/>
        <v>att_celllines:hop92</v>
      </c>
      <c r="K49" s="7" t="s">
        <v>17</v>
      </c>
      <c r="L49" s="4" t="s">
        <v>427</v>
      </c>
      <c r="M49" s="4" t="s">
        <v>2419</v>
      </c>
      <c r="N49" s="4" t="str">
        <f t="shared" si="2"/>
        <v>INSERT INTO attributes (parent_id, tag, name, priority, allow_as_filter, allow_for_dataset, allow_for_measurement, allow_for_users, allow_for_qc) VALUES (NULL, 'att_celllines',  'Celllines',  500,  TRUE, TRUE, TRUE, FALSE, FALSE);</v>
      </c>
      <c r="O49" s="4" t="str">
        <f t="shared" si="3"/>
        <v xml:space="preserve">INSERT INTO attribute_values (attribute_id, tag, name, details) VALUES ((SELECT id FROM attributes WHERE tag = 'att_celllines' LIMIT 1),  'att_celllines:hop92',  'HOP-92',  'Human NCI-60 cell line; Non-Small Cell Lung cancer'); </v>
      </c>
    </row>
    <row r="50" spans="1:15">
      <c r="A50" s="8" t="b">
        <f>FALSE()</f>
        <v>0</v>
      </c>
      <c r="B50" s="8"/>
      <c r="C50" s="4" t="s">
        <v>475</v>
      </c>
      <c r="D50" s="4" t="s">
        <v>476</v>
      </c>
      <c r="E50" s="4" t="s">
        <v>13</v>
      </c>
      <c r="F50" s="4" t="s">
        <v>2417</v>
      </c>
      <c r="G50" s="4" t="s">
        <v>2418</v>
      </c>
      <c r="H50" s="4" t="str">
        <f t="shared" si="0"/>
        <v>att_celllines</v>
      </c>
      <c r="I50" s="4" t="s">
        <v>475</v>
      </c>
      <c r="J50" s="4" t="str">
        <f t="shared" si="1"/>
        <v>att_celllines:hs578t</v>
      </c>
      <c r="K50" s="7" t="s">
        <v>17</v>
      </c>
      <c r="L50" s="4" t="s">
        <v>437</v>
      </c>
      <c r="M50" s="4" t="s">
        <v>2419</v>
      </c>
      <c r="N50" s="4" t="str">
        <f t="shared" si="2"/>
        <v>INSERT INTO attributes (parent_id, tag, name, priority, allow_as_filter, allow_for_dataset, allow_for_measurement, allow_for_users, allow_for_qc) VALUES (NULL, 'att_celllines',  'Celllines',  500,  TRUE, TRUE, TRUE, FALSE, FALSE);</v>
      </c>
      <c r="O50" s="4" t="str">
        <f t="shared" si="3"/>
        <v xml:space="preserve">INSERT INTO attribute_values (attribute_id, tag, name, details) VALUES ((SELECT id FROM attributes WHERE tag = 'att_celllines' LIMIT 1),  'att_celllines:hs578t',  'HS 578T',  'Human NCI-60 cell line; Breast Cancer'); </v>
      </c>
    </row>
    <row r="51" spans="1:15">
      <c r="A51" s="8" t="b">
        <f>FALSE()</f>
        <v>0</v>
      </c>
      <c r="B51" s="8"/>
      <c r="C51" s="4" t="s">
        <v>477</v>
      </c>
      <c r="D51" s="4" t="s">
        <v>478</v>
      </c>
      <c r="E51" s="4" t="s">
        <v>13</v>
      </c>
      <c r="F51" s="4" t="s">
        <v>2417</v>
      </c>
      <c r="G51" s="4" t="s">
        <v>2418</v>
      </c>
      <c r="H51" s="4" t="str">
        <f t="shared" si="0"/>
        <v>att_celllines</v>
      </c>
      <c r="I51" s="4" t="s">
        <v>477</v>
      </c>
      <c r="J51" s="4" t="str">
        <f t="shared" si="1"/>
        <v>att_celllines:ht29</v>
      </c>
      <c r="K51" s="7" t="s">
        <v>17</v>
      </c>
      <c r="L51" s="4" t="s">
        <v>445</v>
      </c>
      <c r="M51" s="4" t="s">
        <v>2419</v>
      </c>
      <c r="N51" s="4" t="str">
        <f t="shared" si="2"/>
        <v>INSERT INTO attributes (parent_id, tag, name, priority, allow_as_filter, allow_for_dataset, allow_for_measurement, allow_for_users, allow_for_qc) VALUES (NULL, 'att_celllines',  'Celllines',  500,  TRUE, TRUE, TRUE, FALSE, FALSE);</v>
      </c>
      <c r="O51" s="4" t="str">
        <f t="shared" si="3"/>
        <v xml:space="preserve">INSERT INTO attribute_values (attribute_id, tag, name, details) VALUES ((SELECT id FROM attributes WHERE tag = 'att_celllines' LIMIT 1),  'att_celllines:ht29',  'HT29',  'Human NCI-60 cell line; Colon cancer'); </v>
      </c>
    </row>
    <row r="52" spans="1:15">
      <c r="A52" s="8" t="b">
        <f>FALSE()</f>
        <v>0</v>
      </c>
      <c r="B52" s="8"/>
      <c r="C52" s="4" t="s">
        <v>479</v>
      </c>
      <c r="D52" s="4" t="s">
        <v>480</v>
      </c>
      <c r="E52" s="4" t="s">
        <v>13</v>
      </c>
      <c r="F52" s="4" t="s">
        <v>2417</v>
      </c>
      <c r="G52" s="4" t="s">
        <v>2418</v>
      </c>
      <c r="H52" s="4" t="str">
        <f t="shared" si="0"/>
        <v>att_celllines</v>
      </c>
      <c r="I52" s="4" t="s">
        <v>479</v>
      </c>
      <c r="J52" s="4" t="str">
        <f t="shared" si="1"/>
        <v>att_celllines:igrov1</v>
      </c>
      <c r="K52" s="7" t="s">
        <v>17</v>
      </c>
      <c r="L52" s="4" t="s">
        <v>481</v>
      </c>
      <c r="M52" s="4" t="s">
        <v>2419</v>
      </c>
      <c r="N52" s="4" t="str">
        <f t="shared" si="2"/>
        <v>INSERT INTO attributes (parent_id, tag, name, priority, allow_as_filter, allow_for_dataset, allow_for_measurement, allow_for_users, allow_for_qc) VALUES (NULL, 'att_celllines',  'Celllines',  500,  TRUE, TRUE, TRUE, FALSE, FALSE);</v>
      </c>
      <c r="O52" s="4" t="str">
        <f t="shared" si="3"/>
        <v xml:space="preserve">INSERT INTO attribute_values (attribute_id, tag, name, details) VALUES ((SELECT id FROM attributes WHERE tag = 'att_celllines' LIMIT 1),  'att_celllines:igrov1',  'IGR-OV1',  'Human NCI-60 cell line; Ovarian Cancer'); </v>
      </c>
    </row>
    <row r="53" spans="1:15">
      <c r="A53" s="8" t="b">
        <f>FALSE()</f>
        <v>0</v>
      </c>
      <c r="B53" s="8"/>
      <c r="C53" s="4" t="s">
        <v>485</v>
      </c>
      <c r="D53" s="4" t="s">
        <v>486</v>
      </c>
      <c r="E53" s="4" t="s">
        <v>13</v>
      </c>
      <c r="F53" s="4" t="s">
        <v>2417</v>
      </c>
      <c r="G53" s="4" t="s">
        <v>2418</v>
      </c>
      <c r="H53" s="4" t="str">
        <f t="shared" si="0"/>
        <v>att_celllines</v>
      </c>
      <c r="I53" s="4" t="s">
        <v>485</v>
      </c>
      <c r="J53" s="4" t="str">
        <f t="shared" si="1"/>
        <v>att_celllines:jeko1</v>
      </c>
      <c r="K53" s="7" t="s">
        <v>17</v>
      </c>
      <c r="L53" s="4" t="s">
        <v>487</v>
      </c>
      <c r="M53" s="4" t="s">
        <v>13</v>
      </c>
      <c r="N53" s="4" t="str">
        <f t="shared" si="2"/>
        <v>INSERT INTO attributes (parent_id, tag, name, priority, allow_as_filter, allow_for_dataset, allow_for_measurement, allow_for_users, allow_for_qc) VALUES (NULL, 'att_celllines',  'Celllines',  500,  TRUE, TRUE, TRUE, FALSE, FALSE);</v>
      </c>
      <c r="O53" s="4" t="str">
        <f t="shared" si="3"/>
        <v xml:space="preserve">INSERT INTO attribute_values (attribute_id, tag, name, details) VALUES ((SELECT id FROM attributes WHERE tag = 'att_celllines' LIMIT 1),  'att_celllines:jeko1',  'JeKo-1',  'Human Mantle cell lymphoma'); </v>
      </c>
    </row>
    <row r="54" spans="1:15">
      <c r="A54" s="8" t="b">
        <f>FALSE()</f>
        <v>0</v>
      </c>
      <c r="B54" s="8"/>
      <c r="C54" s="4" t="s">
        <v>488</v>
      </c>
      <c r="D54" s="4" t="s">
        <v>489</v>
      </c>
      <c r="E54" s="4" t="s">
        <v>13</v>
      </c>
      <c r="F54" s="4" t="s">
        <v>2417</v>
      </c>
      <c r="G54" s="4" t="s">
        <v>2418</v>
      </c>
      <c r="H54" s="4" t="str">
        <f t="shared" si="0"/>
        <v>att_celllines</v>
      </c>
      <c r="I54" s="4" t="s">
        <v>488</v>
      </c>
      <c r="J54" s="4" t="str">
        <f t="shared" si="1"/>
        <v>att_celllines:jurkat</v>
      </c>
      <c r="K54" s="7" t="s">
        <v>17</v>
      </c>
      <c r="L54" s="4" t="s">
        <v>490</v>
      </c>
      <c r="M54" s="4" t="s">
        <v>13</v>
      </c>
      <c r="N54" s="4" t="str">
        <f t="shared" si="2"/>
        <v>INSERT INTO attributes (parent_id, tag, name, priority, allow_as_filter, allow_for_dataset, allow_for_measurement, allow_for_users, allow_for_qc) VALUES (NULL, 'att_celllines',  'Celllines',  500,  TRUE, TRUE, TRUE, FALSE, FALSE);</v>
      </c>
      <c r="O54" s="4" t="str">
        <f t="shared" si="3"/>
        <v xml:space="preserve">INSERT INTO attribute_values (attribute_id, tag, name, details) VALUES ((SELECT id FROM attributes WHERE tag = 'att_celllines' LIMIT 1),  'att_celllines:jurkat',  'JURKAT',  'Acute T cell leukemia; human T lymphocytes'); </v>
      </c>
    </row>
    <row r="55" spans="1:15">
      <c r="A55" s="8" t="b">
        <f>FALSE()</f>
        <v>0</v>
      </c>
      <c r="B55" s="8"/>
      <c r="C55" s="4" t="s">
        <v>491</v>
      </c>
      <c r="D55" s="4" t="s">
        <v>492</v>
      </c>
      <c r="E55" s="4" t="s">
        <v>13</v>
      </c>
      <c r="F55" s="4" t="s">
        <v>2417</v>
      </c>
      <c r="G55" s="4" t="s">
        <v>2418</v>
      </c>
      <c r="H55" s="4" t="str">
        <f t="shared" si="0"/>
        <v>att_celllines</v>
      </c>
      <c r="I55" s="4" t="s">
        <v>491</v>
      </c>
      <c r="J55" s="4" t="str">
        <f t="shared" si="1"/>
        <v>att_celllines:jvm13</v>
      </c>
      <c r="K55" s="7" t="s">
        <v>17</v>
      </c>
      <c r="L55" s="4" t="s">
        <v>487</v>
      </c>
      <c r="M55" s="4" t="s">
        <v>13</v>
      </c>
      <c r="N55" s="4" t="str">
        <f t="shared" si="2"/>
        <v>INSERT INTO attributes (parent_id, tag, name, priority, allow_as_filter, allow_for_dataset, allow_for_measurement, allow_for_users, allow_for_qc) VALUES (NULL, 'att_celllines',  'Celllines',  500,  TRUE, TRUE, TRUE, FALSE, FALSE);</v>
      </c>
      <c r="O55" s="4" t="str">
        <f t="shared" si="3"/>
        <v xml:space="preserve">INSERT INTO attribute_values (attribute_id, tag, name, details) VALUES ((SELECT id FROM attributes WHERE tag = 'att_celllines' LIMIT 1),  'att_celllines:jvm13',  'JVM-13',  'Human Mantle cell lymphoma'); </v>
      </c>
    </row>
    <row r="56" spans="1:15">
      <c r="A56" s="8" t="b">
        <f>FALSE()</f>
        <v>0</v>
      </c>
      <c r="B56" s="8"/>
      <c r="C56" s="4" t="s">
        <v>493</v>
      </c>
      <c r="D56" s="4" t="s">
        <v>494</v>
      </c>
      <c r="E56" s="4" t="s">
        <v>13</v>
      </c>
      <c r="F56" s="4" t="s">
        <v>2417</v>
      </c>
      <c r="G56" s="4" t="s">
        <v>2418</v>
      </c>
      <c r="H56" s="4" t="str">
        <f t="shared" si="0"/>
        <v>att_celllines</v>
      </c>
      <c r="I56" s="4" t="s">
        <v>493</v>
      </c>
      <c r="J56" s="4" t="str">
        <f t="shared" si="1"/>
        <v>att_celllines:jvm2</v>
      </c>
      <c r="K56" s="7" t="s">
        <v>17</v>
      </c>
      <c r="L56" s="4" t="s">
        <v>487</v>
      </c>
      <c r="M56" s="4" t="s">
        <v>13</v>
      </c>
      <c r="N56" s="4" t="str">
        <f t="shared" si="2"/>
        <v>INSERT INTO attributes (parent_id, tag, name, priority, allow_as_filter, allow_for_dataset, allow_for_measurement, allow_for_users, allow_for_qc) VALUES (NULL, 'att_celllines',  'Celllines',  500,  TRUE, TRUE, TRUE, FALSE, FALSE);</v>
      </c>
      <c r="O56" s="4" t="str">
        <f t="shared" si="3"/>
        <v xml:space="preserve">INSERT INTO attribute_values (attribute_id, tag, name, details) VALUES ((SELECT id FROM attributes WHERE tag = 'att_celllines' LIMIT 1),  'att_celllines:jvm2',  'JVM-2',  'Human Mantle cell lymphoma'); </v>
      </c>
    </row>
    <row r="57" spans="1:15">
      <c r="A57" s="8" t="b">
        <f>FALSE()</f>
        <v>0</v>
      </c>
      <c r="B57" s="8"/>
      <c r="C57" s="4" t="s">
        <v>495</v>
      </c>
      <c r="D57" s="4" t="s">
        <v>496</v>
      </c>
      <c r="E57" s="4" t="s">
        <v>13</v>
      </c>
      <c r="F57" s="4" t="s">
        <v>2417</v>
      </c>
      <c r="G57" s="4" t="s">
        <v>2418</v>
      </c>
      <c r="H57" s="4" t="str">
        <f t="shared" si="0"/>
        <v>att_celllines</v>
      </c>
      <c r="I57" s="4" t="s">
        <v>495</v>
      </c>
      <c r="J57" s="4" t="str">
        <f t="shared" si="1"/>
        <v>att_celllines:k562</v>
      </c>
      <c r="K57" s="7" t="s">
        <v>17</v>
      </c>
      <c r="L57" s="4" t="s">
        <v>448</v>
      </c>
      <c r="M57" s="4" t="s">
        <v>2419</v>
      </c>
      <c r="N57" s="4" t="str">
        <f t="shared" si="2"/>
        <v>INSERT INTO attributes (parent_id, tag, name, priority, allow_as_filter, allow_for_dataset, allow_for_measurement, allow_for_users, allow_for_qc) VALUES (NULL, 'att_celllines',  'Celllines',  500,  TRUE, TRUE, TRUE, FALSE, FALSE);</v>
      </c>
      <c r="O57" s="4" t="str">
        <f t="shared" si="3"/>
        <v xml:space="preserve">INSERT INTO attribute_values (attribute_id, tag, name, details) VALUES ((SELECT id FROM attributes WHERE tag = 'att_celllines' LIMIT 1),  'att_celllines:k562',  'K-562',  'Human NCI-60 cell line; Leukemia'); </v>
      </c>
    </row>
    <row r="58" spans="1:15">
      <c r="A58" s="8" t="b">
        <f>FALSE()</f>
        <v>0</v>
      </c>
      <c r="B58" s="8"/>
      <c r="C58" s="4" t="s">
        <v>497</v>
      </c>
      <c r="D58" s="4" t="s">
        <v>498</v>
      </c>
      <c r="E58" s="4" t="s">
        <v>13</v>
      </c>
      <c r="F58" s="4" t="s">
        <v>2417</v>
      </c>
      <c r="G58" s="4" t="s">
        <v>2418</v>
      </c>
      <c r="H58" s="4" t="str">
        <f t="shared" si="0"/>
        <v>att_celllines</v>
      </c>
      <c r="I58" s="4" t="s">
        <v>497</v>
      </c>
      <c r="J58" s="4" t="str">
        <f t="shared" si="1"/>
        <v>att_celllines:km12</v>
      </c>
      <c r="K58" s="7" t="s">
        <v>17</v>
      </c>
      <c r="L58" s="4" t="s">
        <v>445</v>
      </c>
      <c r="M58" s="4" t="s">
        <v>2419</v>
      </c>
      <c r="N58" s="4" t="str">
        <f t="shared" si="2"/>
        <v>INSERT INTO attributes (parent_id, tag, name, priority, allow_as_filter, allow_for_dataset, allow_for_measurement, allow_for_users, allow_for_qc) VALUES (NULL, 'att_celllines',  'Celllines',  500,  TRUE, TRUE, TRUE, FALSE, FALSE);</v>
      </c>
      <c r="O58" s="4" t="str">
        <f t="shared" si="3"/>
        <v xml:space="preserve">INSERT INTO attribute_values (attribute_id, tag, name, details) VALUES ((SELECT id FROM attributes WHERE tag = 'att_celllines' LIMIT 1),  'att_celllines:km12',  'KM12',  'Human NCI-60 cell line; Colon cancer'); </v>
      </c>
    </row>
    <row r="59" spans="1:15">
      <c r="A59" s="8" t="b">
        <f>FALSE()</f>
        <v>0</v>
      </c>
      <c r="B59" s="8"/>
      <c r="C59" s="4" t="s">
        <v>499</v>
      </c>
      <c r="D59" s="4" t="s">
        <v>500</v>
      </c>
      <c r="E59" s="4" t="s">
        <v>13</v>
      </c>
      <c r="F59" s="4" t="s">
        <v>2417</v>
      </c>
      <c r="G59" s="4" t="s">
        <v>2418</v>
      </c>
      <c r="H59" s="4" t="str">
        <f t="shared" si="0"/>
        <v>att_celllines</v>
      </c>
      <c r="I59" s="4" t="s">
        <v>499</v>
      </c>
      <c r="J59" s="4" t="str">
        <f t="shared" si="1"/>
        <v>att_celllines:lox_imvi</v>
      </c>
      <c r="K59" s="7" t="s">
        <v>17</v>
      </c>
      <c r="L59" s="4" t="s">
        <v>501</v>
      </c>
      <c r="M59" s="4" t="s">
        <v>2419</v>
      </c>
      <c r="N59" s="4" t="str">
        <f t="shared" si="2"/>
        <v>INSERT INTO attributes (parent_id, tag, name, priority, allow_as_filter, allow_for_dataset, allow_for_measurement, allow_for_users, allow_for_qc) VALUES (NULL, 'att_celllines',  'Celllines',  500,  TRUE, TRUE, TRUE, FALSE, FALSE);</v>
      </c>
      <c r="O59" s="4" t="str">
        <f t="shared" si="3"/>
        <v xml:space="preserve">INSERT INTO attribute_values (attribute_id, tag, name, details) VALUES ((SELECT id FROM attributes WHERE tag = 'att_celllines' LIMIT 1),  'att_celllines:lox_imvi',  'LOX IMVI',  'Human NCI-60 cell line; Melanoma'); </v>
      </c>
    </row>
    <row r="60" spans="1:15">
      <c r="A60" s="8" t="b">
        <f>FALSE()</f>
        <v>0</v>
      </c>
      <c r="B60" s="8"/>
      <c r="C60" s="4" t="s">
        <v>502</v>
      </c>
      <c r="D60" s="4" t="s">
        <v>503</v>
      </c>
      <c r="E60" s="4" t="s">
        <v>13</v>
      </c>
      <c r="F60" s="4" t="s">
        <v>2417</v>
      </c>
      <c r="G60" s="4" t="s">
        <v>2418</v>
      </c>
      <c r="H60" s="4" t="str">
        <f t="shared" si="0"/>
        <v>att_celllines</v>
      </c>
      <c r="I60" s="4" t="s">
        <v>502</v>
      </c>
      <c r="J60" s="4" t="str">
        <f t="shared" si="1"/>
        <v>att_celllines:m14</v>
      </c>
      <c r="K60" s="7" t="s">
        <v>17</v>
      </c>
      <c r="L60" s="4" t="s">
        <v>501</v>
      </c>
      <c r="M60" s="4" t="s">
        <v>2419</v>
      </c>
      <c r="N60" s="4" t="str">
        <f t="shared" si="2"/>
        <v>INSERT INTO attributes (parent_id, tag, name, priority, allow_as_filter, allow_for_dataset, allow_for_measurement, allow_for_users, allow_for_qc) VALUES (NULL, 'att_celllines',  'Celllines',  500,  TRUE, TRUE, TRUE, FALSE, FALSE);</v>
      </c>
      <c r="O60" s="4" t="str">
        <f t="shared" si="3"/>
        <v xml:space="preserve">INSERT INTO attribute_values (attribute_id, tag, name, details) VALUES ((SELECT id FROM attributes WHERE tag = 'att_celllines' LIMIT 1),  'att_celllines:m14',  'M14',  'Human NCI-60 cell line; Melanoma'); </v>
      </c>
    </row>
    <row r="61" spans="1:15">
      <c r="A61" s="8" t="b">
        <f>FALSE()</f>
        <v>0</v>
      </c>
      <c r="B61" s="8"/>
      <c r="C61" s="4" t="s">
        <v>504</v>
      </c>
      <c r="D61" s="4" t="s">
        <v>505</v>
      </c>
      <c r="E61" s="4" t="s">
        <v>13</v>
      </c>
      <c r="F61" s="4" t="s">
        <v>2417</v>
      </c>
      <c r="G61" s="4" t="s">
        <v>2418</v>
      </c>
      <c r="H61" s="4" t="str">
        <f t="shared" si="0"/>
        <v>att_celllines</v>
      </c>
      <c r="I61" s="4" t="s">
        <v>504</v>
      </c>
      <c r="J61" s="4" t="str">
        <f t="shared" si="1"/>
        <v>att_celllines:malme3m</v>
      </c>
      <c r="K61" s="7" t="s">
        <v>17</v>
      </c>
      <c r="L61" s="4" t="s">
        <v>501</v>
      </c>
      <c r="M61" s="4" t="s">
        <v>2419</v>
      </c>
      <c r="N61" s="4" t="str">
        <f t="shared" si="2"/>
        <v>INSERT INTO attributes (parent_id, tag, name, priority, allow_as_filter, allow_for_dataset, allow_for_measurement, allow_for_users, allow_for_qc) VALUES (NULL, 'att_celllines',  'Celllines',  500,  TRUE, TRUE, TRUE, FALSE, FALSE);</v>
      </c>
      <c r="O61" s="4" t="str">
        <f t="shared" si="3"/>
        <v xml:space="preserve">INSERT INTO attribute_values (attribute_id, tag, name, details) VALUES ((SELECT id FROM attributes WHERE tag = 'att_celllines' LIMIT 1),  'att_celllines:malme3m',  'MALME-3M',  'Human NCI-60 cell line; Melanoma'); </v>
      </c>
    </row>
    <row r="62" spans="1:15">
      <c r="A62" s="8" t="b">
        <f>FALSE()</f>
        <v>0</v>
      </c>
      <c r="B62" s="8"/>
      <c r="C62" s="4" t="s">
        <v>506</v>
      </c>
      <c r="D62" s="4" t="s">
        <v>507</v>
      </c>
      <c r="E62" s="4" t="s">
        <v>13</v>
      </c>
      <c r="F62" s="4" t="s">
        <v>2417</v>
      </c>
      <c r="G62" s="4" t="s">
        <v>2418</v>
      </c>
      <c r="H62" s="4" t="str">
        <f t="shared" si="0"/>
        <v>att_celllines</v>
      </c>
      <c r="I62" s="4" t="s">
        <v>506</v>
      </c>
      <c r="J62" s="4" t="str">
        <f t="shared" si="1"/>
        <v>att_celllines:maver1</v>
      </c>
      <c r="K62" s="7" t="s">
        <v>17</v>
      </c>
      <c r="L62" s="4" t="s">
        <v>487</v>
      </c>
      <c r="M62" s="4" t="s">
        <v>13</v>
      </c>
      <c r="N62" s="4" t="str">
        <f t="shared" si="2"/>
        <v>INSERT INTO attributes (parent_id, tag, name, priority, allow_as_filter, allow_for_dataset, allow_for_measurement, allow_for_users, allow_for_qc) VALUES (NULL, 'att_celllines',  'Celllines',  500,  TRUE, TRUE, TRUE, FALSE, FALSE);</v>
      </c>
      <c r="O62" s="4" t="str">
        <f t="shared" si="3"/>
        <v xml:space="preserve">INSERT INTO attribute_values (attribute_id, tag, name, details) VALUES ((SELECT id FROM attributes WHERE tag = 'att_celllines' LIMIT 1),  'att_celllines:maver1',  'MAVER-1',  'Human Mantle cell lymphoma'); </v>
      </c>
    </row>
    <row r="63" spans="1:15">
      <c r="A63" s="8" t="b">
        <f>FALSE()</f>
        <v>0</v>
      </c>
      <c r="B63" s="8"/>
      <c r="C63" s="4" t="s">
        <v>508</v>
      </c>
      <c r="D63" s="4" t="s">
        <v>509</v>
      </c>
      <c r="E63" s="4" t="s">
        <v>13</v>
      </c>
      <c r="F63" s="4" t="s">
        <v>2417</v>
      </c>
      <c r="G63" s="4" t="s">
        <v>2418</v>
      </c>
      <c r="H63" s="4" t="str">
        <f t="shared" si="0"/>
        <v>att_celllines</v>
      </c>
      <c r="I63" s="4" t="s">
        <v>508</v>
      </c>
      <c r="J63" s="4" t="str">
        <f t="shared" si="1"/>
        <v>att_celllines:mcf7</v>
      </c>
      <c r="K63" s="7" t="s">
        <v>17</v>
      </c>
      <c r="L63" s="4" t="s">
        <v>437</v>
      </c>
      <c r="M63" s="4" t="s">
        <v>2419</v>
      </c>
      <c r="N63" s="4" t="str">
        <f t="shared" si="2"/>
        <v>INSERT INTO attributes (parent_id, tag, name, priority, allow_as_filter, allow_for_dataset, allow_for_measurement, allow_for_users, allow_for_qc) VALUES (NULL, 'att_celllines',  'Celllines',  500,  TRUE, TRUE, TRUE, FALSE, FALSE);</v>
      </c>
      <c r="O63" s="4" t="str">
        <f t="shared" si="3"/>
        <v xml:space="preserve">INSERT INTO attribute_values (attribute_id, tag, name, details) VALUES ((SELECT id FROM attributes WHERE tag = 'att_celllines' LIMIT 1),  'att_celllines:mcf7',  'MCF7',  'Human NCI-60 cell line; Breast Cancer'); </v>
      </c>
    </row>
    <row r="64" spans="1:15">
      <c r="A64" s="8" t="b">
        <f>FALSE()</f>
        <v>0</v>
      </c>
      <c r="B64" s="8"/>
      <c r="C64" s="4" t="s">
        <v>510</v>
      </c>
      <c r="D64" s="4" t="s">
        <v>511</v>
      </c>
      <c r="E64" s="4" t="s">
        <v>13</v>
      </c>
      <c r="F64" s="4" t="s">
        <v>2417</v>
      </c>
      <c r="G64" s="4" t="s">
        <v>2418</v>
      </c>
      <c r="H64" s="4" t="str">
        <f t="shared" si="0"/>
        <v>att_celllines</v>
      </c>
      <c r="I64" s="4" t="s">
        <v>510</v>
      </c>
      <c r="J64" s="4" t="str">
        <f t="shared" si="1"/>
        <v>att_celllines:mdamb231</v>
      </c>
      <c r="K64" s="7" t="s">
        <v>17</v>
      </c>
      <c r="L64" s="4" t="s">
        <v>437</v>
      </c>
      <c r="M64" s="4" t="s">
        <v>2419</v>
      </c>
      <c r="N64" s="4" t="str">
        <f t="shared" si="2"/>
        <v>INSERT INTO attributes (parent_id, tag, name, priority, allow_as_filter, allow_for_dataset, allow_for_measurement, allow_for_users, allow_for_qc) VALUES (NULL, 'att_celllines',  'Celllines',  500,  TRUE, TRUE, TRUE, FALSE, FALSE);</v>
      </c>
      <c r="O64" s="4" t="str">
        <f t="shared" si="3"/>
        <v xml:space="preserve">INSERT INTO attribute_values (attribute_id, tag, name, details) VALUES ((SELECT id FROM attributes WHERE tag = 'att_celllines' LIMIT 1),  'att_celllines:mdamb231',  'MDA-MB-231',  'Human NCI-60 cell line; Breast Cancer'); </v>
      </c>
    </row>
    <row r="65" spans="1:15">
      <c r="A65" s="8" t="b">
        <f>FALSE()</f>
        <v>0</v>
      </c>
      <c r="B65" s="8"/>
      <c r="C65" s="4" t="s">
        <v>512</v>
      </c>
      <c r="D65" s="4" t="s">
        <v>513</v>
      </c>
      <c r="E65" s="4" t="s">
        <v>13</v>
      </c>
      <c r="F65" s="4" t="s">
        <v>2417</v>
      </c>
      <c r="G65" s="4" t="s">
        <v>2418</v>
      </c>
      <c r="H65" s="4" t="str">
        <f t="shared" si="0"/>
        <v>att_celllines</v>
      </c>
      <c r="I65" s="4" t="s">
        <v>512</v>
      </c>
      <c r="J65" s="4" t="str">
        <f t="shared" si="1"/>
        <v>att_celllines:mdamb435</v>
      </c>
      <c r="K65" s="7" t="s">
        <v>17</v>
      </c>
      <c r="L65" s="4" t="s">
        <v>501</v>
      </c>
      <c r="M65" s="4" t="s">
        <v>2419</v>
      </c>
      <c r="N65" s="4" t="str">
        <f t="shared" si="2"/>
        <v>INSERT INTO attributes (parent_id, tag, name, priority, allow_as_filter, allow_for_dataset, allow_for_measurement, allow_for_users, allow_for_qc) VALUES (NULL, 'att_celllines',  'Celllines',  500,  TRUE, TRUE, TRUE, FALSE, FALSE);</v>
      </c>
      <c r="O65" s="4" t="str">
        <f t="shared" si="3"/>
        <v xml:space="preserve">INSERT INTO attribute_values (attribute_id, tag, name, details) VALUES ((SELECT id FROM attributes WHERE tag = 'att_celllines' LIMIT 1),  'att_celllines:mdamb435',  'MDA-MB-435',  'Human NCI-60 cell line; Melanoma'); </v>
      </c>
    </row>
    <row r="66" spans="1:15">
      <c r="A66" s="8" t="b">
        <f>FALSE()</f>
        <v>0</v>
      </c>
      <c r="B66" s="8"/>
      <c r="C66" s="4" t="s">
        <v>514</v>
      </c>
      <c r="D66" s="4" t="s">
        <v>515</v>
      </c>
      <c r="E66" s="4" t="s">
        <v>13</v>
      </c>
      <c r="F66" s="4" t="s">
        <v>2417</v>
      </c>
      <c r="G66" s="4" t="s">
        <v>2418</v>
      </c>
      <c r="H66" s="4" t="str">
        <f t="shared" ref="H66:H129" si="4">"att_"&amp;G66</f>
        <v>att_celllines</v>
      </c>
      <c r="I66" s="4" t="s">
        <v>514</v>
      </c>
      <c r="J66" s="4" t="str">
        <f t="shared" ref="J66:J129" si="5">H66&amp;":"&amp;I66</f>
        <v>att_celllines:mdamb468</v>
      </c>
      <c r="K66" s="7" t="s">
        <v>17</v>
      </c>
      <c r="L66" s="4" t="s">
        <v>437</v>
      </c>
      <c r="M66" s="4" t="s">
        <v>2419</v>
      </c>
      <c r="N66" s="4"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4"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c r="A67" s="8" t="b">
        <f>FALSE()</f>
        <v>0</v>
      </c>
      <c r="B67" s="8"/>
      <c r="C67" s="4" t="s">
        <v>519</v>
      </c>
      <c r="D67" s="4" t="s">
        <v>520</v>
      </c>
      <c r="E67" s="4" t="s">
        <v>13</v>
      </c>
      <c r="F67" s="4" t="s">
        <v>2417</v>
      </c>
      <c r="G67" s="4" t="s">
        <v>2418</v>
      </c>
      <c r="H67" s="4" t="str">
        <f t="shared" si="4"/>
        <v>att_celllines</v>
      </c>
      <c r="I67" s="4" t="s">
        <v>519</v>
      </c>
      <c r="J67" s="4" t="str">
        <f t="shared" si="5"/>
        <v>att_celllines:mino</v>
      </c>
      <c r="K67" s="7" t="s">
        <v>17</v>
      </c>
      <c r="L67" s="4" t="s">
        <v>487</v>
      </c>
      <c r="M67" s="4" t="s">
        <v>13</v>
      </c>
      <c r="N67" s="4" t="str">
        <f t="shared" si="6"/>
        <v>INSERT INTO attributes (parent_id, tag, name, priority, allow_as_filter, allow_for_dataset, allow_for_measurement, allow_for_users, allow_for_qc) VALUES (NULL, 'att_celllines',  'Celllines',  500,  TRUE, TRUE, TRUE, FALSE, FALSE);</v>
      </c>
      <c r="O67" s="4" t="str">
        <f t="shared" si="7"/>
        <v xml:space="preserve">INSERT INTO attribute_values (attribute_id, tag, name, details) VALUES ((SELECT id FROM attributes WHERE tag = 'att_celllines' LIMIT 1),  'att_celllines:mino',  'Mino',  'Human Mantle cell lymphoma'); </v>
      </c>
    </row>
    <row r="68" spans="1:15">
      <c r="A68" s="8" t="b">
        <f>FALSE()</f>
        <v>0</v>
      </c>
      <c r="B68" s="8"/>
      <c r="C68" s="4" t="s">
        <v>521</v>
      </c>
      <c r="D68" s="4" t="s">
        <v>522</v>
      </c>
      <c r="E68" s="4" t="s">
        <v>13</v>
      </c>
      <c r="F68" s="4" t="s">
        <v>2417</v>
      </c>
      <c r="G68" s="4" t="s">
        <v>2418</v>
      </c>
      <c r="H68" s="4" t="str">
        <f t="shared" si="4"/>
        <v>att_celllines</v>
      </c>
      <c r="I68" s="4" t="s">
        <v>521</v>
      </c>
      <c r="J68" s="4" t="str">
        <f t="shared" si="5"/>
        <v>att_celllines:molt4</v>
      </c>
      <c r="K68" s="7" t="s">
        <v>17</v>
      </c>
      <c r="L68" s="4" t="s">
        <v>448</v>
      </c>
      <c r="M68" s="4" t="s">
        <v>2419</v>
      </c>
      <c r="N68" s="4" t="str">
        <f t="shared" si="6"/>
        <v>INSERT INTO attributes (parent_id, tag, name, priority, allow_as_filter, allow_for_dataset, allow_for_measurement, allow_for_users, allow_for_qc) VALUES (NULL, 'att_celllines',  'Celllines',  500,  TRUE, TRUE, TRUE, FALSE, FALSE);</v>
      </c>
      <c r="O68" s="4" t="str">
        <f t="shared" si="7"/>
        <v xml:space="preserve">INSERT INTO attribute_values (attribute_id, tag, name, details) VALUES ((SELECT id FROM attributes WHERE tag = 'att_celllines' LIMIT 1),  'att_celllines:molt4',  'MOLT-4',  'Human NCI-60 cell line; Leukemia'); </v>
      </c>
    </row>
    <row r="69" spans="1:15">
      <c r="A69" s="8" t="b">
        <f>FALSE()</f>
        <v>0</v>
      </c>
      <c r="B69" s="8"/>
      <c r="C69" s="4" t="s">
        <v>523</v>
      </c>
      <c r="D69" s="4" t="s">
        <v>524</v>
      </c>
      <c r="E69" s="4" t="s">
        <v>13</v>
      </c>
      <c r="F69" s="4" t="s">
        <v>2417</v>
      </c>
      <c r="G69" s="4" t="s">
        <v>2418</v>
      </c>
      <c r="H69" s="4" t="str">
        <f t="shared" si="4"/>
        <v>att_celllines</v>
      </c>
      <c r="I69" s="4" t="s">
        <v>523</v>
      </c>
      <c r="J69" s="4" t="str">
        <f t="shared" si="5"/>
        <v>att_celllines:nceb1</v>
      </c>
      <c r="K69" s="7" t="s">
        <v>17</v>
      </c>
      <c r="L69" s="4" t="s">
        <v>487</v>
      </c>
      <c r="M69" s="4" t="s">
        <v>13</v>
      </c>
      <c r="N69" s="4" t="str">
        <f t="shared" si="6"/>
        <v>INSERT INTO attributes (parent_id, tag, name, priority, allow_as_filter, allow_for_dataset, allow_for_measurement, allow_for_users, allow_for_qc) VALUES (NULL, 'att_celllines',  'Celllines',  500,  TRUE, TRUE, TRUE, FALSE, FALSE);</v>
      </c>
      <c r="O69" s="4" t="str">
        <f t="shared" si="7"/>
        <v xml:space="preserve">INSERT INTO attribute_values (attribute_id, tag, name, details) VALUES ((SELECT id FROM attributes WHERE tag = 'att_celllines' LIMIT 1),  'att_celllines:nceb1',  'NCEB-1',  'Human Mantle cell lymphoma'); </v>
      </c>
    </row>
    <row r="70" spans="1:15">
      <c r="A70" s="8" t="b">
        <f>FALSE()</f>
        <v>0</v>
      </c>
      <c r="B70" s="8"/>
      <c r="C70" s="4" t="s">
        <v>526</v>
      </c>
      <c r="D70" s="4" t="s">
        <v>527</v>
      </c>
      <c r="E70" s="4" t="s">
        <v>13</v>
      </c>
      <c r="F70" s="4" t="s">
        <v>2417</v>
      </c>
      <c r="G70" s="4" t="s">
        <v>2418</v>
      </c>
      <c r="H70" s="4" t="str">
        <f t="shared" si="4"/>
        <v>att_celllines</v>
      </c>
      <c r="I70" s="4" t="s">
        <v>525</v>
      </c>
      <c r="J70" s="4" t="str">
        <f t="shared" si="5"/>
        <v>att_celllines:nci_adrres</v>
      </c>
      <c r="K70" s="7" t="s">
        <v>17</v>
      </c>
      <c r="L70" s="4" t="s">
        <v>481</v>
      </c>
      <c r="M70" s="4" t="s">
        <v>2419</v>
      </c>
      <c r="N70" s="4" t="str">
        <f t="shared" si="6"/>
        <v>INSERT INTO attributes (parent_id, tag, name, priority, allow_as_filter, allow_for_dataset, allow_for_measurement, allow_for_users, allow_for_qc) VALUES (NULL, 'att_celllines',  'Celllines',  500,  TRUE, TRUE, TRUE, FALSE, FALSE);</v>
      </c>
      <c r="O70" s="4" t="str">
        <f t="shared" si="7"/>
        <v xml:space="preserve">INSERT INTO attribute_values (attribute_id, tag, name, details) VALUES ((SELECT id FROM attributes WHERE tag = 'att_celllines' LIMIT 1),  'att_celllines:nci_adrres',  'NCI ADR-RES',  'Human NCI-60 cell line; Ovarian Cancer'); </v>
      </c>
    </row>
    <row r="71" spans="1:15">
      <c r="A71" s="8" t="b">
        <f>FALSE()</f>
        <v>0</v>
      </c>
      <c r="B71" s="8"/>
      <c r="C71" s="4" t="s">
        <v>529</v>
      </c>
      <c r="D71" s="4" t="s">
        <v>530</v>
      </c>
      <c r="E71" s="4" t="s">
        <v>13</v>
      </c>
      <c r="F71" s="4" t="s">
        <v>2417</v>
      </c>
      <c r="G71" s="4" t="s">
        <v>2418</v>
      </c>
      <c r="H71" s="4" t="str">
        <f t="shared" si="4"/>
        <v>att_celllines</v>
      </c>
      <c r="I71" s="4" t="s">
        <v>528</v>
      </c>
      <c r="J71" s="4" t="str">
        <f t="shared" si="5"/>
        <v>att_celllines:nci_h226</v>
      </c>
      <c r="K71" s="7" t="s">
        <v>17</v>
      </c>
      <c r="L71" s="4" t="s">
        <v>427</v>
      </c>
      <c r="M71" s="4" t="s">
        <v>2419</v>
      </c>
      <c r="N71" s="4" t="str">
        <f t="shared" si="6"/>
        <v>INSERT INTO attributes (parent_id, tag, name, priority, allow_as_filter, allow_for_dataset, allow_for_measurement, allow_for_users, allow_for_qc) VALUES (NULL, 'att_celllines',  'Celllines',  500,  TRUE, TRUE, TRUE, FALSE, FALSE);</v>
      </c>
      <c r="O71" s="4" t="str">
        <f t="shared" si="7"/>
        <v xml:space="preserve">INSERT INTO attribute_values (attribute_id, tag, name, details) VALUES ((SELECT id FROM attributes WHERE tag = 'att_celllines' LIMIT 1),  'att_celllines:nci_h226',  'NCI-H226',  'Human NCI-60 cell line; Non-Small Cell Lung cancer'); </v>
      </c>
    </row>
    <row r="72" spans="1:15">
      <c r="A72" s="8" t="b">
        <f>FALSE()</f>
        <v>0</v>
      </c>
      <c r="B72" s="8"/>
      <c r="C72" s="4" t="s">
        <v>532</v>
      </c>
      <c r="D72" s="4" t="s">
        <v>533</v>
      </c>
      <c r="E72" s="4" t="s">
        <v>13</v>
      </c>
      <c r="F72" s="4" t="s">
        <v>2417</v>
      </c>
      <c r="G72" s="4" t="s">
        <v>2418</v>
      </c>
      <c r="H72" s="4" t="str">
        <f t="shared" si="4"/>
        <v>att_celllines</v>
      </c>
      <c r="I72" s="4" t="s">
        <v>531</v>
      </c>
      <c r="J72" s="4" t="str">
        <f t="shared" si="5"/>
        <v>att_celllines:nci_h23</v>
      </c>
      <c r="K72" s="7" t="s">
        <v>17</v>
      </c>
      <c r="L72" s="4" t="s">
        <v>427</v>
      </c>
      <c r="M72" s="4" t="s">
        <v>2419</v>
      </c>
      <c r="N72" s="4" t="str">
        <f t="shared" si="6"/>
        <v>INSERT INTO attributes (parent_id, tag, name, priority, allow_as_filter, allow_for_dataset, allow_for_measurement, allow_for_users, allow_for_qc) VALUES (NULL, 'att_celllines',  'Celllines',  500,  TRUE, TRUE, TRUE, FALSE, FALSE);</v>
      </c>
      <c r="O72" s="4" t="str">
        <f t="shared" si="7"/>
        <v xml:space="preserve">INSERT INTO attribute_values (attribute_id, tag, name, details) VALUES ((SELECT id FROM attributes WHERE tag = 'att_celllines' LIMIT 1),  'att_celllines:nci_h23',  'NCI-H23',  'Human NCI-60 cell line; Non-Small Cell Lung cancer'); </v>
      </c>
    </row>
    <row r="73" spans="1:15">
      <c r="A73" s="8" t="b">
        <f>FALSE()</f>
        <v>0</v>
      </c>
      <c r="B73" s="8"/>
      <c r="C73" s="4" t="s">
        <v>535</v>
      </c>
      <c r="D73" s="4" t="s">
        <v>536</v>
      </c>
      <c r="E73" s="4" t="s">
        <v>13</v>
      </c>
      <c r="F73" s="4" t="s">
        <v>2417</v>
      </c>
      <c r="G73" s="4" t="s">
        <v>2418</v>
      </c>
      <c r="H73" s="4" t="str">
        <f t="shared" si="4"/>
        <v>att_celllines</v>
      </c>
      <c r="I73" s="4" t="s">
        <v>534</v>
      </c>
      <c r="J73" s="4" t="str">
        <f t="shared" si="5"/>
        <v>att_celllines:nci_h322m</v>
      </c>
      <c r="K73" s="7" t="s">
        <v>17</v>
      </c>
      <c r="L73" s="4" t="s">
        <v>427</v>
      </c>
      <c r="M73" s="4" t="s">
        <v>2419</v>
      </c>
      <c r="N73" s="4" t="str">
        <f t="shared" si="6"/>
        <v>INSERT INTO attributes (parent_id, tag, name, priority, allow_as_filter, allow_for_dataset, allow_for_measurement, allow_for_users, allow_for_qc) VALUES (NULL, 'att_celllines',  'Celllines',  500,  TRUE, TRUE, TRUE, FALSE, FALSE);</v>
      </c>
      <c r="O73" s="4" t="str">
        <f t="shared" si="7"/>
        <v xml:space="preserve">INSERT INTO attribute_values (attribute_id, tag, name, details) VALUES ((SELECT id FROM attributes WHERE tag = 'att_celllines' LIMIT 1),  'att_celllines:nci_h322m',  'NCI-H322M',  'Human NCI-60 cell line; Non-Small Cell Lung cancer'); </v>
      </c>
    </row>
    <row r="74" spans="1:15">
      <c r="A74" s="8" t="b">
        <f>FALSE()</f>
        <v>0</v>
      </c>
      <c r="B74" s="8"/>
      <c r="C74" s="4" t="s">
        <v>538</v>
      </c>
      <c r="D74" s="4" t="s">
        <v>539</v>
      </c>
      <c r="E74" s="4" t="s">
        <v>13</v>
      </c>
      <c r="F74" s="4" t="s">
        <v>2417</v>
      </c>
      <c r="G74" s="4" t="s">
        <v>2418</v>
      </c>
      <c r="H74" s="4" t="str">
        <f t="shared" si="4"/>
        <v>att_celllines</v>
      </c>
      <c r="I74" s="4" t="s">
        <v>537</v>
      </c>
      <c r="J74" s="4" t="str">
        <f t="shared" si="5"/>
        <v>att_celllines:nci_h460</v>
      </c>
      <c r="K74" s="7" t="s">
        <v>17</v>
      </c>
      <c r="L74" s="4" t="s">
        <v>427</v>
      </c>
      <c r="M74" s="4" t="s">
        <v>2419</v>
      </c>
      <c r="N74" s="4" t="str">
        <f t="shared" si="6"/>
        <v>INSERT INTO attributes (parent_id, tag, name, priority, allow_as_filter, allow_for_dataset, allow_for_measurement, allow_for_users, allow_for_qc) VALUES (NULL, 'att_celllines',  'Celllines',  500,  TRUE, TRUE, TRUE, FALSE, FALSE);</v>
      </c>
      <c r="O74" s="4" t="str">
        <f t="shared" si="7"/>
        <v xml:space="preserve">INSERT INTO attribute_values (attribute_id, tag, name, details) VALUES ((SELECT id FROM attributes WHERE tag = 'att_celllines' LIMIT 1),  'att_celllines:nci_h460',  'NCI-H460',  'Human NCI-60 cell line; Non-Small Cell Lung cancer'); </v>
      </c>
    </row>
    <row r="75" spans="1:15">
      <c r="A75" s="8" t="b">
        <f>FALSE()</f>
        <v>0</v>
      </c>
      <c r="B75" s="8"/>
      <c r="C75" s="4" t="s">
        <v>541</v>
      </c>
      <c r="D75" s="4" t="s">
        <v>542</v>
      </c>
      <c r="E75" s="4" t="s">
        <v>13</v>
      </c>
      <c r="F75" s="4" t="s">
        <v>2417</v>
      </c>
      <c r="G75" s="4" t="s">
        <v>2418</v>
      </c>
      <c r="H75" s="4" t="str">
        <f t="shared" si="4"/>
        <v>att_celllines</v>
      </c>
      <c r="I75" s="4" t="s">
        <v>540</v>
      </c>
      <c r="J75" s="4" t="str">
        <f t="shared" si="5"/>
        <v>att_celllines:nci_h522</v>
      </c>
      <c r="K75" s="7" t="s">
        <v>17</v>
      </c>
      <c r="L75" s="4" t="s">
        <v>427</v>
      </c>
      <c r="M75" s="4" t="s">
        <v>2419</v>
      </c>
      <c r="N75" s="4" t="str">
        <f t="shared" si="6"/>
        <v>INSERT INTO attributes (parent_id, tag, name, priority, allow_as_filter, allow_for_dataset, allow_for_measurement, allow_for_users, allow_for_qc) VALUES (NULL, 'att_celllines',  'Celllines',  500,  TRUE, TRUE, TRUE, FALSE, FALSE);</v>
      </c>
      <c r="O75" s="4" t="str">
        <f t="shared" si="7"/>
        <v xml:space="preserve">INSERT INTO attribute_values (attribute_id, tag, name, details) VALUES ((SELECT id FROM attributes WHERE tag = 'att_celllines' LIMIT 1),  'att_celllines:nci_h522',  'NCI-H522',  'Human NCI-60 cell line; Non-Small Cell Lung cancer'); </v>
      </c>
    </row>
    <row r="76" spans="1:15">
      <c r="A76" s="8" t="b">
        <f>FALSE()</f>
        <v>0</v>
      </c>
      <c r="B76" s="8"/>
      <c r="C76" s="4" t="s">
        <v>543</v>
      </c>
      <c r="D76" s="4" t="s">
        <v>544</v>
      </c>
      <c r="E76" s="4" t="s">
        <v>13</v>
      </c>
      <c r="F76" s="4" t="s">
        <v>2417</v>
      </c>
      <c r="G76" s="4" t="s">
        <v>2418</v>
      </c>
      <c r="H76" s="4" t="str">
        <f t="shared" si="4"/>
        <v>att_celllines</v>
      </c>
      <c r="I76" s="4" t="s">
        <v>543</v>
      </c>
      <c r="J76" s="4" t="str">
        <f t="shared" si="5"/>
        <v>att_celllines:ovcar3</v>
      </c>
      <c r="K76" s="7" t="s">
        <v>17</v>
      </c>
      <c r="L76" s="4" t="s">
        <v>481</v>
      </c>
      <c r="M76" s="4" t="s">
        <v>2419</v>
      </c>
      <c r="N76" s="4" t="str">
        <f t="shared" si="6"/>
        <v>INSERT INTO attributes (parent_id, tag, name, priority, allow_as_filter, allow_for_dataset, allow_for_measurement, allow_for_users, allow_for_qc) VALUES (NULL, 'att_celllines',  'Celllines',  500,  TRUE, TRUE, TRUE, FALSE, FALSE);</v>
      </c>
      <c r="O76" s="4" t="str">
        <f t="shared" si="7"/>
        <v xml:space="preserve">INSERT INTO attribute_values (attribute_id, tag, name, details) VALUES ((SELECT id FROM attributes WHERE tag = 'att_celllines' LIMIT 1),  'att_celllines:ovcar3',  'OVCAR-3',  'Human NCI-60 cell line; Ovarian Cancer'); </v>
      </c>
    </row>
    <row r="77" spans="1:15">
      <c r="A77" s="8" t="b">
        <f>FALSE()</f>
        <v>0</v>
      </c>
      <c r="B77" s="8"/>
      <c r="C77" s="4" t="s">
        <v>545</v>
      </c>
      <c r="D77" s="4" t="s">
        <v>546</v>
      </c>
      <c r="E77" s="4" t="s">
        <v>13</v>
      </c>
      <c r="F77" s="4" t="s">
        <v>2417</v>
      </c>
      <c r="G77" s="4" t="s">
        <v>2418</v>
      </c>
      <c r="H77" s="4" t="str">
        <f t="shared" si="4"/>
        <v>att_celllines</v>
      </c>
      <c r="I77" s="4" t="s">
        <v>545</v>
      </c>
      <c r="J77" s="4" t="str">
        <f t="shared" si="5"/>
        <v>att_celllines:ovcar4</v>
      </c>
      <c r="K77" s="7" t="s">
        <v>17</v>
      </c>
      <c r="L77" s="4" t="s">
        <v>481</v>
      </c>
      <c r="M77" s="4" t="s">
        <v>2419</v>
      </c>
      <c r="N77" s="4" t="str">
        <f t="shared" si="6"/>
        <v>INSERT INTO attributes (parent_id, tag, name, priority, allow_as_filter, allow_for_dataset, allow_for_measurement, allow_for_users, allow_for_qc) VALUES (NULL, 'att_celllines',  'Celllines',  500,  TRUE, TRUE, TRUE, FALSE, FALSE);</v>
      </c>
      <c r="O77" s="4" t="str">
        <f t="shared" si="7"/>
        <v xml:space="preserve">INSERT INTO attribute_values (attribute_id, tag, name, details) VALUES ((SELECT id FROM attributes WHERE tag = 'att_celllines' LIMIT 1),  'att_celllines:ovcar4',  'OVCAR-4',  'Human NCI-60 cell line; Ovarian Cancer'); </v>
      </c>
    </row>
    <row r="78" spans="1:15">
      <c r="A78" s="8" t="b">
        <f>FALSE()</f>
        <v>0</v>
      </c>
      <c r="B78" s="8"/>
      <c r="C78" s="4" t="s">
        <v>547</v>
      </c>
      <c r="D78" s="4" t="s">
        <v>548</v>
      </c>
      <c r="E78" s="4" t="s">
        <v>13</v>
      </c>
      <c r="F78" s="4" t="s">
        <v>2417</v>
      </c>
      <c r="G78" s="4" t="s">
        <v>2418</v>
      </c>
      <c r="H78" s="4" t="str">
        <f t="shared" si="4"/>
        <v>att_celllines</v>
      </c>
      <c r="I78" s="4" t="s">
        <v>547</v>
      </c>
      <c r="J78" s="4" t="str">
        <f t="shared" si="5"/>
        <v>att_celllines:ovcar5</v>
      </c>
      <c r="K78" s="7" t="s">
        <v>17</v>
      </c>
      <c r="L78" s="4" t="s">
        <v>481</v>
      </c>
      <c r="M78" s="4" t="s">
        <v>2419</v>
      </c>
      <c r="N78" s="4" t="str">
        <f t="shared" si="6"/>
        <v>INSERT INTO attributes (parent_id, tag, name, priority, allow_as_filter, allow_for_dataset, allow_for_measurement, allow_for_users, allow_for_qc) VALUES (NULL, 'att_celllines',  'Celllines',  500,  TRUE, TRUE, TRUE, FALSE, FALSE);</v>
      </c>
      <c r="O78" s="4" t="str">
        <f t="shared" si="7"/>
        <v xml:space="preserve">INSERT INTO attribute_values (attribute_id, tag, name, details) VALUES ((SELECT id FROM attributes WHERE tag = 'att_celllines' LIMIT 1),  'att_celllines:ovcar5',  'OVCAR-5',  'Human NCI-60 cell line; Ovarian Cancer'); </v>
      </c>
    </row>
    <row r="79" spans="1:15">
      <c r="A79" s="8" t="b">
        <f>FALSE()</f>
        <v>0</v>
      </c>
      <c r="B79" s="8"/>
      <c r="C79" s="4" t="s">
        <v>549</v>
      </c>
      <c r="D79" s="4" t="s">
        <v>550</v>
      </c>
      <c r="E79" s="4" t="s">
        <v>13</v>
      </c>
      <c r="F79" s="4" t="s">
        <v>2417</v>
      </c>
      <c r="G79" s="4" t="s">
        <v>2418</v>
      </c>
      <c r="H79" s="4" t="str">
        <f t="shared" si="4"/>
        <v>att_celllines</v>
      </c>
      <c r="I79" s="4" t="s">
        <v>549</v>
      </c>
      <c r="J79" s="4" t="str">
        <f t="shared" si="5"/>
        <v>att_celllines:ovcar8</v>
      </c>
      <c r="K79" s="7" t="s">
        <v>17</v>
      </c>
      <c r="L79" s="4" t="s">
        <v>481</v>
      </c>
      <c r="M79" s="4" t="s">
        <v>2419</v>
      </c>
      <c r="N79" s="4" t="str">
        <f t="shared" si="6"/>
        <v>INSERT INTO attributes (parent_id, tag, name, priority, allow_as_filter, allow_for_dataset, allow_for_measurement, allow_for_users, allow_for_qc) VALUES (NULL, 'att_celllines',  'Celllines',  500,  TRUE, TRUE, TRUE, FALSE, FALSE);</v>
      </c>
      <c r="O79" s="4" t="str">
        <f t="shared" si="7"/>
        <v xml:space="preserve">INSERT INTO attribute_values (attribute_id, tag, name, details) VALUES ((SELECT id FROM attributes WHERE tag = 'att_celllines' LIMIT 1),  'att_celllines:ovcar8',  'OVCAR-8',  'Human NCI-60 cell line; Ovarian Cancer'); </v>
      </c>
    </row>
    <row r="80" spans="1:15">
      <c r="A80" s="8" t="b">
        <f>FALSE()</f>
        <v>0</v>
      </c>
      <c r="B80" s="8"/>
      <c r="C80" s="4" t="s">
        <v>551</v>
      </c>
      <c r="D80" s="4" t="s">
        <v>552</v>
      </c>
      <c r="E80" s="4" t="s">
        <v>13</v>
      </c>
      <c r="F80" s="4" t="s">
        <v>2417</v>
      </c>
      <c r="G80" s="4" t="s">
        <v>2418</v>
      </c>
      <c r="H80" s="4" t="str">
        <f t="shared" si="4"/>
        <v>att_celllines</v>
      </c>
      <c r="I80" s="4" t="s">
        <v>551</v>
      </c>
      <c r="J80" s="4" t="str">
        <f t="shared" si="5"/>
        <v>att_celllines:p388</v>
      </c>
      <c r="K80" s="7" t="s">
        <v>17</v>
      </c>
      <c r="L80" s="4" t="s">
        <v>553</v>
      </c>
      <c r="M80" s="4" t="s">
        <v>13</v>
      </c>
      <c r="N80" s="4" t="str">
        <f t="shared" si="6"/>
        <v>INSERT INTO attributes (parent_id, tag, name, priority, allow_as_filter, allow_for_dataset, allow_for_measurement, allow_for_users, allow_for_qc) VALUES (NULL, 'att_celllines',  'Celllines',  500,  TRUE, TRUE, TRUE, FALSE, FALSE);</v>
      </c>
      <c r="O80" s="4" t="str">
        <f t="shared" si="7"/>
        <v xml:space="preserve">INSERT INTO attribute_values (attribute_id, tag, name, details) VALUES ((SELECT id FROM attributes WHERE tag = 'att_celllines' LIMIT 1),  'att_celllines:p388',  'P388',  'Leukemia'); </v>
      </c>
    </row>
    <row r="81" spans="1:15">
      <c r="A81" s="8" t="b">
        <f>FALSE()</f>
        <v>0</v>
      </c>
      <c r="B81" s="8"/>
      <c r="C81" s="4" t="s">
        <v>554</v>
      </c>
      <c r="D81" s="4" t="s">
        <v>555</v>
      </c>
      <c r="E81" s="4" t="s">
        <v>13</v>
      </c>
      <c r="F81" s="4" t="s">
        <v>2417</v>
      </c>
      <c r="G81" s="4" t="s">
        <v>2418</v>
      </c>
      <c r="H81" s="4" t="str">
        <f t="shared" si="4"/>
        <v>att_celllines</v>
      </c>
      <c r="I81" s="4" t="s">
        <v>554</v>
      </c>
      <c r="J81" s="4" t="str">
        <f t="shared" si="5"/>
        <v>att_celllines:pc3</v>
      </c>
      <c r="K81" s="7" t="s">
        <v>17</v>
      </c>
      <c r="L81" s="4" t="s">
        <v>451</v>
      </c>
      <c r="M81" s="4" t="s">
        <v>2419</v>
      </c>
      <c r="N81" s="4" t="str">
        <f t="shared" si="6"/>
        <v>INSERT INTO attributes (parent_id, tag, name, priority, allow_as_filter, allow_for_dataset, allow_for_measurement, allow_for_users, allow_for_qc) VALUES (NULL, 'att_celllines',  'Celllines',  500,  TRUE, TRUE, TRUE, FALSE, FALSE);</v>
      </c>
      <c r="O81" s="4" t="str">
        <f t="shared" si="7"/>
        <v xml:space="preserve">INSERT INTO attribute_values (attribute_id, tag, name, details) VALUES ((SELECT id FROM attributes WHERE tag = 'att_celllines' LIMIT 1),  'att_celllines:pc3',  'PC-3',  'Human NCI-60 cell line; Prostate Cancer'); </v>
      </c>
    </row>
    <row r="82" spans="1:15">
      <c r="A82" s="8" t="b">
        <f>FALSE()</f>
        <v>0</v>
      </c>
      <c r="B82" s="8"/>
      <c r="C82" s="4" t="s">
        <v>556</v>
      </c>
      <c r="D82" s="4" t="s">
        <v>557</v>
      </c>
      <c r="E82" s="4" t="s">
        <v>13</v>
      </c>
      <c r="F82" s="4" t="s">
        <v>2417</v>
      </c>
      <c r="G82" s="4" t="s">
        <v>2418</v>
      </c>
      <c r="H82" s="4" t="str">
        <f t="shared" si="4"/>
        <v>att_celllines</v>
      </c>
      <c r="I82" s="4" t="s">
        <v>556</v>
      </c>
      <c r="J82" s="4" t="str">
        <f t="shared" si="5"/>
        <v>att_celllines:rec1</v>
      </c>
      <c r="K82" s="7" t="s">
        <v>17</v>
      </c>
      <c r="L82" s="4" t="s">
        <v>487</v>
      </c>
      <c r="M82" s="4" t="s">
        <v>13</v>
      </c>
      <c r="N82" s="4" t="str">
        <f t="shared" si="6"/>
        <v>INSERT INTO attributes (parent_id, tag, name, priority, allow_as_filter, allow_for_dataset, allow_for_measurement, allow_for_users, allow_for_qc) VALUES (NULL, 'att_celllines',  'Celllines',  500,  TRUE, TRUE, TRUE, FALSE, FALSE);</v>
      </c>
      <c r="O82" s="4" t="str">
        <f t="shared" si="7"/>
        <v xml:space="preserve">INSERT INTO attribute_values (attribute_id, tag, name, details) VALUES ((SELECT id FROM attributes WHERE tag = 'att_celllines' LIMIT 1),  'att_celllines:rec1',  'REC-1',  'Human Mantle cell lymphoma'); </v>
      </c>
    </row>
    <row r="83" spans="1:15">
      <c r="A83" s="8" t="b">
        <f>FALSE()</f>
        <v>0</v>
      </c>
      <c r="B83" s="8"/>
      <c r="C83" s="4" t="s">
        <v>558</v>
      </c>
      <c r="D83" s="4" t="s">
        <v>559</v>
      </c>
      <c r="E83" s="4" t="s">
        <v>13</v>
      </c>
      <c r="F83" s="4" t="s">
        <v>2417</v>
      </c>
      <c r="G83" s="4" t="s">
        <v>2418</v>
      </c>
      <c r="H83" s="4" t="str">
        <f t="shared" si="4"/>
        <v>att_celllines</v>
      </c>
      <c r="I83" s="4" t="s">
        <v>558</v>
      </c>
      <c r="J83" s="4" t="str">
        <f t="shared" si="5"/>
        <v>att_celllines:rpmi8226</v>
      </c>
      <c r="K83" s="7" t="s">
        <v>17</v>
      </c>
      <c r="L83" s="4" t="s">
        <v>448</v>
      </c>
      <c r="M83" s="4" t="s">
        <v>2419</v>
      </c>
      <c r="N83" s="4" t="str">
        <f t="shared" si="6"/>
        <v>INSERT INTO attributes (parent_id, tag, name, priority, allow_as_filter, allow_for_dataset, allow_for_measurement, allow_for_users, allow_for_qc) VALUES (NULL, 'att_celllines',  'Celllines',  500,  TRUE, TRUE, TRUE, FALSE, FALSE);</v>
      </c>
      <c r="O83" s="4" t="str">
        <f t="shared" si="7"/>
        <v xml:space="preserve">INSERT INTO attribute_values (attribute_id, tag, name, details) VALUES ((SELECT id FROM attributes WHERE tag = 'att_celllines' LIMIT 1),  'att_celllines:rpmi8226',  'RPMI-8226',  'Human NCI-60 cell line; Leukemia'); </v>
      </c>
    </row>
    <row r="84" spans="1:15">
      <c r="A84" s="8" t="b">
        <f>FALSE()</f>
        <v>0</v>
      </c>
      <c r="B84" s="8"/>
      <c r="C84" s="4" t="s">
        <v>560</v>
      </c>
      <c r="D84" s="4" t="s">
        <v>561</v>
      </c>
      <c r="E84" s="4" t="s">
        <v>13</v>
      </c>
      <c r="F84" s="4" t="s">
        <v>2417</v>
      </c>
      <c r="G84" s="4" t="s">
        <v>2418</v>
      </c>
      <c r="H84" s="4" t="str">
        <f t="shared" si="4"/>
        <v>att_celllines</v>
      </c>
      <c r="I84" s="4" t="s">
        <v>560</v>
      </c>
      <c r="J84" s="4" t="str">
        <f t="shared" si="5"/>
        <v>att_celllines:rxf393</v>
      </c>
      <c r="K84" s="7" t="s">
        <v>17</v>
      </c>
      <c r="L84" s="4" t="s">
        <v>422</v>
      </c>
      <c r="M84" s="4" t="s">
        <v>2419</v>
      </c>
      <c r="N84" s="4" t="str">
        <f t="shared" si="6"/>
        <v>INSERT INTO attributes (parent_id, tag, name, priority, allow_as_filter, allow_for_dataset, allow_for_measurement, allow_for_users, allow_for_qc) VALUES (NULL, 'att_celllines',  'Celllines',  500,  TRUE, TRUE, TRUE, FALSE, FALSE);</v>
      </c>
      <c r="O84" s="4" t="str">
        <f t="shared" si="7"/>
        <v xml:space="preserve">INSERT INTO attribute_values (attribute_id, tag, name, details) VALUES ((SELECT id FROM attributes WHERE tag = 'att_celllines' LIMIT 1),  'att_celllines:rxf393',  'RXF 393',  'Human NCI-60 cell line; Renal Cancer'); </v>
      </c>
    </row>
    <row r="85" spans="1:15">
      <c r="A85" s="8" t="b">
        <f>FALSE()</f>
        <v>0</v>
      </c>
      <c r="B85" s="8"/>
      <c r="C85" s="4" t="s">
        <v>562</v>
      </c>
      <c r="D85" s="4" t="s">
        <v>563</v>
      </c>
      <c r="E85" s="4" t="s">
        <v>13</v>
      </c>
      <c r="F85" s="4" t="s">
        <v>2417</v>
      </c>
      <c r="G85" s="4" t="s">
        <v>2418</v>
      </c>
      <c r="H85" s="4" t="str">
        <f t="shared" si="4"/>
        <v>att_celllines</v>
      </c>
      <c r="I85" s="4" t="s">
        <v>562</v>
      </c>
      <c r="J85" s="4" t="str">
        <f t="shared" si="5"/>
        <v>att_celllines:sf268</v>
      </c>
      <c r="K85" s="7" t="s">
        <v>17</v>
      </c>
      <c r="L85" s="4" t="s">
        <v>564</v>
      </c>
      <c r="M85" s="4" t="s">
        <v>2419</v>
      </c>
      <c r="N85" s="4" t="str">
        <f t="shared" si="6"/>
        <v>INSERT INTO attributes (parent_id, tag, name, priority, allow_as_filter, allow_for_dataset, allow_for_measurement, allow_for_users, allow_for_qc) VALUES (NULL, 'att_celllines',  'Celllines',  500,  TRUE, TRUE, TRUE, FALSE, FALSE);</v>
      </c>
      <c r="O85" s="4" t="str">
        <f t="shared" si="7"/>
        <v xml:space="preserve">INSERT INTO attribute_values (attribute_id, tag, name, details) VALUES ((SELECT id FROM attributes WHERE tag = 'att_celllines' LIMIT 1),  'att_celllines:sf268',  'SF-268',  'Human NCI-60 cell line; central nervous system (CNS) tumor '); </v>
      </c>
    </row>
    <row r="86" spans="1:15">
      <c r="A86" s="8" t="b">
        <f>FALSE()</f>
        <v>0</v>
      </c>
      <c r="B86" s="8"/>
      <c r="C86" s="4" t="s">
        <v>565</v>
      </c>
      <c r="D86" s="4" t="s">
        <v>566</v>
      </c>
      <c r="E86" s="4" t="s">
        <v>13</v>
      </c>
      <c r="F86" s="4" t="s">
        <v>2417</v>
      </c>
      <c r="G86" s="4" t="s">
        <v>2418</v>
      </c>
      <c r="H86" s="4" t="str">
        <f t="shared" si="4"/>
        <v>att_celllines</v>
      </c>
      <c r="I86" s="4" t="s">
        <v>565</v>
      </c>
      <c r="J86" s="4" t="str">
        <f t="shared" si="5"/>
        <v>att_celllines:sf295</v>
      </c>
      <c r="K86" s="7" t="s">
        <v>17</v>
      </c>
      <c r="L86" s="4" t="s">
        <v>564</v>
      </c>
      <c r="M86" s="4" t="s">
        <v>2419</v>
      </c>
      <c r="N86" s="4" t="str">
        <f t="shared" si="6"/>
        <v>INSERT INTO attributes (parent_id, tag, name, priority, allow_as_filter, allow_for_dataset, allow_for_measurement, allow_for_users, allow_for_qc) VALUES (NULL, 'att_celllines',  'Celllines',  500,  TRUE, TRUE, TRUE, FALSE, FALSE);</v>
      </c>
      <c r="O86" s="4" t="str">
        <f t="shared" si="7"/>
        <v xml:space="preserve">INSERT INTO attribute_values (attribute_id, tag, name, details) VALUES ((SELECT id FROM attributes WHERE tag = 'att_celllines' LIMIT 1),  'att_celllines:sf295',  'SF-295',  'Human NCI-60 cell line; central nervous system (CNS) tumor '); </v>
      </c>
    </row>
    <row r="87" spans="1:15">
      <c r="A87" s="8" t="b">
        <f>FALSE()</f>
        <v>0</v>
      </c>
      <c r="B87" s="8"/>
      <c r="C87" s="4" t="s">
        <v>567</v>
      </c>
      <c r="D87" s="4" t="s">
        <v>568</v>
      </c>
      <c r="E87" s="4" t="s">
        <v>13</v>
      </c>
      <c r="F87" s="4" t="s">
        <v>2417</v>
      </c>
      <c r="G87" s="4" t="s">
        <v>2418</v>
      </c>
      <c r="H87" s="4" t="str">
        <f t="shared" si="4"/>
        <v>att_celllines</v>
      </c>
      <c r="I87" s="4" t="s">
        <v>567</v>
      </c>
      <c r="J87" s="4" t="str">
        <f t="shared" si="5"/>
        <v>att_celllines:sf539</v>
      </c>
      <c r="K87" s="7" t="s">
        <v>17</v>
      </c>
      <c r="L87" s="4" t="s">
        <v>564</v>
      </c>
      <c r="M87" s="4" t="s">
        <v>2419</v>
      </c>
      <c r="N87" s="4" t="str">
        <f t="shared" si="6"/>
        <v>INSERT INTO attributes (parent_id, tag, name, priority, allow_as_filter, allow_for_dataset, allow_for_measurement, allow_for_users, allow_for_qc) VALUES (NULL, 'att_celllines',  'Celllines',  500,  TRUE, TRUE, TRUE, FALSE, FALSE);</v>
      </c>
      <c r="O87" s="4" t="str">
        <f t="shared" si="7"/>
        <v xml:space="preserve">INSERT INTO attribute_values (attribute_id, tag, name, details) VALUES ((SELECT id FROM attributes WHERE tag = 'att_celllines' LIMIT 1),  'att_celllines:sf539',  'SF-539',  'Human NCI-60 cell line; central nervous system (CNS) tumor '); </v>
      </c>
    </row>
    <row r="88" spans="1:15">
      <c r="A88" s="8" t="b">
        <f>FALSE()</f>
        <v>0</v>
      </c>
      <c r="B88" s="8"/>
      <c r="C88" s="4" t="s">
        <v>569</v>
      </c>
      <c r="D88" s="4" t="s">
        <v>570</v>
      </c>
      <c r="E88" s="4" t="s">
        <v>13</v>
      </c>
      <c r="F88" s="4" t="s">
        <v>2417</v>
      </c>
      <c r="G88" s="4" t="s">
        <v>2418</v>
      </c>
      <c r="H88" s="4" t="str">
        <f t="shared" si="4"/>
        <v>att_celllines</v>
      </c>
      <c r="I88" s="4" t="s">
        <v>569</v>
      </c>
      <c r="J88" s="4" t="str">
        <f t="shared" si="5"/>
        <v>att_celllines:skmel2</v>
      </c>
      <c r="K88" s="7" t="s">
        <v>17</v>
      </c>
      <c r="L88" s="4" t="s">
        <v>501</v>
      </c>
      <c r="M88" s="4" t="s">
        <v>2419</v>
      </c>
      <c r="N88" s="4" t="str">
        <f t="shared" si="6"/>
        <v>INSERT INTO attributes (parent_id, tag, name, priority, allow_as_filter, allow_for_dataset, allow_for_measurement, allow_for_users, allow_for_qc) VALUES (NULL, 'att_celllines',  'Celllines',  500,  TRUE, TRUE, TRUE, FALSE, FALSE);</v>
      </c>
      <c r="O88" s="4" t="str">
        <f t="shared" si="7"/>
        <v xml:space="preserve">INSERT INTO attribute_values (attribute_id, tag, name, details) VALUES ((SELECT id FROM attributes WHERE tag = 'att_celllines' LIMIT 1),  'att_celllines:skmel2',  'SK-MEL-2',  'Human NCI-60 cell line; Melanoma'); </v>
      </c>
    </row>
    <row r="89" spans="1:15">
      <c r="A89" s="8" t="b">
        <f>FALSE()</f>
        <v>0</v>
      </c>
      <c r="B89" s="8"/>
      <c r="C89" s="4" t="s">
        <v>571</v>
      </c>
      <c r="D89" s="4" t="s">
        <v>572</v>
      </c>
      <c r="E89" s="4" t="s">
        <v>13</v>
      </c>
      <c r="F89" s="4" t="s">
        <v>2417</v>
      </c>
      <c r="G89" s="4" t="s">
        <v>2418</v>
      </c>
      <c r="H89" s="4" t="str">
        <f t="shared" si="4"/>
        <v>att_celllines</v>
      </c>
      <c r="I89" s="4" t="s">
        <v>571</v>
      </c>
      <c r="J89" s="4" t="str">
        <f t="shared" si="5"/>
        <v>att_celllines:skmel28</v>
      </c>
      <c r="K89" s="7" t="s">
        <v>17</v>
      </c>
      <c r="L89" s="4" t="s">
        <v>501</v>
      </c>
      <c r="M89" s="4" t="s">
        <v>2419</v>
      </c>
      <c r="N89" s="4" t="str">
        <f t="shared" si="6"/>
        <v>INSERT INTO attributes (parent_id, tag, name, priority, allow_as_filter, allow_for_dataset, allow_for_measurement, allow_for_users, allow_for_qc) VALUES (NULL, 'att_celllines',  'Celllines',  500,  TRUE, TRUE, TRUE, FALSE, FALSE);</v>
      </c>
      <c r="O89" s="4" t="str">
        <f t="shared" si="7"/>
        <v xml:space="preserve">INSERT INTO attribute_values (attribute_id, tag, name, details) VALUES ((SELECT id FROM attributes WHERE tag = 'att_celllines' LIMIT 1),  'att_celllines:skmel28',  'SK-MEL-28',  'Human NCI-60 cell line; Melanoma'); </v>
      </c>
    </row>
    <row r="90" spans="1:15">
      <c r="A90" s="8" t="b">
        <f>FALSE()</f>
        <v>0</v>
      </c>
      <c r="B90" s="8"/>
      <c r="C90" s="4" t="s">
        <v>573</v>
      </c>
      <c r="D90" s="4" t="s">
        <v>574</v>
      </c>
      <c r="E90" s="4" t="s">
        <v>13</v>
      </c>
      <c r="F90" s="4" t="s">
        <v>2417</v>
      </c>
      <c r="G90" s="4" t="s">
        <v>2418</v>
      </c>
      <c r="H90" s="4" t="str">
        <f t="shared" si="4"/>
        <v>att_celllines</v>
      </c>
      <c r="I90" s="4" t="s">
        <v>573</v>
      </c>
      <c r="J90" s="4" t="str">
        <f t="shared" si="5"/>
        <v>att_celllines:skmel5</v>
      </c>
      <c r="K90" s="7" t="s">
        <v>17</v>
      </c>
      <c r="L90" s="4" t="s">
        <v>501</v>
      </c>
      <c r="M90" s="4" t="s">
        <v>2419</v>
      </c>
      <c r="N90" s="4" t="str">
        <f t="shared" si="6"/>
        <v>INSERT INTO attributes (parent_id, tag, name, priority, allow_as_filter, allow_for_dataset, allow_for_measurement, allow_for_users, allow_for_qc) VALUES (NULL, 'att_celllines',  'Celllines',  500,  TRUE, TRUE, TRUE, FALSE, FALSE);</v>
      </c>
      <c r="O90" s="4" t="str">
        <f t="shared" si="7"/>
        <v xml:space="preserve">INSERT INTO attribute_values (attribute_id, tag, name, details) VALUES ((SELECT id FROM attributes WHERE tag = 'att_celllines' LIMIT 1),  'att_celllines:skmel5',  'SK-MEL-5',  'Human NCI-60 cell line; Melanoma'); </v>
      </c>
    </row>
    <row r="91" spans="1:15">
      <c r="A91" s="8" t="b">
        <f>FALSE()</f>
        <v>0</v>
      </c>
      <c r="B91" s="8"/>
      <c r="C91" s="4" t="s">
        <v>575</v>
      </c>
      <c r="D91" s="4" t="s">
        <v>576</v>
      </c>
      <c r="E91" s="4" t="s">
        <v>13</v>
      </c>
      <c r="F91" s="4" t="s">
        <v>2417</v>
      </c>
      <c r="G91" s="4" t="s">
        <v>2418</v>
      </c>
      <c r="H91" s="4" t="str">
        <f t="shared" si="4"/>
        <v>att_celllines</v>
      </c>
      <c r="I91" s="4" t="s">
        <v>575</v>
      </c>
      <c r="J91" s="4" t="str">
        <f t="shared" si="5"/>
        <v>att_celllines:skov3</v>
      </c>
      <c r="K91" s="7" t="s">
        <v>17</v>
      </c>
      <c r="L91" s="4" t="s">
        <v>481</v>
      </c>
      <c r="M91" s="4" t="s">
        <v>2419</v>
      </c>
      <c r="N91" s="4" t="str">
        <f t="shared" si="6"/>
        <v>INSERT INTO attributes (parent_id, tag, name, priority, allow_as_filter, allow_for_dataset, allow_for_measurement, allow_for_users, allow_for_qc) VALUES (NULL, 'att_celllines',  'Celllines',  500,  TRUE, TRUE, TRUE, FALSE, FALSE);</v>
      </c>
      <c r="O91" s="4" t="str">
        <f t="shared" si="7"/>
        <v xml:space="preserve">INSERT INTO attribute_values (attribute_id, tag, name, details) VALUES ((SELECT id FROM attributes WHERE tag = 'att_celllines' LIMIT 1),  'att_celllines:skov3',  'SK-OV-3',  'Human NCI-60 cell line; Ovarian Cancer'); </v>
      </c>
    </row>
    <row r="92" spans="1:15">
      <c r="A92" s="8" t="b">
        <f>FALSE()</f>
        <v>0</v>
      </c>
      <c r="B92" s="8"/>
      <c r="C92" s="4" t="s">
        <v>577</v>
      </c>
      <c r="D92" s="4" t="s">
        <v>578</v>
      </c>
      <c r="E92" s="4" t="s">
        <v>13</v>
      </c>
      <c r="F92" s="4" t="s">
        <v>2417</v>
      </c>
      <c r="G92" s="4" t="s">
        <v>2418</v>
      </c>
      <c r="H92" s="4" t="str">
        <f t="shared" si="4"/>
        <v>att_celllines</v>
      </c>
      <c r="I92" s="4" t="s">
        <v>577</v>
      </c>
      <c r="J92" s="4" t="str">
        <f t="shared" si="5"/>
        <v>att_celllines:sn12c</v>
      </c>
      <c r="K92" s="7" t="s">
        <v>17</v>
      </c>
      <c r="L92" s="4" t="s">
        <v>422</v>
      </c>
      <c r="M92" s="4" t="s">
        <v>2419</v>
      </c>
      <c r="N92" s="4" t="str">
        <f t="shared" si="6"/>
        <v>INSERT INTO attributes (parent_id, tag, name, priority, allow_as_filter, allow_for_dataset, allow_for_measurement, allow_for_users, allow_for_qc) VALUES (NULL, 'att_celllines',  'Celllines',  500,  TRUE, TRUE, TRUE, FALSE, FALSE);</v>
      </c>
      <c r="O92" s="4" t="str">
        <f t="shared" si="7"/>
        <v xml:space="preserve">INSERT INTO attribute_values (attribute_id, tag, name, details) VALUES ((SELECT id FROM attributes WHERE tag = 'att_celllines' LIMIT 1),  'att_celllines:sn12c',  'SN12C',  'Human NCI-60 cell line; Renal Cancer'); </v>
      </c>
    </row>
    <row r="93" spans="1:15">
      <c r="A93" s="8" t="b">
        <f>FALSE()</f>
        <v>0</v>
      </c>
      <c r="B93" s="8"/>
      <c r="C93" s="4" t="s">
        <v>579</v>
      </c>
      <c r="D93" s="4" t="s">
        <v>580</v>
      </c>
      <c r="E93" s="4" t="s">
        <v>13</v>
      </c>
      <c r="F93" s="4" t="s">
        <v>2417</v>
      </c>
      <c r="G93" s="4" t="s">
        <v>2418</v>
      </c>
      <c r="H93" s="4" t="str">
        <f t="shared" si="4"/>
        <v>att_celllines</v>
      </c>
      <c r="I93" s="4" t="s">
        <v>579</v>
      </c>
      <c r="J93" s="4" t="str">
        <f t="shared" si="5"/>
        <v>att_celllines:snb19</v>
      </c>
      <c r="K93" s="7" t="s">
        <v>17</v>
      </c>
      <c r="L93" s="4" t="s">
        <v>564</v>
      </c>
      <c r="M93" s="4" t="s">
        <v>2419</v>
      </c>
      <c r="N93" s="4" t="str">
        <f t="shared" si="6"/>
        <v>INSERT INTO attributes (parent_id, tag, name, priority, allow_as_filter, allow_for_dataset, allow_for_measurement, allow_for_users, allow_for_qc) VALUES (NULL, 'att_celllines',  'Celllines',  500,  TRUE, TRUE, TRUE, FALSE, FALSE);</v>
      </c>
      <c r="O93" s="4" t="str">
        <f t="shared" si="7"/>
        <v xml:space="preserve">INSERT INTO attribute_values (attribute_id, tag, name, details) VALUES ((SELECT id FROM attributes WHERE tag = 'att_celllines' LIMIT 1),  'att_celllines:snb19',  'SNB-19',  'Human NCI-60 cell line; central nervous system (CNS) tumor '); </v>
      </c>
    </row>
    <row r="94" spans="1:15">
      <c r="A94" s="8" t="b">
        <f>FALSE()</f>
        <v>0</v>
      </c>
      <c r="B94" s="8"/>
      <c r="C94" s="4" t="s">
        <v>581</v>
      </c>
      <c r="D94" s="4" t="s">
        <v>582</v>
      </c>
      <c r="E94" s="4" t="s">
        <v>13</v>
      </c>
      <c r="F94" s="4" t="s">
        <v>2417</v>
      </c>
      <c r="G94" s="4" t="s">
        <v>2418</v>
      </c>
      <c r="H94" s="4" t="str">
        <f t="shared" si="4"/>
        <v>att_celllines</v>
      </c>
      <c r="I94" s="4" t="s">
        <v>581</v>
      </c>
      <c r="J94" s="4" t="str">
        <f t="shared" si="5"/>
        <v>att_celllines:snb75</v>
      </c>
      <c r="K94" s="7" t="s">
        <v>17</v>
      </c>
      <c r="L94" s="4" t="s">
        <v>564</v>
      </c>
      <c r="M94" s="4" t="s">
        <v>2419</v>
      </c>
      <c r="N94" s="4" t="str">
        <f t="shared" si="6"/>
        <v>INSERT INTO attributes (parent_id, tag, name, priority, allow_as_filter, allow_for_dataset, allow_for_measurement, allow_for_users, allow_for_qc) VALUES (NULL, 'att_celllines',  'Celllines',  500,  TRUE, TRUE, TRUE, FALSE, FALSE);</v>
      </c>
      <c r="O94" s="4" t="str">
        <f t="shared" si="7"/>
        <v xml:space="preserve">INSERT INTO attribute_values (attribute_id, tag, name, details) VALUES ((SELECT id FROM attributes WHERE tag = 'att_celllines' LIMIT 1),  'att_celllines:snb75',  'SNB-75',  'Human NCI-60 cell line; central nervous system (CNS) tumor '); </v>
      </c>
    </row>
    <row r="95" spans="1:15">
      <c r="A95" s="8" t="b">
        <f>FALSE()</f>
        <v>0</v>
      </c>
      <c r="B95" s="8"/>
      <c r="C95" s="4" t="s">
        <v>583</v>
      </c>
      <c r="D95" s="4" t="s">
        <v>584</v>
      </c>
      <c r="E95" s="4" t="s">
        <v>13</v>
      </c>
      <c r="F95" s="4" t="s">
        <v>2417</v>
      </c>
      <c r="G95" s="4" t="s">
        <v>2418</v>
      </c>
      <c r="H95" s="4" t="str">
        <f t="shared" si="4"/>
        <v>att_celllines</v>
      </c>
      <c r="I95" s="4" t="s">
        <v>583</v>
      </c>
      <c r="J95" s="4" t="str">
        <f t="shared" si="5"/>
        <v>att_celllines:sr</v>
      </c>
      <c r="K95" s="7" t="s">
        <v>17</v>
      </c>
      <c r="L95" s="4" t="s">
        <v>448</v>
      </c>
      <c r="M95" s="4" t="s">
        <v>2419</v>
      </c>
      <c r="N95" s="4" t="str">
        <f t="shared" si="6"/>
        <v>INSERT INTO attributes (parent_id, tag, name, priority, allow_as_filter, allow_for_dataset, allow_for_measurement, allow_for_users, allow_for_qc) VALUES (NULL, 'att_celllines',  'Celllines',  500,  TRUE, TRUE, TRUE, FALSE, FALSE);</v>
      </c>
      <c r="O95" s="4" t="str">
        <f t="shared" si="7"/>
        <v xml:space="preserve">INSERT INTO attribute_values (attribute_id, tag, name, details) VALUES ((SELECT id FROM attributes WHERE tag = 'att_celllines' LIMIT 1),  'att_celllines:sr',  'SR',  'Human NCI-60 cell line; Leukemia'); </v>
      </c>
    </row>
    <row r="96" spans="1:15">
      <c r="A96" s="8" t="b">
        <f>FALSE()</f>
        <v>0</v>
      </c>
      <c r="B96" s="8"/>
      <c r="C96" s="4" t="s">
        <v>585</v>
      </c>
      <c r="D96" s="4" t="s">
        <v>586</v>
      </c>
      <c r="E96" s="4" t="s">
        <v>13</v>
      </c>
      <c r="F96" s="4" t="s">
        <v>2417</v>
      </c>
      <c r="G96" s="4" t="s">
        <v>2418</v>
      </c>
      <c r="H96" s="4" t="str">
        <f t="shared" si="4"/>
        <v>att_celllines</v>
      </c>
      <c r="I96" s="4" t="s">
        <v>585</v>
      </c>
      <c r="J96" s="4" t="str">
        <f t="shared" si="5"/>
        <v>att_celllines:sw620</v>
      </c>
      <c r="K96" s="7" t="s">
        <v>17</v>
      </c>
      <c r="L96" s="4" t="s">
        <v>445</v>
      </c>
      <c r="M96" s="4" t="s">
        <v>2419</v>
      </c>
      <c r="N96" s="4" t="str">
        <f t="shared" si="6"/>
        <v>INSERT INTO attributes (parent_id, tag, name, priority, allow_as_filter, allow_for_dataset, allow_for_measurement, allow_for_users, allow_for_qc) VALUES (NULL, 'att_celllines',  'Celllines',  500,  TRUE, TRUE, TRUE, FALSE, FALSE);</v>
      </c>
      <c r="O96" s="4" t="str">
        <f t="shared" si="7"/>
        <v xml:space="preserve">INSERT INTO attribute_values (attribute_id, tag, name, details) VALUES ((SELECT id FROM attributes WHERE tag = 'att_celllines' LIMIT 1),  'att_celllines:sw620',  'SW-620',  'Human NCI-60 cell line; Colon cancer'); </v>
      </c>
    </row>
    <row r="97" spans="1:15">
      <c r="A97" s="8" t="b">
        <f>FALSE()</f>
        <v>0</v>
      </c>
      <c r="B97" s="8"/>
      <c r="C97" s="4" t="s">
        <v>587</v>
      </c>
      <c r="D97" s="4" t="s">
        <v>588</v>
      </c>
      <c r="E97" s="4" t="s">
        <v>13</v>
      </c>
      <c r="F97" s="4" t="s">
        <v>2417</v>
      </c>
      <c r="G97" s="4" t="s">
        <v>2418</v>
      </c>
      <c r="H97" s="4" t="str">
        <f t="shared" si="4"/>
        <v>att_celllines</v>
      </c>
      <c r="I97" s="4" t="s">
        <v>587</v>
      </c>
      <c r="J97" s="4" t="str">
        <f t="shared" si="5"/>
        <v>att_celllines:t47d</v>
      </c>
      <c r="K97" s="7" t="s">
        <v>17</v>
      </c>
      <c r="L97" s="4" t="s">
        <v>437</v>
      </c>
      <c r="M97" s="4" t="s">
        <v>2419</v>
      </c>
      <c r="N97" s="4" t="str">
        <f t="shared" si="6"/>
        <v>INSERT INTO attributes (parent_id, tag, name, priority, allow_as_filter, allow_for_dataset, allow_for_measurement, allow_for_users, allow_for_qc) VALUES (NULL, 'att_celllines',  'Celllines',  500,  TRUE, TRUE, TRUE, FALSE, FALSE);</v>
      </c>
      <c r="O97" s="4" t="str">
        <f t="shared" si="7"/>
        <v xml:space="preserve">INSERT INTO attribute_values (attribute_id, tag, name, details) VALUES ((SELECT id FROM attributes WHERE tag = 'att_celllines' LIMIT 1),  'att_celllines:t47d',  'T-47D',  'Human NCI-60 cell line; Breast Cancer'); </v>
      </c>
    </row>
    <row r="98" spans="1:15">
      <c r="A98" s="8" t="b">
        <f>FALSE()</f>
        <v>0</v>
      </c>
      <c r="B98" s="8"/>
      <c r="C98" s="4" t="s">
        <v>589</v>
      </c>
      <c r="D98" s="4" t="s">
        <v>590</v>
      </c>
      <c r="E98" s="4" t="s">
        <v>13</v>
      </c>
      <c r="F98" s="4" t="s">
        <v>2417</v>
      </c>
      <c r="G98" s="4" t="s">
        <v>2418</v>
      </c>
      <c r="H98" s="4" t="str">
        <f t="shared" si="4"/>
        <v>att_celllines</v>
      </c>
      <c r="I98" s="4" t="s">
        <v>589</v>
      </c>
      <c r="J98" s="4" t="str">
        <f t="shared" si="5"/>
        <v>att_celllines:thp1</v>
      </c>
      <c r="K98" s="7" t="s">
        <v>17</v>
      </c>
      <c r="L98" s="4" t="s">
        <v>591</v>
      </c>
      <c r="M98" s="4" t="s">
        <v>13</v>
      </c>
      <c r="N98" s="4" t="str">
        <f t="shared" si="6"/>
        <v>INSERT INTO attributes (parent_id, tag, name, priority, allow_as_filter, allow_for_dataset, allow_for_measurement, allow_for_users, allow_for_qc) VALUES (NULL, 'att_celllines',  'Celllines',  500,  TRUE, TRUE, TRUE, FALSE, FALSE);</v>
      </c>
      <c r="O98" s="4" t="str">
        <f t="shared" si="7"/>
        <v xml:space="preserve">INSERT INTO attribute_values (attribute_id, tag, name, details) VALUES ((SELECT id FROM attributes WHERE tag = 'att_celllines' LIMIT 1),  'att_celllines:thp1',  'THP1',  'Human acute monocytic leukemia cell line'); </v>
      </c>
    </row>
    <row r="99" spans="1:15">
      <c r="A99" s="8" t="b">
        <f>FALSE()</f>
        <v>0</v>
      </c>
      <c r="B99" s="8"/>
      <c r="C99" s="4" t="s">
        <v>592</v>
      </c>
      <c r="D99" s="4" t="s">
        <v>593</v>
      </c>
      <c r="E99" s="4" t="s">
        <v>13</v>
      </c>
      <c r="F99" s="4" t="s">
        <v>2417</v>
      </c>
      <c r="G99" s="4" t="s">
        <v>2418</v>
      </c>
      <c r="H99" s="4" t="str">
        <f t="shared" si="4"/>
        <v>att_celllines</v>
      </c>
      <c r="I99" s="4" t="s">
        <v>592</v>
      </c>
      <c r="J99" s="4" t="str">
        <f t="shared" si="5"/>
        <v>att_celllines:tk10</v>
      </c>
      <c r="K99" s="7" t="s">
        <v>17</v>
      </c>
      <c r="L99" s="4" t="s">
        <v>422</v>
      </c>
      <c r="M99" s="4" t="s">
        <v>2419</v>
      </c>
      <c r="N99" s="4" t="str">
        <f t="shared" si="6"/>
        <v>INSERT INTO attributes (parent_id, tag, name, priority, allow_as_filter, allow_for_dataset, allow_for_measurement, allow_for_users, allow_for_qc) VALUES (NULL, 'att_celllines',  'Celllines',  500,  TRUE, TRUE, TRUE, FALSE, FALSE);</v>
      </c>
      <c r="O99" s="4" t="str">
        <f t="shared" si="7"/>
        <v xml:space="preserve">INSERT INTO attribute_values (attribute_id, tag, name, details) VALUES ((SELECT id FROM attributes WHERE tag = 'att_celllines' LIMIT 1),  'att_celllines:tk10',  'TK-10',  'Human NCI-60 cell line; Renal Cancer'); </v>
      </c>
    </row>
    <row r="100" spans="1:15">
      <c r="A100" s="8" t="b">
        <f>FALSE()</f>
        <v>0</v>
      </c>
      <c r="B100" s="8"/>
      <c r="C100" s="4" t="s">
        <v>594</v>
      </c>
      <c r="D100" s="4" t="s">
        <v>595</v>
      </c>
      <c r="E100" s="4" t="s">
        <v>13</v>
      </c>
      <c r="F100" s="4" t="s">
        <v>2417</v>
      </c>
      <c r="G100" s="4" t="s">
        <v>2418</v>
      </c>
      <c r="H100" s="4" t="str">
        <f t="shared" si="4"/>
        <v>att_celllines</v>
      </c>
      <c r="I100" s="4" t="s">
        <v>594</v>
      </c>
      <c r="J100" s="4" t="str">
        <f t="shared" si="5"/>
        <v>att_celllines:u251</v>
      </c>
      <c r="K100" s="7" t="s">
        <v>17</v>
      </c>
      <c r="L100" s="4" t="s">
        <v>564</v>
      </c>
      <c r="M100" s="4" t="s">
        <v>2419</v>
      </c>
      <c r="N100" s="4" t="str">
        <f t="shared" si="6"/>
        <v>INSERT INTO attributes (parent_id, tag, name, priority, allow_as_filter, allow_for_dataset, allow_for_measurement, allow_for_users, allow_for_qc) VALUES (NULL, 'att_celllines',  'Celllines',  500,  TRUE, TRUE, TRUE, FALSE, FALSE);</v>
      </c>
      <c r="O100" s="4" t="str">
        <f t="shared" si="7"/>
        <v xml:space="preserve">INSERT INTO attribute_values (attribute_id, tag, name, details) VALUES ((SELECT id FROM attributes WHERE tag = 'att_celllines' LIMIT 1),  'att_celllines:u251',  'U251',  'Human NCI-60 cell line; central nervous system (CNS) tumor '); </v>
      </c>
    </row>
    <row r="101" spans="1:15">
      <c r="A101" s="8" t="b">
        <f>FALSE()</f>
        <v>0</v>
      </c>
      <c r="B101" s="8"/>
      <c r="C101" s="4" t="s">
        <v>596</v>
      </c>
      <c r="D101" s="4" t="s">
        <v>597</v>
      </c>
      <c r="E101" s="4" t="s">
        <v>13</v>
      </c>
      <c r="F101" s="4" t="s">
        <v>2417</v>
      </c>
      <c r="G101" s="4" t="s">
        <v>2418</v>
      </c>
      <c r="H101" s="4" t="str">
        <f t="shared" si="4"/>
        <v>att_celllines</v>
      </c>
      <c r="I101" s="4" t="s">
        <v>596</v>
      </c>
      <c r="J101" s="4" t="str">
        <f t="shared" si="5"/>
        <v>att_celllines:u937</v>
      </c>
      <c r="K101" s="7" t="s">
        <v>17</v>
      </c>
      <c r="L101" s="4" t="s">
        <v>598</v>
      </c>
      <c r="M101" s="4" t="s">
        <v>13</v>
      </c>
      <c r="N101" s="4" t="str">
        <f t="shared" si="6"/>
        <v>INSERT INTO attributes (parent_id, tag, name, priority, allow_as_filter, allow_for_dataset, allow_for_measurement, allow_for_users, allow_for_qc) VALUES (NULL, 'att_celllines',  'Celllines',  500,  TRUE, TRUE, TRUE, FALSE, FALSE);</v>
      </c>
      <c r="O101" s="4" t="str">
        <f t="shared" si="7"/>
        <v xml:space="preserve">INSERT INTO attribute_values (attribute_id, tag, name, details) VALUES ((SELECT id FROM attributes WHERE tag = 'att_celllines' LIMIT 1),  'att_celllines:u937',  'U937',  'Pro-monocytic model cell line isolated from histiocytic lymphoma'); </v>
      </c>
    </row>
    <row r="102" spans="1:15">
      <c r="A102" s="8" t="b">
        <f>FALSE()</f>
        <v>0</v>
      </c>
      <c r="B102" s="8"/>
      <c r="C102" s="4" t="s">
        <v>599</v>
      </c>
      <c r="D102" s="4" t="s">
        <v>600</v>
      </c>
      <c r="E102" s="4" t="s">
        <v>13</v>
      </c>
      <c r="F102" s="4" t="s">
        <v>2417</v>
      </c>
      <c r="G102" s="4" t="s">
        <v>2418</v>
      </c>
      <c r="H102" s="4" t="str">
        <f t="shared" si="4"/>
        <v>att_celllines</v>
      </c>
      <c r="I102" s="4" t="s">
        <v>599</v>
      </c>
      <c r="J102" s="4" t="str">
        <f t="shared" si="5"/>
        <v>att_celllines:uacc257</v>
      </c>
      <c r="K102" s="7" t="s">
        <v>17</v>
      </c>
      <c r="L102" s="4" t="s">
        <v>501</v>
      </c>
      <c r="M102" s="4" t="s">
        <v>2419</v>
      </c>
      <c r="N102" s="4" t="str">
        <f t="shared" si="6"/>
        <v>INSERT INTO attributes (parent_id, tag, name, priority, allow_as_filter, allow_for_dataset, allow_for_measurement, allow_for_users, allow_for_qc) VALUES (NULL, 'att_celllines',  'Celllines',  500,  TRUE, TRUE, TRUE, FALSE, FALSE);</v>
      </c>
      <c r="O102" s="4" t="str">
        <f t="shared" si="7"/>
        <v xml:space="preserve">INSERT INTO attribute_values (attribute_id, tag, name, details) VALUES ((SELECT id FROM attributes WHERE tag = 'att_celllines' LIMIT 1),  'att_celllines:uacc257',  'UACC-257',  'Human NCI-60 cell line; Melanoma'); </v>
      </c>
    </row>
    <row r="103" spans="1:15">
      <c r="A103" s="8" t="b">
        <f>FALSE()</f>
        <v>0</v>
      </c>
      <c r="B103" s="8"/>
      <c r="C103" s="4" t="s">
        <v>601</v>
      </c>
      <c r="D103" s="4" t="s">
        <v>602</v>
      </c>
      <c r="E103" s="4" t="s">
        <v>13</v>
      </c>
      <c r="F103" s="4" t="s">
        <v>2417</v>
      </c>
      <c r="G103" s="4" t="s">
        <v>2418</v>
      </c>
      <c r="H103" s="4" t="str">
        <f t="shared" si="4"/>
        <v>att_celllines</v>
      </c>
      <c r="I103" s="4" t="s">
        <v>601</v>
      </c>
      <c r="J103" s="4" t="str">
        <f t="shared" si="5"/>
        <v>att_celllines:uacc62</v>
      </c>
      <c r="K103" s="7" t="s">
        <v>17</v>
      </c>
      <c r="L103" s="4" t="s">
        <v>501</v>
      </c>
      <c r="M103" s="4" t="s">
        <v>2419</v>
      </c>
      <c r="N103" s="4" t="str">
        <f t="shared" si="6"/>
        <v>INSERT INTO attributes (parent_id, tag, name, priority, allow_as_filter, allow_for_dataset, allow_for_measurement, allow_for_users, allow_for_qc) VALUES (NULL, 'att_celllines',  'Celllines',  500,  TRUE, TRUE, TRUE, FALSE, FALSE);</v>
      </c>
      <c r="O103" s="4" t="str">
        <f t="shared" si="7"/>
        <v xml:space="preserve">INSERT INTO attribute_values (attribute_id, tag, name, details) VALUES ((SELECT id FROM attributes WHERE tag = 'att_celllines' LIMIT 1),  'att_celllines:uacc62',  'UACC-62',  'Human NCI-60 cell line; Melanoma'); </v>
      </c>
    </row>
    <row r="104" spans="1:15">
      <c r="A104" s="8" t="b">
        <f>FALSE()</f>
        <v>0</v>
      </c>
      <c r="B104" s="8"/>
      <c r="C104" s="4" t="s">
        <v>603</v>
      </c>
      <c r="D104" s="4" t="s">
        <v>604</v>
      </c>
      <c r="E104" s="4" t="s">
        <v>13</v>
      </c>
      <c r="F104" s="4" t="s">
        <v>2417</v>
      </c>
      <c r="G104" s="4" t="s">
        <v>2418</v>
      </c>
      <c r="H104" s="4" t="str">
        <f t="shared" si="4"/>
        <v>att_celllines</v>
      </c>
      <c r="I104" s="4" t="s">
        <v>603</v>
      </c>
      <c r="J104" s="4" t="str">
        <f t="shared" si="5"/>
        <v>att_celllines:uo31</v>
      </c>
      <c r="K104" s="7" t="s">
        <v>17</v>
      </c>
      <c r="L104" s="4" t="s">
        <v>422</v>
      </c>
      <c r="M104" s="4" t="s">
        <v>2419</v>
      </c>
      <c r="N104" s="4" t="str">
        <f t="shared" si="6"/>
        <v>INSERT INTO attributes (parent_id, tag, name, priority, allow_as_filter, allow_for_dataset, allow_for_measurement, allow_for_users, allow_for_qc) VALUES (NULL, 'att_celllines',  'Celllines',  500,  TRUE, TRUE, TRUE, FALSE, FALSE);</v>
      </c>
      <c r="O104" s="4" t="str">
        <f t="shared" si="7"/>
        <v xml:space="preserve">INSERT INTO attribute_values (attribute_id, tag, name, details) VALUES ((SELECT id FROM attributes WHERE tag = 'att_celllines' LIMIT 1),  'att_celllines:uo31',  'UO-31',  'Human NCI-60 cell line; Renal Cancer'); </v>
      </c>
    </row>
    <row r="105" spans="1:15">
      <c r="A105" s="8" t="b">
        <f>FALSE()</f>
        <v>0</v>
      </c>
      <c r="B105" s="8"/>
      <c r="C105" s="4" t="s">
        <v>605</v>
      </c>
      <c r="D105" s="4" t="s">
        <v>606</v>
      </c>
      <c r="E105" s="4" t="s">
        <v>13</v>
      </c>
      <c r="F105" s="4" t="s">
        <v>2417</v>
      </c>
      <c r="G105" s="4" t="s">
        <v>2418</v>
      </c>
      <c r="H105" s="4" t="str">
        <f t="shared" si="4"/>
        <v>att_celllines</v>
      </c>
      <c r="I105" s="4" t="s">
        <v>605</v>
      </c>
      <c r="J105" s="4" t="str">
        <f t="shared" si="5"/>
        <v>att_celllines:z138</v>
      </c>
      <c r="K105" s="7" t="s">
        <v>17</v>
      </c>
      <c r="L105" s="4" t="s">
        <v>487</v>
      </c>
      <c r="M105" s="4" t="s">
        <v>13</v>
      </c>
      <c r="N105" s="4" t="str">
        <f t="shared" si="6"/>
        <v>INSERT INTO attributes (parent_id, tag, name, priority, allow_as_filter, allow_for_dataset, allow_for_measurement, allow_for_users, allow_for_qc) VALUES (NULL, 'att_celllines',  'Celllines',  500,  TRUE, TRUE, TRUE, FALSE, FALSE);</v>
      </c>
      <c r="O105" s="4" t="str">
        <f t="shared" si="7"/>
        <v xml:space="preserve">INSERT INTO attribute_values (attribute_id, tag, name, details) VALUES ((SELECT id FROM attributes WHERE tag = 'att_celllines' LIMIT 1),  'att_celllines:z138',  'Z-138',  'Human Mantle cell lymphoma'); </v>
      </c>
    </row>
    <row r="106" spans="1:15">
      <c r="A106" s="8" t="b">
        <f>FALSE()</f>
        <v>0</v>
      </c>
      <c r="B106" s="8"/>
      <c r="C106" s="4" t="s">
        <v>334</v>
      </c>
      <c r="D106" s="4" t="s">
        <v>335</v>
      </c>
      <c r="E106" s="4" t="s">
        <v>13</v>
      </c>
      <c r="F106" s="4" t="s">
        <v>2421</v>
      </c>
      <c r="G106" s="4" t="s">
        <v>2422</v>
      </c>
      <c r="H106" s="4" t="str">
        <f t="shared" si="4"/>
        <v>att_cells</v>
      </c>
      <c r="I106" s="4" t="s">
        <v>333</v>
      </c>
      <c r="J106" s="4" t="str">
        <f t="shared" si="5"/>
        <v>att_cells:adipose_macrophages</v>
      </c>
      <c r="K106" s="7" t="s">
        <v>17</v>
      </c>
      <c r="L106" s="4" t="s">
        <v>336</v>
      </c>
      <c r="M106" s="4" t="s">
        <v>13</v>
      </c>
      <c r="N106" s="4" t="str">
        <f t="shared" si="6"/>
        <v>INSERT INTO attributes (parent_id, tag, name, priority, allow_as_filter, allow_for_dataset, allow_for_measurement, allow_for_users, allow_for_qc) VALUES (NULL, 'att_cells',  'Cells',  500,  TRUE, TRUE, TRUE, FALSE, FALSE);</v>
      </c>
      <c r="O106" s="4" t="str">
        <f t="shared" si="7"/>
        <v xml:space="preserve">INSERT INTO attribute_values (attribute_id, tag, name, details) VALUES ((SELECT id FROM attributes WHERE tag = 'att_cells' LIMIT 1),  'att_cells:adipose_macrophages',  'Adipose Macrophages',  'Adipose tissue macrophages'); </v>
      </c>
    </row>
    <row r="107" spans="1:15">
      <c r="A107" s="8" t="b">
        <f>FALSE()</f>
        <v>0</v>
      </c>
      <c r="B107" s="8"/>
      <c r="C107" s="4" t="s">
        <v>337</v>
      </c>
      <c r="D107" s="4" t="s">
        <v>295</v>
      </c>
      <c r="E107" s="4" t="s">
        <v>13</v>
      </c>
      <c r="F107" s="4" t="s">
        <v>2421</v>
      </c>
      <c r="G107" s="4" t="s">
        <v>2422</v>
      </c>
      <c r="H107" s="4" t="str">
        <f t="shared" si="4"/>
        <v>att_cells</v>
      </c>
      <c r="I107" s="4" t="s">
        <v>337</v>
      </c>
      <c r="J107" s="4" t="str">
        <f t="shared" si="5"/>
        <v>att_cells:astrocytes</v>
      </c>
      <c r="K107" s="7" t="s">
        <v>17</v>
      </c>
      <c r="L107" s="4" t="s">
        <v>295</v>
      </c>
      <c r="M107" s="4" t="s">
        <v>13</v>
      </c>
      <c r="N107" s="4" t="str">
        <f t="shared" si="6"/>
        <v>INSERT INTO attributes (parent_id, tag, name, priority, allow_as_filter, allow_for_dataset, allow_for_measurement, allow_for_users, allow_for_qc) VALUES (NULL, 'att_cells',  'Cells',  500,  TRUE, TRUE, TRUE, FALSE, FALSE);</v>
      </c>
      <c r="O107" s="4" t="str">
        <f t="shared" si="7"/>
        <v xml:space="preserve">INSERT INTO attribute_values (attribute_id, tag, name, details) VALUES ((SELECT id FROM attributes WHERE tag = 'att_cells' LIMIT 1),  'att_cells:astrocytes',  'Astrocytes',  'Astrocytes'); </v>
      </c>
    </row>
    <row r="108" spans="1:15">
      <c r="A108" s="8" t="b">
        <f>FALSE()</f>
        <v>0</v>
      </c>
      <c r="B108" s="8"/>
      <c r="C108" s="4" t="s">
        <v>338</v>
      </c>
      <c r="D108" s="4" t="s">
        <v>339</v>
      </c>
      <c r="E108" s="4" t="s">
        <v>13</v>
      </c>
      <c r="F108" s="4" t="s">
        <v>2421</v>
      </c>
      <c r="G108" s="4" t="s">
        <v>2422</v>
      </c>
      <c r="H108" s="4" t="str">
        <f t="shared" si="4"/>
        <v>att_cells</v>
      </c>
      <c r="I108" s="4" t="s">
        <v>338</v>
      </c>
      <c r="J108" s="4" t="str">
        <f t="shared" si="5"/>
        <v>att_cells:basophils</v>
      </c>
      <c r="K108" s="7" t="s">
        <v>17</v>
      </c>
      <c r="L108" s="4" t="s">
        <v>340</v>
      </c>
      <c r="M108" s="4" t="s">
        <v>13</v>
      </c>
      <c r="N108" s="4" t="str">
        <f t="shared" si="6"/>
        <v>INSERT INTO attributes (parent_id, tag, name, priority, allow_as_filter, allow_for_dataset, allow_for_measurement, allow_for_users, allow_for_qc) VALUES (NULL, 'att_cells',  'Cells',  500,  TRUE, TRUE, TRUE, FALSE, FALSE);</v>
      </c>
      <c r="O108" s="4" t="str">
        <f t="shared" si="7"/>
        <v xml:space="preserve">INSERT INTO attribute_values (attribute_id, tag, name, details) VALUES ((SELECT id FROM attributes WHERE tag = 'att_cells' LIMIT 1),  'att_cells:basophils',  'Basophils',  '&lt; 1% of leukocytes'); </v>
      </c>
    </row>
    <row r="109" spans="1:15">
      <c r="A109" s="8" t="b">
        <f>FALSE()</f>
        <v>0</v>
      </c>
      <c r="B109" s="8"/>
      <c r="C109" s="4" t="s">
        <v>341</v>
      </c>
      <c r="D109" s="4" t="s">
        <v>342</v>
      </c>
      <c r="E109" s="4" t="s">
        <v>13</v>
      </c>
      <c r="F109" s="4" t="s">
        <v>2421</v>
      </c>
      <c r="G109" s="4" t="s">
        <v>2422</v>
      </c>
      <c r="H109" s="4" t="str">
        <f t="shared" si="4"/>
        <v>att_cells</v>
      </c>
      <c r="I109" s="4" t="s">
        <v>341</v>
      </c>
      <c r="J109" s="4" t="str">
        <f t="shared" si="5"/>
        <v>att_cells:bcells</v>
      </c>
      <c r="K109" s="7" t="s">
        <v>17</v>
      </c>
      <c r="L109" s="4" t="s">
        <v>342</v>
      </c>
      <c r="M109" s="4" t="s">
        <v>13</v>
      </c>
      <c r="N109" s="4" t="str">
        <f t="shared" si="6"/>
        <v>INSERT INTO attributes (parent_id, tag, name, priority, allow_as_filter, allow_for_dataset, allow_for_measurement, allow_for_users, allow_for_qc) VALUES (NULL, 'att_cells',  'Cells',  500,  TRUE, TRUE, TRUE, FALSE, FALSE);</v>
      </c>
      <c r="O109" s="4" t="str">
        <f t="shared" si="7"/>
        <v xml:space="preserve">INSERT INTO attribute_values (attribute_id, tag, name, details) VALUES ((SELECT id FROM attributes WHERE tag = 'att_cells' LIMIT 1),  'att_cells:bcells',  'B cells',  'B cells'); </v>
      </c>
    </row>
    <row r="110" spans="1:15">
      <c r="A110" s="8" t="b">
        <f>FALSE()</f>
        <v>0</v>
      </c>
      <c r="B110" s="8"/>
      <c r="C110" s="4" t="s">
        <v>343</v>
      </c>
      <c r="D110" s="4" t="s">
        <v>344</v>
      </c>
      <c r="E110" s="4" t="s">
        <v>13</v>
      </c>
      <c r="F110" s="4" t="s">
        <v>2421</v>
      </c>
      <c r="G110" s="4" t="s">
        <v>2422</v>
      </c>
      <c r="H110" s="4" t="str">
        <f t="shared" si="4"/>
        <v>att_cells</v>
      </c>
      <c r="I110" s="4" t="s">
        <v>343</v>
      </c>
      <c r="J110" s="4" t="str">
        <f t="shared" si="5"/>
        <v>att_cells:cytotoxict</v>
      </c>
      <c r="K110" s="7" t="s">
        <v>17</v>
      </c>
      <c r="L110" s="4" t="s">
        <v>345</v>
      </c>
      <c r="M110" s="4" t="s">
        <v>13</v>
      </c>
      <c r="N110" s="4" t="str">
        <f t="shared" si="6"/>
        <v>INSERT INTO attributes (parent_id, tag, name, priority, allow_as_filter, allow_for_dataset, allow_for_measurement, allow_for_users, allow_for_qc) VALUES (NULL, 'att_cells',  'Cells',  500,  TRUE, TRUE, TRUE, FALSE, FALSE);</v>
      </c>
      <c r="O110" s="4" t="str">
        <f t="shared" si="7"/>
        <v xml:space="preserve">INSERT INTO attribute_values (attribute_id, tag, name, details) VALUES ((SELECT id FROM attributes WHERE tag = 'att_cells' LIMIT 1),  'att_cells:cytotoxict',  'Cytotoxic T cells',  'CD8+ cytotoxic T cells'); </v>
      </c>
    </row>
    <row r="111" spans="1:15">
      <c r="A111" s="8" t="b">
        <f>FALSE()</f>
        <v>0</v>
      </c>
      <c r="B111" s="8"/>
      <c r="C111" s="4" t="s">
        <v>346</v>
      </c>
      <c r="D111" s="4" t="s">
        <v>347</v>
      </c>
      <c r="E111" s="4" t="s">
        <v>13</v>
      </c>
      <c r="F111" s="4" t="s">
        <v>2421</v>
      </c>
      <c r="G111" s="4" t="s">
        <v>2422</v>
      </c>
      <c r="H111" s="4" t="str">
        <f t="shared" si="4"/>
        <v>att_cells</v>
      </c>
      <c r="I111" s="4" t="s">
        <v>346</v>
      </c>
      <c r="J111" s="4" t="str">
        <f t="shared" si="5"/>
        <v>att_cells:endothelial</v>
      </c>
      <c r="K111" s="7" t="s">
        <v>17</v>
      </c>
      <c r="L111" s="4" t="s">
        <v>348</v>
      </c>
      <c r="M111" s="4" t="s">
        <v>13</v>
      </c>
      <c r="N111" s="4" t="str">
        <f t="shared" si="6"/>
        <v>INSERT INTO attributes (parent_id, tag, name, priority, allow_as_filter, allow_for_dataset, allow_for_measurement, allow_for_users, allow_for_qc) VALUES (NULL, 'att_cells',  'Cells',  500,  TRUE, TRUE, TRUE, FALSE, FALSE);</v>
      </c>
      <c r="O111" s="4"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c r="A112" s="8" t="b">
        <f>FALSE()</f>
        <v>0</v>
      </c>
      <c r="B112" s="8"/>
      <c r="C112" s="4" t="s">
        <v>349</v>
      </c>
      <c r="D112" s="4" t="s">
        <v>350</v>
      </c>
      <c r="E112" s="4" t="s">
        <v>13</v>
      </c>
      <c r="F112" s="4" t="s">
        <v>2421</v>
      </c>
      <c r="G112" s="4" t="s">
        <v>2422</v>
      </c>
      <c r="H112" s="4" t="str">
        <f t="shared" si="4"/>
        <v>att_cells</v>
      </c>
      <c r="I112" s="4" t="s">
        <v>349</v>
      </c>
      <c r="J112" s="4" t="str">
        <f t="shared" si="5"/>
        <v>att_cells:eosinophils</v>
      </c>
      <c r="K112" s="7" t="s">
        <v>17</v>
      </c>
      <c r="L112" s="4" t="s">
        <v>351</v>
      </c>
      <c r="M112" s="4" t="s">
        <v>13</v>
      </c>
      <c r="N112" s="4" t="str">
        <f t="shared" si="6"/>
        <v>INSERT INTO attributes (parent_id, tag, name, priority, allow_as_filter, allow_for_dataset, allow_for_measurement, allow_for_users, allow_for_qc) VALUES (NULL, 'att_cells',  'Cells',  500,  TRUE, TRUE, TRUE, FALSE, FALSE);</v>
      </c>
      <c r="O112" s="4" t="str">
        <f t="shared" si="7"/>
        <v xml:space="preserve">INSERT INTO attribute_values (attribute_id, tag, name, details) VALUES ((SELECT id FROM attributes WHERE tag = 'att_cells' LIMIT 1),  'att_cells:eosinophils',  'Eosinophils',  '2% of leukocytes'); </v>
      </c>
    </row>
    <row r="113" spans="1:15">
      <c r="A113" s="8" t="b">
        <f>FALSE()</f>
        <v>0</v>
      </c>
      <c r="B113" s="8"/>
      <c r="C113" s="4" t="s">
        <v>352</v>
      </c>
      <c r="D113" s="4" t="s">
        <v>353</v>
      </c>
      <c r="E113" s="4" t="s">
        <v>13</v>
      </c>
      <c r="F113" s="4" t="s">
        <v>2421</v>
      </c>
      <c r="G113" s="4" t="s">
        <v>2422</v>
      </c>
      <c r="H113" s="4" t="str">
        <f t="shared" si="4"/>
        <v>att_cells</v>
      </c>
      <c r="I113" s="4" t="s">
        <v>352</v>
      </c>
      <c r="J113" s="4" t="str">
        <f t="shared" si="5"/>
        <v>att_cells:epithelioid</v>
      </c>
      <c r="K113" s="7" t="s">
        <v>17</v>
      </c>
      <c r="L113" s="4" t="s">
        <v>354</v>
      </c>
      <c r="M113" s="4" t="s">
        <v>13</v>
      </c>
      <c r="N113" s="4" t="str">
        <f t="shared" si="6"/>
        <v>INSERT INTO attributes (parent_id, tag, name, priority, allow_as_filter, allow_for_dataset, allow_for_measurement, allow_for_users, allow_for_qc) VALUES (NULL, 'att_cells',  'Cells',  500,  TRUE, TRUE, TRUE, FALSE, FALSE);</v>
      </c>
      <c r="O113" s="4" t="str">
        <f t="shared" si="7"/>
        <v xml:space="preserve">INSERT INTO attribute_values (attribute_id, tag, name, details) VALUES ((SELECT id FROM attributes WHERE tag = 'att_cells' LIMIT 1),  'att_cells:epithelioid',  'Epithelioid',  'Granulomas'); </v>
      </c>
    </row>
    <row r="114" spans="1:15">
      <c r="A114" s="8" t="b">
        <f>FALSE()</f>
        <v>0</v>
      </c>
      <c r="B114" s="8"/>
      <c r="C114" s="4" t="s">
        <v>355</v>
      </c>
      <c r="D114" s="4" t="s">
        <v>356</v>
      </c>
      <c r="E114" s="4" t="s">
        <v>13</v>
      </c>
      <c r="F114" s="4" t="s">
        <v>2421</v>
      </c>
      <c r="G114" s="4" t="s">
        <v>2422</v>
      </c>
      <c r="H114" s="4" t="str">
        <f t="shared" si="4"/>
        <v>att_cells</v>
      </c>
      <c r="I114" s="4" t="s">
        <v>355</v>
      </c>
      <c r="J114" s="4" t="str">
        <f t="shared" si="5"/>
        <v>att_cells:erythrocytes</v>
      </c>
      <c r="K114" s="7" t="s">
        <v>17</v>
      </c>
      <c r="L114" s="4" t="s">
        <v>357</v>
      </c>
      <c r="M114" s="4" t="s">
        <v>13</v>
      </c>
      <c r="N114" s="4" t="str">
        <f t="shared" si="6"/>
        <v>INSERT INTO attributes (parent_id, tag, name, priority, allow_as_filter, allow_for_dataset, allow_for_measurement, allow_for_users, allow_for_qc) VALUES (NULL, 'att_cells',  'Cells',  500,  TRUE, TRUE, TRUE, FALSE, FALSE);</v>
      </c>
      <c r="O114" s="4" t="str">
        <f t="shared" si="7"/>
        <v xml:space="preserve">INSERT INTO attribute_values (attribute_id, tag, name, details) VALUES ((SELECT id FROM attributes WHERE tag = 'att_cells' LIMIT 1),  'att_cells:erythrocytes',  'Erythrocytes',  'Red blood cells'); </v>
      </c>
    </row>
    <row r="115" spans="1:15">
      <c r="A115" s="8" t="b">
        <f>FALSE()</f>
        <v>0</v>
      </c>
      <c r="B115" s="8"/>
      <c r="C115" s="4" t="s">
        <v>358</v>
      </c>
      <c r="D115" s="4" t="s">
        <v>359</v>
      </c>
      <c r="E115" s="4" t="s">
        <v>13</v>
      </c>
      <c r="F115" s="4" t="s">
        <v>2421</v>
      </c>
      <c r="G115" s="4" t="s">
        <v>2422</v>
      </c>
      <c r="H115" s="4" t="str">
        <f t="shared" si="4"/>
        <v>att_cells</v>
      </c>
      <c r="I115" s="4" t="s">
        <v>358</v>
      </c>
      <c r="J115" s="4" t="str">
        <f t="shared" si="5"/>
        <v>att_cells:gammadeltat</v>
      </c>
      <c r="K115" s="7" t="s">
        <v>17</v>
      </c>
      <c r="L115" s="4" t="s">
        <v>360</v>
      </c>
      <c r="M115" s="4" t="s">
        <v>13</v>
      </c>
      <c r="N115" s="4" t="str">
        <f t="shared" si="6"/>
        <v>INSERT INTO attributes (parent_id, tag, name, priority, allow_as_filter, allow_for_dataset, allow_for_measurement, allow_for_users, allow_for_qc) VALUES (NULL, 'att_cells',  'Cells',  500,  TRUE, TRUE, TRUE, FALSE, FALSE);</v>
      </c>
      <c r="O115" s="4" t="str">
        <f t="shared" si="7"/>
        <v xml:space="preserve">INSERT INTO attribute_values (attribute_id, tag, name, details) VALUES ((SELECT id FROM attributes WHERE tag = 'att_cells' LIMIT 1),  'att_cells:gammadeltat',  'Gamma Delta T cells',  'Gamma delta T cells'); </v>
      </c>
    </row>
    <row r="116" spans="1:15">
      <c r="A116" s="8" t="b">
        <f>FALSE()</f>
        <v>0</v>
      </c>
      <c r="B116" s="8"/>
      <c r="C116" s="4" t="s">
        <v>361</v>
      </c>
      <c r="D116" s="4" t="s">
        <v>362</v>
      </c>
      <c r="E116" s="4" t="s">
        <v>13</v>
      </c>
      <c r="F116" s="4" t="s">
        <v>2421</v>
      </c>
      <c r="G116" s="4" t="s">
        <v>2422</v>
      </c>
      <c r="H116" s="4" t="str">
        <f t="shared" si="4"/>
        <v>att_cells</v>
      </c>
      <c r="I116" s="4" t="s">
        <v>361</v>
      </c>
      <c r="J116" s="4" t="str">
        <f t="shared" si="5"/>
        <v>att_cells:hofbauer</v>
      </c>
      <c r="K116" s="7" t="s">
        <v>17</v>
      </c>
      <c r="L116" s="4" t="s">
        <v>363</v>
      </c>
      <c r="M116" s="4" t="s">
        <v>13</v>
      </c>
      <c r="N116" s="4" t="str">
        <f t="shared" si="6"/>
        <v>INSERT INTO attributes (parent_id, tag, name, priority, allow_as_filter, allow_for_dataset, allow_for_measurement, allow_for_users, allow_for_qc) VALUES (NULL, 'att_cells',  'Cells',  500,  TRUE, TRUE, TRUE, FALSE, FALSE);</v>
      </c>
      <c r="O116" s="4" t="str">
        <f t="shared" si="7"/>
        <v xml:space="preserve">INSERT INTO attribute_values (attribute_id, tag, name, details) VALUES ((SELECT id FROM attributes WHERE tag = 'att_cells' LIMIT 1),  'att_cells:hofbauer',  'Hofbauer',  'Hofbauer cells; Placenta'); </v>
      </c>
    </row>
    <row r="117" spans="1:15">
      <c r="A117" s="8" t="b">
        <f>FALSE()</f>
        <v>0</v>
      </c>
      <c r="B117" s="8"/>
      <c r="C117" s="4" t="s">
        <v>364</v>
      </c>
      <c r="D117" s="4" t="s">
        <v>365</v>
      </c>
      <c r="E117" s="4" t="s">
        <v>13</v>
      </c>
      <c r="F117" s="4" t="s">
        <v>2421</v>
      </c>
      <c r="G117" s="4" t="s">
        <v>2422</v>
      </c>
      <c r="H117" s="4" t="str">
        <f t="shared" si="4"/>
        <v>att_cells</v>
      </c>
      <c r="I117" s="4" t="s">
        <v>364</v>
      </c>
      <c r="J117" s="4" t="str">
        <f t="shared" si="5"/>
        <v>att_cells:keratinocytes</v>
      </c>
      <c r="K117" s="7" t="s">
        <v>17</v>
      </c>
      <c r="L117" s="4" t="s">
        <v>366</v>
      </c>
      <c r="M117" s="4" t="s">
        <v>13</v>
      </c>
      <c r="N117" s="4" t="str">
        <f t="shared" si="6"/>
        <v>INSERT INTO attributes (parent_id, tag, name, priority, allow_as_filter, allow_for_dataset, allow_for_measurement, allow_for_users, allow_for_qc) VALUES (NULL, 'att_cells',  'Cells',  500,  TRUE, TRUE, TRUE, FALSE, FALSE);</v>
      </c>
      <c r="O117" s="4" t="str">
        <f t="shared" si="7"/>
        <v xml:space="preserve">INSERT INTO attribute_values (attribute_id, tag, name, details) VALUES ((SELECT id FROM attributes WHERE tag = 'att_cells' LIMIT 1),  'att_cells:keratinocytes',  'Keratinocytes',  'Most prominent cell within the epidermis.'); </v>
      </c>
    </row>
    <row r="118" spans="1:15">
      <c r="A118" s="8" t="b">
        <f>FALSE()</f>
        <v>0</v>
      </c>
      <c r="B118" s="8"/>
      <c r="C118" s="4" t="s">
        <v>367</v>
      </c>
      <c r="D118" s="4" t="s">
        <v>368</v>
      </c>
      <c r="E118" s="4" t="s">
        <v>13</v>
      </c>
      <c r="F118" s="4" t="s">
        <v>2421</v>
      </c>
      <c r="G118" s="4" t="s">
        <v>2422</v>
      </c>
      <c r="H118" s="4" t="str">
        <f t="shared" si="4"/>
        <v>att_cells</v>
      </c>
      <c r="I118" s="4" t="s">
        <v>367</v>
      </c>
      <c r="J118" s="4" t="str">
        <f t="shared" si="5"/>
        <v>att_cells:kupffer</v>
      </c>
      <c r="K118" s="7" t="s">
        <v>17</v>
      </c>
      <c r="L118" s="4" t="s">
        <v>369</v>
      </c>
      <c r="M118" s="4" t="s">
        <v>13</v>
      </c>
      <c r="N118" s="4" t="str">
        <f t="shared" si="6"/>
        <v>INSERT INTO attributes (parent_id, tag, name, priority, allow_as_filter, allow_for_dataset, allow_for_measurement, allow_for_users, allow_for_qc) VALUES (NULL, 'att_cells',  'Cells',  500,  TRUE, TRUE, TRUE, FALSE, FALSE);</v>
      </c>
      <c r="O118" s="4" t="str">
        <f t="shared" si="7"/>
        <v xml:space="preserve">INSERT INTO attribute_values (attribute_id, tag, name, details) VALUES ((SELECT id FROM attributes WHERE tag = 'att_cells' LIMIT 1),  'att_cells:kupffer',  'Kupffer',  'Kupffer cells; Liver'); </v>
      </c>
    </row>
    <row r="119" spans="1:15">
      <c r="A119" s="8" t="b">
        <f>FALSE()</f>
        <v>0</v>
      </c>
      <c r="B119" s="8"/>
      <c r="C119" s="4" t="s">
        <v>370</v>
      </c>
      <c r="D119" s="4" t="s">
        <v>371</v>
      </c>
      <c r="E119" s="4" t="s">
        <v>13</v>
      </c>
      <c r="F119" s="4" t="s">
        <v>2421</v>
      </c>
      <c r="G119" s="4" t="s">
        <v>2422</v>
      </c>
      <c r="H119" s="4" t="str">
        <f t="shared" si="4"/>
        <v>att_cells</v>
      </c>
      <c r="I119" s="4" t="s">
        <v>370</v>
      </c>
      <c r="J119" s="4" t="str">
        <f t="shared" si="5"/>
        <v>att_cells:langerhans</v>
      </c>
      <c r="K119" s="7" t="s">
        <v>17</v>
      </c>
      <c r="L119" s="4" t="s">
        <v>372</v>
      </c>
      <c r="M119" s="4" t="s">
        <v>13</v>
      </c>
      <c r="N119" s="4" t="str">
        <f t="shared" si="6"/>
        <v>INSERT INTO attributes (parent_id, tag, name, priority, allow_as_filter, allow_for_dataset, allow_for_measurement, allow_for_users, allow_for_qc) VALUES (NULL, 'att_cells',  'Cells',  500,  TRUE, TRUE, TRUE, FALSE, FALSE);</v>
      </c>
      <c r="O119" s="4" t="str">
        <f t="shared" si="7"/>
        <v xml:space="preserve">INSERT INTO attribute_values (attribute_id, tag, name, details) VALUES ((SELECT id FROM attributes WHERE tag = 'att_cells' LIMIT 1),  'att_cells:langerhans',  'Langerhans',  'Langerhans cells; Skin'); </v>
      </c>
    </row>
    <row r="120" spans="1:15">
      <c r="A120" s="8" t="b">
        <f>FALSE()</f>
        <v>0</v>
      </c>
      <c r="B120" s="8"/>
      <c r="C120" s="4" t="s">
        <v>373</v>
      </c>
      <c r="D120" s="4" t="s">
        <v>374</v>
      </c>
      <c r="E120" s="4" t="s">
        <v>13</v>
      </c>
      <c r="F120" s="4" t="s">
        <v>2421</v>
      </c>
      <c r="G120" s="4" t="s">
        <v>2422</v>
      </c>
      <c r="H120" s="4" t="str">
        <f t="shared" si="4"/>
        <v>att_cells</v>
      </c>
      <c r="I120" s="4" t="s">
        <v>373</v>
      </c>
      <c r="J120" s="4" t="str">
        <f t="shared" si="5"/>
        <v>att_cells:leukocytes</v>
      </c>
      <c r="K120" s="7" t="s">
        <v>17</v>
      </c>
      <c r="L120" s="4" t="s">
        <v>375</v>
      </c>
      <c r="M120" s="4" t="s">
        <v>13</v>
      </c>
      <c r="N120" s="4" t="str">
        <f t="shared" si="6"/>
        <v>INSERT INTO attributes (parent_id, tag, name, priority, allow_as_filter, allow_for_dataset, allow_for_measurement, allow_for_users, allow_for_qc) VALUES (NULL, 'att_cells',  'Cells',  500,  TRUE, TRUE, TRUE, FALSE, FALSE);</v>
      </c>
      <c r="O120" s="4" t="str">
        <f t="shared" si="7"/>
        <v xml:space="preserve">INSERT INTO attribute_values (attribute_id, tag, name, details) VALUES ((SELECT id FROM attributes WHERE tag = 'att_cells' LIMIT 1),  'att_cells:leukocytes',  'Leukocytes',  'White blood cells'); </v>
      </c>
    </row>
    <row r="121" spans="1:15">
      <c r="A121" s="8" t="b">
        <f>FALSE()</f>
        <v>0</v>
      </c>
      <c r="B121" s="8"/>
      <c r="C121" s="4" t="s">
        <v>376</v>
      </c>
      <c r="D121" s="4" t="s">
        <v>377</v>
      </c>
      <c r="E121" s="4" t="s">
        <v>13</v>
      </c>
      <c r="F121" s="4" t="s">
        <v>2421</v>
      </c>
      <c r="G121" s="4" t="s">
        <v>2422</v>
      </c>
      <c r="H121" s="4" t="str">
        <f t="shared" si="4"/>
        <v>att_cells</v>
      </c>
      <c r="I121" s="4" t="s">
        <v>376</v>
      </c>
      <c r="J121" s="4" t="str">
        <f t="shared" si="5"/>
        <v>att_cells:lymphocytes</v>
      </c>
      <c r="K121" s="7" t="s">
        <v>17</v>
      </c>
      <c r="L121" s="4" t="s">
        <v>378</v>
      </c>
      <c r="M121" s="4" t="s">
        <v>13</v>
      </c>
      <c r="N121" s="4" t="str">
        <f t="shared" si="6"/>
        <v>INSERT INTO attributes (parent_id, tag, name, priority, allow_as_filter, allow_for_dataset, allow_for_measurement, allow_for_users, allow_for_qc) VALUES (NULL, 'att_cells',  'Cells',  500,  TRUE, TRUE, TRUE, FALSE, FALSE);</v>
      </c>
      <c r="O121" s="4" t="str">
        <f t="shared" si="7"/>
        <v xml:space="preserve">INSERT INTO attribute_values (attribute_id, tag, name, details) VALUES ((SELECT id FROM attributes WHERE tag = 'att_cells' LIMIT 1),  'att_cells:lymphocytes',  'Lymphocytes',  '30% of leukocytes; includes B cells and T cells'); </v>
      </c>
    </row>
    <row r="122" spans="1:15">
      <c r="A122" s="8" t="b">
        <f>FALSE()</f>
        <v>0</v>
      </c>
      <c r="B122" s="8"/>
      <c r="C122" s="4" t="s">
        <v>379</v>
      </c>
      <c r="D122" s="4" t="s">
        <v>380</v>
      </c>
      <c r="E122" s="4" t="s">
        <v>13</v>
      </c>
      <c r="F122" s="4" t="s">
        <v>2421</v>
      </c>
      <c r="G122" s="4" t="s">
        <v>2422</v>
      </c>
      <c r="H122" s="4" t="str">
        <f t="shared" si="4"/>
        <v>att_cells</v>
      </c>
      <c r="I122" s="4" t="s">
        <v>379</v>
      </c>
      <c r="J122" s="4" t="str">
        <f t="shared" si="5"/>
        <v>att_cells:macrophage</v>
      </c>
      <c r="K122" s="7" t="s">
        <v>17</v>
      </c>
      <c r="L122" s="4" t="s">
        <v>380</v>
      </c>
      <c r="M122" s="4" t="s">
        <v>13</v>
      </c>
      <c r="N122" s="4" t="str">
        <f t="shared" si="6"/>
        <v>INSERT INTO attributes (parent_id, tag, name, priority, allow_as_filter, allow_for_dataset, allow_for_measurement, allow_for_users, allow_for_qc) VALUES (NULL, 'att_cells',  'Cells',  500,  TRUE, TRUE, TRUE, FALSE, FALSE);</v>
      </c>
      <c r="O122" s="4" t="str">
        <f t="shared" si="7"/>
        <v xml:space="preserve">INSERT INTO attribute_values (attribute_id, tag, name, details) VALUES ((SELECT id FROM attributes WHERE tag = 'att_cells' LIMIT 1),  'att_cells:macrophage',  'Macrophage',  'Macrophage'); </v>
      </c>
    </row>
    <row r="123" spans="1:15">
      <c r="A123" s="8" t="b">
        <f>FALSE()</f>
        <v>0</v>
      </c>
      <c r="B123" s="8"/>
      <c r="C123" s="4" t="s">
        <v>381</v>
      </c>
      <c r="D123" s="4" t="s">
        <v>382</v>
      </c>
      <c r="E123" s="4" t="s">
        <v>13</v>
      </c>
      <c r="F123" s="4" t="s">
        <v>2421</v>
      </c>
      <c r="G123" s="4" t="s">
        <v>2422</v>
      </c>
      <c r="H123" s="4" t="str">
        <f t="shared" si="4"/>
        <v>att_cells</v>
      </c>
      <c r="I123" s="4" t="s">
        <v>381</v>
      </c>
      <c r="J123" s="4" t="str">
        <f t="shared" si="5"/>
        <v>att_cells:microglia</v>
      </c>
      <c r="K123" s="7" t="s">
        <v>17</v>
      </c>
      <c r="L123" s="4" t="s">
        <v>383</v>
      </c>
      <c r="M123" s="4" t="s">
        <v>13</v>
      </c>
      <c r="N123" s="4" t="str">
        <f t="shared" si="6"/>
        <v>INSERT INTO attributes (parent_id, tag, name, priority, allow_as_filter, allow_for_dataset, allow_for_measurement, allow_for_users, allow_for_qc) VALUES (NULL, 'att_cells',  'Cells',  500,  TRUE, TRUE, TRUE, FALSE, FALSE);</v>
      </c>
      <c r="O123" s="4" t="str">
        <f t="shared" si="7"/>
        <v xml:space="preserve">INSERT INTO attribute_values (attribute_id, tag, name, details) VALUES ((SELECT id FROM attributes WHERE tag = 'att_cells' LIMIT 1),  'att_cells:microglia',  'Microglia',  'Microglia; Central nervous system'); </v>
      </c>
    </row>
    <row r="124" spans="1:15">
      <c r="A124" s="8" t="b">
        <f>FALSE()</f>
        <v>0</v>
      </c>
      <c r="B124" s="8"/>
      <c r="C124" s="4" t="s">
        <v>384</v>
      </c>
      <c r="D124" s="4" t="s">
        <v>385</v>
      </c>
      <c r="E124" s="4" t="s">
        <v>13</v>
      </c>
      <c r="F124" s="4" t="s">
        <v>2421</v>
      </c>
      <c r="G124" s="4" t="s">
        <v>2422</v>
      </c>
      <c r="H124" s="4" t="str">
        <f t="shared" si="4"/>
        <v>att_cells</v>
      </c>
      <c r="I124" s="4" t="s">
        <v>384</v>
      </c>
      <c r="J124" s="4" t="str">
        <f t="shared" si="5"/>
        <v>att_cells:monoblast</v>
      </c>
      <c r="K124" s="7" t="s">
        <v>17</v>
      </c>
      <c r="L124" s="4" t="s">
        <v>385</v>
      </c>
      <c r="M124" s="4" t="s">
        <v>13</v>
      </c>
      <c r="N124" s="4" t="str">
        <f t="shared" si="6"/>
        <v>INSERT INTO attributes (parent_id, tag, name, priority, allow_as_filter, allow_for_dataset, allow_for_measurement, allow_for_users, allow_for_qc) VALUES (NULL, 'att_cells',  'Cells',  500,  TRUE, TRUE, TRUE, FALSE, FALSE);</v>
      </c>
      <c r="O124" s="4" t="str">
        <f t="shared" si="7"/>
        <v xml:space="preserve">INSERT INTO attribute_values (attribute_id, tag, name, details) VALUES ((SELECT id FROM attributes WHERE tag = 'att_cells' LIMIT 1),  'att_cells:monoblast',  'Monoblast',  'Monoblast'); </v>
      </c>
    </row>
    <row r="125" spans="1:15">
      <c r="A125" s="8" t="b">
        <f>FALSE()</f>
        <v>0</v>
      </c>
      <c r="B125" s="8"/>
      <c r="C125" s="4" t="s">
        <v>386</v>
      </c>
      <c r="D125" s="4" t="s">
        <v>304</v>
      </c>
      <c r="E125" s="4" t="s">
        <v>13</v>
      </c>
      <c r="F125" s="4" t="s">
        <v>2421</v>
      </c>
      <c r="G125" s="4" t="s">
        <v>2422</v>
      </c>
      <c r="H125" s="4" t="str">
        <f t="shared" si="4"/>
        <v>att_cells</v>
      </c>
      <c r="I125" s="4" t="s">
        <v>386</v>
      </c>
      <c r="J125" s="4" t="str">
        <f t="shared" si="5"/>
        <v>att_cells:monocytes</v>
      </c>
      <c r="K125" s="7" t="s">
        <v>17</v>
      </c>
      <c r="L125" s="4" t="s">
        <v>387</v>
      </c>
      <c r="M125" s="4" t="s">
        <v>13</v>
      </c>
      <c r="N125" s="4" t="str">
        <f t="shared" si="6"/>
        <v>INSERT INTO attributes (parent_id, tag, name, priority, allow_as_filter, allow_for_dataset, allow_for_measurement, allow_for_users, allow_for_qc) VALUES (NULL, 'att_cells',  'Cells',  500,  TRUE, TRUE, TRUE, FALSE, FALSE);</v>
      </c>
      <c r="O125" s="4" t="str">
        <f t="shared" si="7"/>
        <v xml:space="preserve">INSERT INTO attribute_values (attribute_id, tag, name, details) VALUES ((SELECT id FROM attributes WHERE tag = 'att_cells' LIMIT 1),  'att_cells:monocytes',  'Monocytes',  '5% of leukocytes'); </v>
      </c>
    </row>
    <row r="126" spans="1:15">
      <c r="A126" s="8" t="b">
        <f>FALSE()</f>
        <v>0</v>
      </c>
      <c r="B126" s="8"/>
      <c r="C126" s="4" t="s">
        <v>388</v>
      </c>
      <c r="D126" s="4" t="s">
        <v>389</v>
      </c>
      <c r="E126" s="4" t="s">
        <v>13</v>
      </c>
      <c r="F126" s="4" t="s">
        <v>2421</v>
      </c>
      <c r="G126" s="4" t="s">
        <v>2422</v>
      </c>
      <c r="H126" s="4" t="str">
        <f t="shared" si="4"/>
        <v>att_cells</v>
      </c>
      <c r="I126" s="4" t="s">
        <v>388</v>
      </c>
      <c r="J126" s="4" t="str">
        <f t="shared" si="5"/>
        <v>att_cells:neutrophils</v>
      </c>
      <c r="K126" s="7" t="s">
        <v>17</v>
      </c>
      <c r="L126" s="4" t="s">
        <v>390</v>
      </c>
      <c r="M126" s="4" t="s">
        <v>13</v>
      </c>
      <c r="N126" s="4" t="str">
        <f t="shared" si="6"/>
        <v>INSERT INTO attributes (parent_id, tag, name, priority, allow_as_filter, allow_for_dataset, allow_for_measurement, allow_for_users, allow_for_qc) VALUES (NULL, 'att_cells',  'Cells',  500,  TRUE, TRUE, TRUE, FALSE, FALSE);</v>
      </c>
      <c r="O126" s="4" t="str">
        <f t="shared" si="7"/>
        <v xml:space="preserve">INSERT INTO attribute_values (attribute_id, tag, name, details) VALUES ((SELECT id FROM attributes WHERE tag = 'att_cells' LIMIT 1),  'att_cells:neutrophils',  'Neutrophils',  '62% of leukocytes'); </v>
      </c>
    </row>
    <row r="127" spans="1:15">
      <c r="A127" s="8" t="b">
        <f>FALSE()</f>
        <v>0</v>
      </c>
      <c r="B127" s="8"/>
      <c r="C127" s="4" t="s">
        <v>391</v>
      </c>
      <c r="D127" s="4" t="s">
        <v>392</v>
      </c>
      <c r="E127" s="4" t="s">
        <v>13</v>
      </c>
      <c r="F127" s="4" t="s">
        <v>2421</v>
      </c>
      <c r="G127" s="4" t="s">
        <v>2422</v>
      </c>
      <c r="H127" s="4" t="str">
        <f t="shared" si="4"/>
        <v>att_cells</v>
      </c>
      <c r="I127" s="4" t="s">
        <v>391</v>
      </c>
      <c r="J127" s="4" t="str">
        <f t="shared" si="5"/>
        <v>att_cells:nk</v>
      </c>
      <c r="K127" s="7" t="s">
        <v>17</v>
      </c>
      <c r="L127" s="4" t="s">
        <v>393</v>
      </c>
      <c r="M127" s="4" t="s">
        <v>13</v>
      </c>
      <c r="N127" s="4" t="str">
        <f t="shared" si="6"/>
        <v>INSERT INTO attributes (parent_id, tag, name, priority, allow_as_filter, allow_for_dataset, allow_for_measurement, allow_for_users, allow_for_qc) VALUES (NULL, 'att_cells',  'Cells',  500,  TRUE, TRUE, TRUE, FALSE, FALSE);</v>
      </c>
      <c r="O127" s="4" t="str">
        <f t="shared" si="7"/>
        <v xml:space="preserve">INSERT INTO attribute_values (attribute_id, tag, name, details) VALUES ((SELECT id FROM attributes WHERE tag = 'att_cells' LIMIT 1),  'att_cells:nk',  'Natural Killer cells (NK)',  'Natural killer cells'); </v>
      </c>
    </row>
    <row r="128" spans="1:15">
      <c r="A128" s="8" t="b">
        <f>FALSE()</f>
        <v>0</v>
      </c>
      <c r="B128" s="8"/>
      <c r="C128" s="4" t="s">
        <v>394</v>
      </c>
      <c r="D128" s="4" t="s">
        <v>395</v>
      </c>
      <c r="E128" s="4" t="s">
        <v>13</v>
      </c>
      <c r="F128" s="4" t="s">
        <v>2421</v>
      </c>
      <c r="G128" s="4" t="s">
        <v>2422</v>
      </c>
      <c r="H128" s="4" t="str">
        <f t="shared" si="4"/>
        <v>att_cells</v>
      </c>
      <c r="I128" s="4" t="s">
        <v>394</v>
      </c>
      <c r="J128" s="4" t="str">
        <f t="shared" si="5"/>
        <v>att_cells:osteoblast</v>
      </c>
      <c r="K128" s="7" t="s">
        <v>17</v>
      </c>
      <c r="L128" s="4" t="s">
        <v>396</v>
      </c>
      <c r="M128" s="4" t="s">
        <v>13</v>
      </c>
      <c r="N128" s="4" t="str">
        <f t="shared" si="6"/>
        <v>INSERT INTO attributes (parent_id, tag, name, priority, allow_as_filter, allow_for_dataset, allow_for_measurement, allow_for_users, allow_for_qc) VALUES (NULL, 'att_cells',  'Cells',  500,  TRUE, TRUE, TRUE, FALSE, FALSE);</v>
      </c>
      <c r="O128" s="4" t="str">
        <f t="shared" si="7"/>
        <v xml:space="preserve">INSERT INTO attribute_values (attribute_id, tag, name, details) VALUES ((SELECT id FROM attributes WHERE tag = 'att_cells' LIMIT 1),  'att_cells:osteoblast',  'Osteoblast',  'forms bone matrix'); </v>
      </c>
    </row>
    <row r="129" spans="1:15">
      <c r="A129" s="8" t="b">
        <f>FALSE()</f>
        <v>0</v>
      </c>
      <c r="B129" s="8"/>
      <c r="C129" s="4" t="s">
        <v>397</v>
      </c>
      <c r="D129" s="4" t="s">
        <v>398</v>
      </c>
      <c r="E129" s="4" t="s">
        <v>13</v>
      </c>
      <c r="F129" s="4" t="s">
        <v>2421</v>
      </c>
      <c r="G129" s="4" t="s">
        <v>2422</v>
      </c>
      <c r="H129" s="4" t="str">
        <f t="shared" si="4"/>
        <v>att_cells</v>
      </c>
      <c r="I129" s="4" t="s">
        <v>397</v>
      </c>
      <c r="J129" s="4" t="str">
        <f t="shared" si="5"/>
        <v>att_cells:osteoclast</v>
      </c>
      <c r="K129" s="7" t="s">
        <v>17</v>
      </c>
      <c r="L129" s="4" t="s">
        <v>399</v>
      </c>
      <c r="M129" s="4" t="s">
        <v>13</v>
      </c>
      <c r="N129" s="4" t="str">
        <f t="shared" si="6"/>
        <v>INSERT INTO attributes (parent_id, tag, name, priority, allow_as_filter, allow_for_dataset, allow_for_measurement, allow_for_users, allow_for_qc) VALUES (NULL, 'att_cells',  'Cells',  500,  TRUE, TRUE, TRUE, FALSE, FALSE);</v>
      </c>
      <c r="O129" s="4" t="str">
        <f t="shared" si="7"/>
        <v xml:space="preserve">INSERT INTO attribute_values (attribute_id, tag, name, details) VALUES ((SELECT id FROM attributes WHERE tag = 'att_cells' LIMIT 1),  'att_cells:osteoclast',  'Osteoclast',  'resorbs bone'); </v>
      </c>
    </row>
    <row r="130" spans="1:15">
      <c r="A130" s="8" t="b">
        <f>FALSE()</f>
        <v>0</v>
      </c>
      <c r="B130" s="8"/>
      <c r="C130" s="4" t="s">
        <v>400</v>
      </c>
      <c r="D130" s="4" t="s">
        <v>401</v>
      </c>
      <c r="E130" s="4" t="s">
        <v>13</v>
      </c>
      <c r="F130" s="4" t="s">
        <v>2421</v>
      </c>
      <c r="G130" s="4" t="s">
        <v>2422</v>
      </c>
      <c r="H130" s="4" t="str">
        <f t="shared" ref="H130:H193" si="8">"att_"&amp;G130</f>
        <v>att_cells</v>
      </c>
      <c r="I130" s="4" t="s">
        <v>400</v>
      </c>
      <c r="J130" s="4" t="str">
        <f t="shared" ref="J130:J193" si="9">H130&amp;":"&amp;I130</f>
        <v>att_cells:osteocytes</v>
      </c>
      <c r="K130" s="7" t="s">
        <v>17</v>
      </c>
      <c r="L130" s="4" t="s">
        <v>402</v>
      </c>
      <c r="M130" s="4" t="s">
        <v>13</v>
      </c>
      <c r="N130" s="4"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4"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c r="A131" s="8" t="b">
        <f>FALSE()</f>
        <v>0</v>
      </c>
      <c r="B131" s="8"/>
      <c r="C131" s="4" t="s">
        <v>403</v>
      </c>
      <c r="D131" s="4" t="s">
        <v>404</v>
      </c>
      <c r="E131" s="4" t="s">
        <v>13</v>
      </c>
      <c r="F131" s="4" t="s">
        <v>2421</v>
      </c>
      <c r="G131" s="4" t="s">
        <v>2422</v>
      </c>
      <c r="H131" s="4" t="str">
        <f t="shared" si="8"/>
        <v>att_cells</v>
      </c>
      <c r="I131" s="4" t="s">
        <v>403</v>
      </c>
      <c r="J131" s="4" t="str">
        <f t="shared" si="9"/>
        <v>att_cells:osteogenic</v>
      </c>
      <c r="K131" s="7" t="s">
        <v>17</v>
      </c>
      <c r="L131" s="4" t="s">
        <v>405</v>
      </c>
      <c r="M131" s="4" t="s">
        <v>13</v>
      </c>
      <c r="N131" s="4" t="str">
        <f t="shared" si="10"/>
        <v>INSERT INTO attributes (parent_id, tag, name, priority, allow_as_filter, allow_for_dataset, allow_for_measurement, allow_for_users, allow_for_qc) VALUES (NULL, 'att_cells',  'Cells',  500,  TRUE, TRUE, TRUE, FALSE, FALSE);</v>
      </c>
      <c r="O131" s="4" t="str">
        <f t="shared" si="11"/>
        <v xml:space="preserve">INSERT INTO attribute_values (attribute_id, tag, name, details) VALUES ((SELECT id FROM attributes WHERE tag = 'att_cells' LIMIT 1),  'att_cells:osteogenic',  'Osteogenic',  'Stem cell'); </v>
      </c>
    </row>
    <row r="132" spans="1:15">
      <c r="A132" s="8" t="b">
        <f>FALSE()</f>
        <v>0</v>
      </c>
      <c r="B132" s="8"/>
      <c r="C132" s="4" t="s">
        <v>406</v>
      </c>
      <c r="D132" s="4" t="s">
        <v>407</v>
      </c>
      <c r="E132" s="4" t="s">
        <v>13</v>
      </c>
      <c r="F132" s="4" t="s">
        <v>2421</v>
      </c>
      <c r="G132" s="4" t="s">
        <v>2422</v>
      </c>
      <c r="H132" s="4" t="str">
        <f t="shared" si="8"/>
        <v>att_cells</v>
      </c>
      <c r="I132" s="4" t="s">
        <v>406</v>
      </c>
      <c r="J132" s="4" t="str">
        <f t="shared" si="9"/>
        <v>att_cells:regt</v>
      </c>
      <c r="K132" s="7" t="s">
        <v>17</v>
      </c>
      <c r="L132" s="4" t="s">
        <v>408</v>
      </c>
      <c r="M132" s="4" t="s">
        <v>13</v>
      </c>
      <c r="N132" s="4" t="str">
        <f t="shared" si="10"/>
        <v>INSERT INTO attributes (parent_id, tag, name, priority, allow_as_filter, allow_for_dataset, allow_for_measurement, allow_for_users, allow_for_qc) VALUES (NULL, 'att_cells',  'Cells',  500,  TRUE, TRUE, TRUE, FALSE, FALSE);</v>
      </c>
      <c r="O132" s="4" t="str">
        <f t="shared" si="11"/>
        <v xml:space="preserve">INSERT INTO attribute_values (attribute_id, tag, name, details) VALUES ((SELECT id FROM attributes WHERE tag = 'att_cells' LIMIT 1),  'att_cells:regt',  'Regulatory T cells (RegT)',  'Regulatory T Cell'); </v>
      </c>
    </row>
    <row r="133" spans="1:15">
      <c r="A133" s="8" t="b">
        <f>FALSE()</f>
        <v>0</v>
      </c>
      <c r="B133" s="8"/>
      <c r="C133" s="4" t="s">
        <v>409</v>
      </c>
      <c r="D133" s="4" t="s">
        <v>410</v>
      </c>
      <c r="E133" s="4" t="s">
        <v>13</v>
      </c>
      <c r="F133" s="4" t="s">
        <v>2421</v>
      </c>
      <c r="G133" s="4" t="s">
        <v>2422</v>
      </c>
      <c r="H133" s="4" t="str">
        <f t="shared" si="8"/>
        <v>att_cells</v>
      </c>
      <c r="I133" s="4" t="s">
        <v>409</v>
      </c>
      <c r="J133" s="4" t="str">
        <f t="shared" si="9"/>
        <v>att_cells:stemcells</v>
      </c>
      <c r="K133" s="7" t="s">
        <v>17</v>
      </c>
      <c r="L133" s="4" t="s">
        <v>411</v>
      </c>
      <c r="M133" s="4" t="s">
        <v>13</v>
      </c>
      <c r="N133" s="4" t="str">
        <f t="shared" si="10"/>
        <v>INSERT INTO attributes (parent_id, tag, name, priority, allow_as_filter, allow_for_dataset, allow_for_measurement, allow_for_users, allow_for_qc) VALUES (NULL, 'att_cells',  'Cells',  500,  TRUE, TRUE, TRUE, FALSE, FALSE);</v>
      </c>
      <c r="O133" s="4" t="str">
        <f t="shared" si="11"/>
        <v xml:space="preserve">INSERT INTO attribute_values (attribute_id, tag, name, details) VALUES ((SELECT id FROM attributes WHERE tag = 'att_cells' LIMIT 1),  'att_cells:stemcells',  'Stem Cells',  'Stem or Blast cells'); </v>
      </c>
    </row>
    <row r="134" spans="1:15">
      <c r="A134" s="8" t="b">
        <f>FALSE()</f>
        <v>0</v>
      </c>
      <c r="B134" s="8"/>
      <c r="C134" s="4" t="s">
        <v>412</v>
      </c>
      <c r="D134" s="4" t="s">
        <v>413</v>
      </c>
      <c r="E134" s="4" t="s">
        <v>13</v>
      </c>
      <c r="F134" s="4" t="s">
        <v>2421</v>
      </c>
      <c r="G134" s="4" t="s">
        <v>2422</v>
      </c>
      <c r="H134" s="4" t="str">
        <f t="shared" si="8"/>
        <v>att_cells</v>
      </c>
      <c r="I134" s="4" t="s">
        <v>412</v>
      </c>
      <c r="J134" s="4" t="str">
        <f t="shared" si="9"/>
        <v>att_cells:tcells</v>
      </c>
      <c r="K134" s="7" t="s">
        <v>17</v>
      </c>
      <c r="L134" s="4" t="s">
        <v>413</v>
      </c>
      <c r="M134" s="4" t="s">
        <v>13</v>
      </c>
      <c r="N134" s="4" t="str">
        <f t="shared" si="10"/>
        <v>INSERT INTO attributes (parent_id, tag, name, priority, allow_as_filter, allow_for_dataset, allow_for_measurement, allow_for_users, allow_for_qc) VALUES (NULL, 'att_cells',  'Cells',  500,  TRUE, TRUE, TRUE, FALSE, FALSE);</v>
      </c>
      <c r="O134" s="4" t="str">
        <f t="shared" si="11"/>
        <v xml:space="preserve">INSERT INTO attribute_values (attribute_id, tag, name, details) VALUES ((SELECT id FROM attributes WHERE tag = 'att_cells' LIMIT 1),  'att_cells:tcells',  'T cells',  'T cells'); </v>
      </c>
    </row>
    <row r="135" spans="1:15">
      <c r="A135" s="8" t="b">
        <f>FALSE()</f>
        <v>0</v>
      </c>
      <c r="B135" s="8"/>
      <c r="C135" s="4" t="s">
        <v>414</v>
      </c>
      <c r="D135" s="4" t="s">
        <v>415</v>
      </c>
      <c r="E135" s="4" t="s">
        <v>13</v>
      </c>
      <c r="F135" s="4" t="s">
        <v>2421</v>
      </c>
      <c r="G135" s="4" t="s">
        <v>2422</v>
      </c>
      <c r="H135" s="4" t="str">
        <f t="shared" si="8"/>
        <v>att_cells</v>
      </c>
      <c r="I135" s="4" t="s">
        <v>414</v>
      </c>
      <c r="J135" s="4" t="str">
        <f t="shared" si="9"/>
        <v>att_cells:thelper</v>
      </c>
      <c r="K135" s="7" t="s">
        <v>17</v>
      </c>
      <c r="L135" s="4" t="s">
        <v>416</v>
      </c>
      <c r="M135" s="4" t="s">
        <v>13</v>
      </c>
      <c r="N135" s="4" t="str">
        <f t="shared" si="10"/>
        <v>INSERT INTO attributes (parent_id, tag, name, priority, allow_as_filter, allow_for_dataset, allow_for_measurement, allow_for_users, allow_for_qc) VALUES (NULL, 'att_cells',  'Cells',  500,  TRUE, TRUE, TRUE, FALSE, FALSE);</v>
      </c>
      <c r="O135" s="4" t="str">
        <f t="shared" si="11"/>
        <v xml:space="preserve">INSERT INTO attribute_values (attribute_id, tag, name, details) VALUES ((SELECT id FROM attributes WHERE tag = 'att_cells' LIMIT 1),  'att_cells:thelper',  'T Helper cells (Th)',  'CD4+ T helper cells'); </v>
      </c>
    </row>
    <row r="136" spans="1:15">
      <c r="A136" s="8" t="b">
        <f>FALSE()</f>
        <v>0</v>
      </c>
      <c r="B136" s="8"/>
      <c r="C136" s="4" t="s">
        <v>417</v>
      </c>
      <c r="D136" s="4" t="s">
        <v>418</v>
      </c>
      <c r="E136" s="4" t="s">
        <v>13</v>
      </c>
      <c r="F136" s="4" t="s">
        <v>2421</v>
      </c>
      <c r="G136" s="4" t="s">
        <v>2422</v>
      </c>
      <c r="H136" s="4" t="str">
        <f t="shared" si="8"/>
        <v>att_cells</v>
      </c>
      <c r="I136" s="4" t="s">
        <v>417</v>
      </c>
      <c r="J136" s="4" t="str">
        <f t="shared" si="9"/>
        <v>att_cells:thrombocytes</v>
      </c>
      <c r="K136" s="7" t="s">
        <v>17</v>
      </c>
      <c r="L136" s="4" t="s">
        <v>419</v>
      </c>
      <c r="M136" s="4" t="s">
        <v>13</v>
      </c>
      <c r="N136" s="4" t="str">
        <f t="shared" si="10"/>
        <v>INSERT INTO attributes (parent_id, tag, name, priority, allow_as_filter, allow_for_dataset, allow_for_measurement, allow_for_users, allow_for_qc) VALUES (NULL, 'att_cells',  'Cells',  500,  TRUE, TRUE, TRUE, FALSE, FALSE);</v>
      </c>
      <c r="O136" s="4" t="str">
        <f t="shared" si="11"/>
        <v xml:space="preserve">INSERT INTO attribute_values (attribute_id, tag, name, details) VALUES ((SELECT id FROM attributes WHERE tag = 'att_cells' LIMIT 1),  'att_cells:thrombocytes',  'Thrombocytes',  'Platelets'); </v>
      </c>
    </row>
    <row r="137" spans="1:15">
      <c r="A137" s="8" t="b">
        <f>FALSE()</f>
        <v>0</v>
      </c>
      <c r="B137" s="8"/>
      <c r="C137" s="4" t="s">
        <v>636</v>
      </c>
      <c r="D137" s="4" t="s">
        <v>637</v>
      </c>
      <c r="E137" s="4" t="s">
        <v>13</v>
      </c>
      <c r="F137" s="4" t="s">
        <v>2423</v>
      </c>
      <c r="G137" s="4" t="s">
        <v>2424</v>
      </c>
      <c r="H137" s="4" t="str">
        <f t="shared" si="8"/>
        <v>att_compound</v>
      </c>
      <c r="I137" s="4" t="s">
        <v>636</v>
      </c>
      <c r="J137" s="4" t="str">
        <f t="shared" si="9"/>
        <v>att_compound:anisomycin</v>
      </c>
      <c r="K137" s="7" t="s">
        <v>17</v>
      </c>
      <c r="L137" s="4" t="s">
        <v>637</v>
      </c>
      <c r="M137" s="4" t="s">
        <v>13</v>
      </c>
      <c r="N137" s="4" t="str">
        <f t="shared" si="10"/>
        <v>INSERT INTO attributes (parent_id, tag, name, priority, allow_as_filter, allow_for_dataset, allow_for_measurement, allow_for_users, allow_for_qc) VALUES (NULL, 'att_compound',  'Compound',  500,  TRUE, TRUE, TRUE, FALSE, FALSE);</v>
      </c>
      <c r="O137" s="4" t="str">
        <f t="shared" si="11"/>
        <v xml:space="preserve">INSERT INTO attribute_values (attribute_id, tag, name, details) VALUES ((SELECT id FROM attributes WHERE tag = 'att_compound' LIMIT 1),  'att_compound:anisomycin',  'Anisomycin',  'Anisomycin'); </v>
      </c>
    </row>
    <row r="138" spans="1:15">
      <c r="A138" s="8" t="b">
        <f>FALSE()</f>
        <v>0</v>
      </c>
      <c r="B138" s="8"/>
      <c r="C138" s="4" t="s">
        <v>641</v>
      </c>
      <c r="D138" s="4" t="s">
        <v>642</v>
      </c>
      <c r="E138" s="4" t="s">
        <v>13</v>
      </c>
      <c r="F138" s="4" t="s">
        <v>2423</v>
      </c>
      <c r="G138" s="4" t="s">
        <v>2424</v>
      </c>
      <c r="H138" s="4" t="str">
        <f t="shared" si="8"/>
        <v>att_compound</v>
      </c>
      <c r="I138" s="4" t="s">
        <v>641</v>
      </c>
      <c r="J138" s="4" t="str">
        <f t="shared" si="9"/>
        <v>att_compound:atp</v>
      </c>
      <c r="K138" s="7" t="s">
        <v>17</v>
      </c>
      <c r="L138" s="4" t="s">
        <v>643</v>
      </c>
      <c r="M138" s="4" t="s">
        <v>13</v>
      </c>
      <c r="N138" s="4" t="str">
        <f t="shared" si="10"/>
        <v>INSERT INTO attributes (parent_id, tag, name, priority, allow_as_filter, allow_for_dataset, allow_for_measurement, allow_for_users, allow_for_qc) VALUES (NULL, 'att_compound',  'Compound',  500,  TRUE, TRUE, TRUE, FALSE, FALSE);</v>
      </c>
      <c r="O138" s="4" t="str">
        <f t="shared" si="11"/>
        <v xml:space="preserve">INSERT INTO attribute_values (attribute_id, tag, name, details) VALUES ((SELECT id FROM attributes WHERE tag = 'att_compound' LIMIT 1),  'att_compound:atp',  'ATP',  'Adenosine triphosphate'); </v>
      </c>
    </row>
    <row r="139" spans="1:15">
      <c r="A139" s="8" t="b">
        <f>FALSE()</f>
        <v>0</v>
      </c>
      <c r="B139" s="8"/>
      <c r="C139" s="4" t="s">
        <v>644</v>
      </c>
      <c r="D139" s="4" t="s">
        <v>644</v>
      </c>
      <c r="E139" s="4" t="s">
        <v>13</v>
      </c>
      <c r="F139" s="4" t="s">
        <v>2423</v>
      </c>
      <c r="G139" s="4" t="s">
        <v>2424</v>
      </c>
      <c r="H139" s="4" t="str">
        <f t="shared" si="8"/>
        <v>att_compound</v>
      </c>
      <c r="I139" s="4" t="s">
        <v>644</v>
      </c>
      <c r="J139" s="4" t="str">
        <f t="shared" si="9"/>
        <v>att_compound:berzosertib</v>
      </c>
      <c r="K139" s="7" t="s">
        <v>17</v>
      </c>
      <c r="L139" s="4" t="s">
        <v>645</v>
      </c>
      <c r="M139" s="4" t="s">
        <v>13</v>
      </c>
      <c r="N139" s="4" t="str">
        <f t="shared" si="10"/>
        <v>INSERT INTO attributes (parent_id, tag, name, priority, allow_as_filter, allow_for_dataset, allow_for_measurement, allow_for_users, allow_for_qc) VALUES (NULL, 'att_compound',  'Compound',  500,  TRUE, TRUE, TRUE, FALSE, FALSE);</v>
      </c>
      <c r="O139" s="4" t="str">
        <f t="shared" si="11"/>
        <v xml:space="preserve">INSERT INTO attribute_values (attribute_id, tag, name, details) VALUES ((SELECT id FROM attributes WHERE tag = 'att_compound' LIMIT 1),  'att_compound:berzosertib',  'berzosertib',  'Berzosertib'); </v>
      </c>
    </row>
    <row r="140" spans="1:15">
      <c r="A140" s="8" t="b">
        <f>FALSE()</f>
        <v>0</v>
      </c>
      <c r="B140" s="8"/>
      <c r="C140" s="4" t="s">
        <v>646</v>
      </c>
      <c r="D140" s="4" t="s">
        <v>646</v>
      </c>
      <c r="E140" s="4" t="s">
        <v>13</v>
      </c>
      <c r="F140" s="4" t="s">
        <v>2423</v>
      </c>
      <c r="G140" s="4" t="s">
        <v>2424</v>
      </c>
      <c r="H140" s="4" t="str">
        <f t="shared" si="8"/>
        <v>att_compound</v>
      </c>
      <c r="I140" s="4" t="s">
        <v>646</v>
      </c>
      <c r="J140" s="4" t="str">
        <f t="shared" si="9"/>
        <v>att_compound:bortezomib</v>
      </c>
      <c r="K140" s="7" t="s">
        <v>17</v>
      </c>
      <c r="L140" s="4" t="s">
        <v>647</v>
      </c>
      <c r="M140" s="4" t="s">
        <v>13</v>
      </c>
      <c r="N140" s="4" t="str">
        <f t="shared" si="10"/>
        <v>INSERT INTO attributes (parent_id, tag, name, priority, allow_as_filter, allow_for_dataset, allow_for_measurement, allow_for_users, allow_for_qc) VALUES (NULL, 'att_compound',  'Compound',  500,  TRUE, TRUE, TRUE, FALSE, FALSE);</v>
      </c>
      <c r="O140" s="4" t="str">
        <f t="shared" si="11"/>
        <v xml:space="preserve">INSERT INTO attribute_values (attribute_id, tag, name, details) VALUES ((SELECT id FROM attributes WHERE tag = 'att_compound' LIMIT 1),  'att_compound:bortezomib',  'bortezomib',  'Bortezomib'); </v>
      </c>
    </row>
    <row r="141" spans="1:15" s="10" customFormat="1">
      <c r="A141" s="9" t="b">
        <f>FALSE()</f>
        <v>0</v>
      </c>
      <c r="B141" s="9"/>
      <c r="C141" s="10" t="s">
        <v>2425</v>
      </c>
      <c r="D141" s="10" t="s">
        <v>2426</v>
      </c>
      <c r="E141" s="10" t="s">
        <v>13</v>
      </c>
      <c r="F141" s="10" t="s">
        <v>2423</v>
      </c>
      <c r="G141" s="10" t="s">
        <v>2424</v>
      </c>
      <c r="H141" s="10" t="str">
        <f t="shared" si="8"/>
        <v>att_compound</v>
      </c>
      <c r="I141" s="10" t="s">
        <v>2425</v>
      </c>
      <c r="J141" s="10" t="str">
        <f t="shared" si="9"/>
        <v>att_compound:cgas</v>
      </c>
      <c r="K141" s="11" t="s">
        <v>17</v>
      </c>
      <c r="L141" s="10" t="s">
        <v>2426</v>
      </c>
      <c r="M141" s="10" t="s">
        <v>13</v>
      </c>
      <c r="N141" s="10" t="str">
        <f t="shared" si="10"/>
        <v>INSERT INTO attributes (parent_id, tag, name, priority, allow_as_filter, allow_for_dataset, allow_for_measurement, allow_for_users, allow_for_qc) VALUES (NULL, 'att_compound',  'Compound',  500,  TRUE, TRUE, TRUE, FALSE, FALSE);</v>
      </c>
      <c r="O141" s="10" t="str">
        <f t="shared" si="11"/>
        <v xml:space="preserve">INSERT INTO attribute_values (attribute_id, tag, name, details) VALUES ((SELECT id FROM attributes WHERE tag = 'att_compound' LIMIT 1),  'att_compound:cgas',  'cGAS',  'cGAS'); </v>
      </c>
    </row>
    <row r="142" spans="1:15">
      <c r="A142" s="8" t="b">
        <f>FALSE()</f>
        <v>0</v>
      </c>
      <c r="B142" s="8"/>
      <c r="C142" s="4" t="s">
        <v>651</v>
      </c>
      <c r="D142" s="4" t="s">
        <v>651</v>
      </c>
      <c r="E142" s="4" t="s">
        <v>13</v>
      </c>
      <c r="F142" s="4" t="s">
        <v>2423</v>
      </c>
      <c r="G142" s="4" t="s">
        <v>2424</v>
      </c>
      <c r="H142" s="4" t="str">
        <f t="shared" si="8"/>
        <v>att_compound</v>
      </c>
      <c r="I142" s="4" t="s">
        <v>651</v>
      </c>
      <c r="J142" s="4" t="str">
        <f t="shared" si="9"/>
        <v>att_compound:cycloheximide</v>
      </c>
      <c r="K142" s="7" t="s">
        <v>17</v>
      </c>
      <c r="L142" s="4" t="s">
        <v>652</v>
      </c>
      <c r="M142" s="4" t="s">
        <v>13</v>
      </c>
      <c r="N142" s="4" t="str">
        <f t="shared" si="10"/>
        <v>INSERT INTO attributes (parent_id, tag, name, priority, allow_as_filter, allow_for_dataset, allow_for_measurement, allow_for_users, allow_for_qc) VALUES (NULL, 'att_compound',  'Compound',  500,  TRUE, TRUE, TRUE, FALSE, FALSE);</v>
      </c>
      <c r="O142" s="4" t="str">
        <f t="shared" si="11"/>
        <v xml:space="preserve">INSERT INTO attribute_values (attribute_id, tag, name, details) VALUES ((SELECT id FROM attributes WHERE tag = 'att_compound' LIMIT 1),  'att_compound:cycloheximide',  'cycloheximide',  'Cycloheximide'); </v>
      </c>
    </row>
    <row r="143" spans="1:15">
      <c r="A143" s="8" t="b">
        <f>FALSE()</f>
        <v>0</v>
      </c>
      <c r="B143" s="8"/>
      <c r="C143" s="4" t="s">
        <v>2427</v>
      </c>
      <c r="D143" s="4" t="s">
        <v>2428</v>
      </c>
      <c r="E143" s="4" t="s">
        <v>13</v>
      </c>
      <c r="F143" s="4" t="s">
        <v>2423</v>
      </c>
      <c r="G143" s="4" t="s">
        <v>2424</v>
      </c>
      <c r="H143" s="4" t="str">
        <f t="shared" si="8"/>
        <v>att_compound</v>
      </c>
      <c r="I143" s="4" t="s">
        <v>2427</v>
      </c>
      <c r="J143" s="4" t="str">
        <f t="shared" si="9"/>
        <v>att_compound:diabzi</v>
      </c>
      <c r="K143" s="7" t="s">
        <v>17</v>
      </c>
      <c r="L143" s="4" t="s">
        <v>2428</v>
      </c>
      <c r="M143" s="4" t="s">
        <v>13</v>
      </c>
      <c r="N143" s="4" t="str">
        <f t="shared" si="10"/>
        <v>INSERT INTO attributes (parent_id, tag, name, priority, allow_as_filter, allow_for_dataset, allow_for_measurement, allow_for_users, allow_for_qc) VALUES (NULL, 'att_compound',  'Compound',  500,  TRUE, TRUE, TRUE, FALSE, FALSE);</v>
      </c>
      <c r="O143" s="4" t="str">
        <f t="shared" si="11"/>
        <v xml:space="preserve">INSERT INTO attribute_values (attribute_id, tag, name, details) VALUES ((SELECT id FROM attributes WHERE tag = 'att_compound' LIMIT 1),  'att_compound:diabzi',  'diABZI',  'diABZI'); </v>
      </c>
    </row>
    <row r="144" spans="1:15">
      <c r="A144" s="8" t="b">
        <f>FALSE()</f>
        <v>0</v>
      </c>
      <c r="B144" s="8"/>
      <c r="C144" s="4" t="s">
        <v>653</v>
      </c>
      <c r="D144" s="4" t="s">
        <v>654</v>
      </c>
      <c r="E144" s="4" t="s">
        <v>13</v>
      </c>
      <c r="F144" s="4" t="s">
        <v>2423</v>
      </c>
      <c r="G144" s="4" t="s">
        <v>2424</v>
      </c>
      <c r="H144" s="4" t="str">
        <f t="shared" si="8"/>
        <v>att_compound</v>
      </c>
      <c r="I144" s="4" t="s">
        <v>653</v>
      </c>
      <c r="J144" s="4" t="str">
        <f t="shared" si="9"/>
        <v>att_compound:dmso</v>
      </c>
      <c r="K144" s="7" t="s">
        <v>17</v>
      </c>
      <c r="L144" s="4" t="s">
        <v>2429</v>
      </c>
      <c r="M144" s="4" t="s">
        <v>13</v>
      </c>
      <c r="N144" s="4" t="str">
        <f t="shared" si="10"/>
        <v>INSERT INTO attributes (parent_id, tag, name, priority, allow_as_filter, allow_for_dataset, allow_for_measurement, allow_for_users, allow_for_qc) VALUES (NULL, 'att_compound',  'Compound',  500,  TRUE, TRUE, TRUE, FALSE, FALSE);</v>
      </c>
      <c r="O144" s="4" t="str">
        <f t="shared" si="11"/>
        <v xml:space="preserve">INSERT INTO attribute_values (attribute_id, tag, name, details) VALUES ((SELECT id FROM attributes WHERE tag = 'att_compound' LIMIT 1),  'att_compound:dmso',  'DMSO',  'Dimethyl Sulfoxide'); </v>
      </c>
    </row>
    <row r="145" spans="1:15">
      <c r="A145" s="8" t="b">
        <f>FALSE()</f>
        <v>0</v>
      </c>
      <c r="B145" s="8"/>
      <c r="C145" s="4" t="s">
        <v>656</v>
      </c>
      <c r="D145" s="4" t="s">
        <v>656</v>
      </c>
      <c r="E145" s="4" t="s">
        <v>13</v>
      </c>
      <c r="F145" s="4" t="s">
        <v>2423</v>
      </c>
      <c r="G145" s="4" t="s">
        <v>2424</v>
      </c>
      <c r="H145" s="4" t="str">
        <f t="shared" si="8"/>
        <v>att_compound</v>
      </c>
      <c r="I145" s="4" t="s">
        <v>656</v>
      </c>
      <c r="J145" s="4" t="str">
        <f t="shared" si="9"/>
        <v>att_compound:doxorubicin</v>
      </c>
      <c r="K145" s="7" t="s">
        <v>17</v>
      </c>
      <c r="L145" s="4" t="s">
        <v>657</v>
      </c>
      <c r="M145" s="4" t="s">
        <v>13</v>
      </c>
      <c r="N145" s="4" t="str">
        <f t="shared" si="10"/>
        <v>INSERT INTO attributes (parent_id, tag, name, priority, allow_as_filter, allow_for_dataset, allow_for_measurement, allow_for_users, allow_for_qc) VALUES (NULL, 'att_compound',  'Compound',  500,  TRUE, TRUE, TRUE, FALSE, FALSE);</v>
      </c>
      <c r="O145" s="4" t="str">
        <f t="shared" si="11"/>
        <v xml:space="preserve">INSERT INTO attribute_values (attribute_id, tag, name, details) VALUES ((SELECT id FROM attributes WHERE tag = 'att_compound' LIMIT 1),  'att_compound:doxorubicin',  'doxorubicin',  'Doxorubicin'); </v>
      </c>
    </row>
    <row r="146" spans="1:15">
      <c r="A146" s="8" t="b">
        <f>FALSE()</f>
        <v>0</v>
      </c>
      <c r="B146" s="8"/>
      <c r="C146" s="4" t="s">
        <v>659</v>
      </c>
      <c r="D146" s="4" t="s">
        <v>659</v>
      </c>
      <c r="E146" s="4" t="s">
        <v>13</v>
      </c>
      <c r="F146" s="4" t="s">
        <v>2423</v>
      </c>
      <c r="G146" s="4" t="s">
        <v>2424</v>
      </c>
      <c r="H146" s="4" t="str">
        <f t="shared" si="8"/>
        <v>att_compound</v>
      </c>
      <c r="I146" s="4" t="s">
        <v>659</v>
      </c>
      <c r="J146" s="4" t="str">
        <f t="shared" si="9"/>
        <v>att_compound:doxycycline</v>
      </c>
      <c r="K146" s="7" t="s">
        <v>17</v>
      </c>
      <c r="L146" s="4" t="s">
        <v>660</v>
      </c>
      <c r="M146" s="4" t="s">
        <v>13</v>
      </c>
      <c r="N146" s="4" t="str">
        <f t="shared" si="10"/>
        <v>INSERT INTO attributes (parent_id, tag, name, priority, allow_as_filter, allow_for_dataset, allow_for_measurement, allow_for_users, allow_for_qc) VALUES (NULL, 'att_compound',  'Compound',  500,  TRUE, TRUE, TRUE, FALSE, FALSE);</v>
      </c>
      <c r="O146" s="4" t="str">
        <f t="shared" si="11"/>
        <v xml:space="preserve">INSERT INTO attribute_values (attribute_id, tag, name, details) VALUES ((SELECT id FROM attributes WHERE tag = 'att_compound' LIMIT 1),  'att_compound:doxycycline',  'doxycycline',  'Doxycycline'); </v>
      </c>
    </row>
    <row r="147" spans="1:15">
      <c r="A147" s="8" t="b">
        <f>FALSE()</f>
        <v>0</v>
      </c>
      <c r="B147" s="8"/>
      <c r="C147" s="4" t="s">
        <v>662</v>
      </c>
      <c r="D147" s="4" t="s">
        <v>662</v>
      </c>
      <c r="E147" s="4" t="s">
        <v>13</v>
      </c>
      <c r="F147" s="4" t="s">
        <v>2423</v>
      </c>
      <c r="G147" s="4" t="s">
        <v>2424</v>
      </c>
      <c r="H147" s="4" t="str">
        <f t="shared" si="8"/>
        <v>att_compound</v>
      </c>
      <c r="I147" s="4" t="s">
        <v>662</v>
      </c>
      <c r="J147" s="4" t="str">
        <f t="shared" si="9"/>
        <v>att_compound:etoposide</v>
      </c>
      <c r="K147" s="7" t="s">
        <v>17</v>
      </c>
      <c r="L147" s="4" t="s">
        <v>662</v>
      </c>
      <c r="M147" s="4" t="s">
        <v>13</v>
      </c>
      <c r="N147" s="4" t="str">
        <f t="shared" si="10"/>
        <v>INSERT INTO attributes (parent_id, tag, name, priority, allow_as_filter, allow_for_dataset, allow_for_measurement, allow_for_users, allow_for_qc) VALUES (NULL, 'att_compound',  'Compound',  500,  TRUE, TRUE, TRUE, FALSE, FALSE);</v>
      </c>
      <c r="O147" s="4" t="str">
        <f t="shared" si="11"/>
        <v xml:space="preserve">INSERT INTO attribute_values (attribute_id, tag, name, details) VALUES ((SELECT id FROM attributes WHERE tag = 'att_compound' LIMIT 1),  'att_compound:etoposide',  'etoposide',  'etoposide'); </v>
      </c>
    </row>
    <row r="148" spans="1:15">
      <c r="A148" s="8" t="b">
        <f>FALSE()</f>
        <v>0</v>
      </c>
      <c r="B148" s="8"/>
      <c r="C148" s="4" t="s">
        <v>2430</v>
      </c>
      <c r="D148" s="4" t="s">
        <v>2430</v>
      </c>
      <c r="E148" s="4" t="s">
        <v>13</v>
      </c>
      <c r="F148" s="4" t="s">
        <v>2423</v>
      </c>
      <c r="G148" s="4" t="s">
        <v>2424</v>
      </c>
      <c r="H148" s="4" t="str">
        <f t="shared" si="8"/>
        <v>att_compound</v>
      </c>
      <c r="I148" s="4" t="s">
        <v>2430</v>
      </c>
      <c r="J148" s="4" t="str">
        <f t="shared" si="9"/>
        <v>att_compound:lactimidomycin</v>
      </c>
      <c r="K148" s="7" t="s">
        <v>17</v>
      </c>
      <c r="L148" s="4" t="s">
        <v>2431</v>
      </c>
      <c r="M148" s="4" t="s">
        <v>13</v>
      </c>
      <c r="N148" s="4" t="str">
        <f t="shared" si="10"/>
        <v>INSERT INTO attributes (parent_id, tag, name, priority, allow_as_filter, allow_for_dataset, allow_for_measurement, allow_for_users, allow_for_qc) VALUES (NULL, 'att_compound',  'Compound',  500,  TRUE, TRUE, TRUE, FALSE, FALSE);</v>
      </c>
      <c r="O148" s="4" t="str">
        <f t="shared" si="11"/>
        <v xml:space="preserve">INSERT INTO attribute_values (attribute_id, tag, name, details) VALUES ((SELECT id FROM attributes WHERE tag = 'att_compound' LIMIT 1),  'att_compound:lactimidomycin',  'lactimidomycin',  'Lactimidomycin'); </v>
      </c>
    </row>
    <row r="149" spans="1:15">
      <c r="A149" s="8" t="b">
        <f>FALSE()</f>
        <v>0</v>
      </c>
      <c r="B149" s="8"/>
      <c r="C149" s="4" t="s">
        <v>2432</v>
      </c>
      <c r="D149" s="4" t="s">
        <v>2433</v>
      </c>
      <c r="E149" s="4" t="s">
        <v>13</v>
      </c>
      <c r="F149" s="4" t="s">
        <v>2423</v>
      </c>
      <c r="G149" s="4" t="s">
        <v>2424</v>
      </c>
      <c r="H149" s="4" t="str">
        <f t="shared" si="8"/>
        <v>att_compound</v>
      </c>
      <c r="I149" s="4" t="s">
        <v>2432</v>
      </c>
      <c r="J149" s="4" t="str">
        <f t="shared" si="9"/>
        <v>att_compound:lps</v>
      </c>
      <c r="K149" s="7" t="s">
        <v>17</v>
      </c>
      <c r="L149" s="4" t="s">
        <v>2434</v>
      </c>
      <c r="M149" s="4" t="s">
        <v>13</v>
      </c>
      <c r="N149" s="4" t="str">
        <f t="shared" si="10"/>
        <v>INSERT INTO attributes (parent_id, tag, name, priority, allow_as_filter, allow_for_dataset, allow_for_measurement, allow_for_users, allow_for_qc) VALUES (NULL, 'att_compound',  'Compound',  500,  TRUE, TRUE, TRUE, FALSE, FALSE);</v>
      </c>
      <c r="O149" s="4" t="str">
        <f t="shared" si="11"/>
        <v xml:space="preserve">INSERT INTO attribute_values (attribute_id, tag, name, details) VALUES ((SELECT id FROM attributes WHERE tag = 'att_compound' LIMIT 1),  'att_compound:lps',  'LPS',  'Lipopolysaccharide'); </v>
      </c>
    </row>
    <row r="150" spans="1:15">
      <c r="A150" s="8" t="b">
        <f>FALSE()</f>
        <v>0</v>
      </c>
      <c r="B150" s="8"/>
      <c r="C150" s="4" t="s">
        <v>2435</v>
      </c>
      <c r="D150" s="4" t="s">
        <v>2436</v>
      </c>
      <c r="E150" s="4" t="s">
        <v>13</v>
      </c>
      <c r="F150" s="4" t="s">
        <v>2423</v>
      </c>
      <c r="G150" s="4" t="s">
        <v>2424</v>
      </c>
      <c r="H150" s="4" t="str">
        <f t="shared" si="8"/>
        <v>att_compound</v>
      </c>
      <c r="I150" s="4" t="s">
        <v>2435</v>
      </c>
      <c r="J150" s="4" t="str">
        <f t="shared" si="9"/>
        <v>att_compound:niap</v>
      </c>
      <c r="K150" s="7" t="s">
        <v>17</v>
      </c>
      <c r="L150" s="4" t="s">
        <v>2436</v>
      </c>
      <c r="M150" s="4" t="s">
        <v>13</v>
      </c>
      <c r="N150" s="4" t="str">
        <f t="shared" si="10"/>
        <v>INSERT INTO attributes (parent_id, tag, name, priority, allow_as_filter, allow_for_dataset, allow_for_measurement, allow_for_users, allow_for_qc) VALUES (NULL, 'att_compound',  'Compound',  500,  TRUE, TRUE, TRUE, FALSE, FALSE);</v>
      </c>
      <c r="O150" s="4" t="str">
        <f t="shared" si="11"/>
        <v xml:space="preserve">INSERT INTO attribute_values (attribute_id, tag, name, details) VALUES ((SELECT id FROM attributes WHERE tag = 'att_compound' LIMIT 1),  'att_compound:niap',  'nIAP',  'nIAP'); </v>
      </c>
    </row>
    <row r="151" spans="1:15">
      <c r="A151" s="8" t="b">
        <f>FALSE()</f>
        <v>0</v>
      </c>
      <c r="B151" s="8"/>
      <c r="C151" s="4" t="s">
        <v>2437</v>
      </c>
      <c r="D151" s="4" t="s">
        <v>2438</v>
      </c>
      <c r="E151" s="4" t="s">
        <v>13</v>
      </c>
      <c r="F151" s="4" t="s">
        <v>2423</v>
      </c>
      <c r="G151" s="4" t="s">
        <v>2424</v>
      </c>
      <c r="H151" s="4" t="str">
        <f t="shared" si="8"/>
        <v>att_compound</v>
      </c>
      <c r="I151" s="4" t="s">
        <v>2437</v>
      </c>
      <c r="J151" s="4" t="str">
        <f t="shared" si="9"/>
        <v>att_compound:pam</v>
      </c>
      <c r="K151" s="7" t="s">
        <v>17</v>
      </c>
      <c r="L151" s="4" t="s">
        <v>2439</v>
      </c>
      <c r="M151" s="4" t="s">
        <v>13</v>
      </c>
      <c r="N151" s="4" t="str">
        <f t="shared" si="10"/>
        <v>INSERT INTO attributes (parent_id, tag, name, priority, allow_as_filter, allow_for_dataset, allow_for_measurement, allow_for_users, allow_for_qc) VALUES (NULL, 'att_compound',  'Compound',  500,  TRUE, TRUE, TRUE, FALSE, FALSE);</v>
      </c>
      <c r="O151" s="4" t="str">
        <f t="shared" si="11"/>
        <v xml:space="preserve">INSERT INTO attribute_values (attribute_id, tag, name, details) VALUES ((SELECT id FROM attributes WHERE tag = 'att_compound' LIMIT 1),  'att_compound:pam',  'PAM',  'Polyacrylamide'); </v>
      </c>
    </row>
    <row r="152" spans="1:15">
      <c r="A152" s="8" t="b">
        <f>FALSE()</f>
        <v>0</v>
      </c>
      <c r="B152" s="8"/>
      <c r="C152" s="4" t="s">
        <v>2440</v>
      </c>
      <c r="D152" s="4" t="s">
        <v>2441</v>
      </c>
      <c r="E152" s="4" t="s">
        <v>13</v>
      </c>
      <c r="F152" s="4" t="s">
        <v>2423</v>
      </c>
      <c r="G152" s="4" t="s">
        <v>2424</v>
      </c>
      <c r="H152" s="4" t="str">
        <f t="shared" si="8"/>
        <v>att_compound</v>
      </c>
      <c r="I152" s="4" t="s">
        <v>2440</v>
      </c>
      <c r="J152" s="4" t="str">
        <f t="shared" si="9"/>
        <v>att_compound:r837</v>
      </c>
      <c r="K152" s="7" t="s">
        <v>17</v>
      </c>
      <c r="L152" s="4" t="s">
        <v>2442</v>
      </c>
      <c r="M152" s="4" t="s">
        <v>13</v>
      </c>
      <c r="N152" s="4" t="str">
        <f t="shared" si="10"/>
        <v>INSERT INTO attributes (parent_id, tag, name, priority, allow_as_filter, allow_for_dataset, allow_for_measurement, allow_for_users, allow_for_qc) VALUES (NULL, 'att_compound',  'Compound',  500,  TRUE, TRUE, TRUE, FALSE, FALSE);</v>
      </c>
      <c r="O152" s="4"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c r="A153" s="8" t="b">
        <f>FALSE()</f>
        <v>0</v>
      </c>
      <c r="B153" s="8"/>
      <c r="C153" s="4" t="s">
        <v>2443</v>
      </c>
      <c r="D153" s="4" t="s">
        <v>2444</v>
      </c>
      <c r="E153" s="4" t="s">
        <v>13</v>
      </c>
      <c r="F153" s="4" t="s">
        <v>2423</v>
      </c>
      <c r="G153" s="4" t="s">
        <v>2424</v>
      </c>
      <c r="H153" s="4" t="str">
        <f t="shared" si="8"/>
        <v>att_compound</v>
      </c>
      <c r="I153" s="4" t="s">
        <v>2443</v>
      </c>
      <c r="J153" s="4" t="str">
        <f t="shared" si="9"/>
        <v>att_compound:r848</v>
      </c>
      <c r="K153" s="7" t="s">
        <v>17</v>
      </c>
      <c r="L153" s="4" t="s">
        <v>2445</v>
      </c>
      <c r="M153" s="4" t="s">
        <v>13</v>
      </c>
      <c r="N153" s="4" t="str">
        <f t="shared" si="10"/>
        <v>INSERT INTO attributes (parent_id, tag, name, priority, allow_as_filter, allow_for_dataset, allow_for_measurement, allow_for_users, allow_for_qc) VALUES (NULL, 'att_compound',  'Compound',  500,  TRUE, TRUE, TRUE, FALSE, FALSE);</v>
      </c>
      <c r="O153" s="4" t="str">
        <f t="shared" si="11"/>
        <v xml:space="preserve">INSERT INTO attribute_values (attribute_id, tag, name, details) VALUES ((SELECT id FROM attributes WHERE tag = 'att_compound' LIMIT 1),  'att_compound:r848',  'R848',  'Resiquimod; Imidazoquinolinamine and Toll-like receptor (TLR) agonist'); </v>
      </c>
    </row>
    <row r="154" spans="1:15">
      <c r="A154" s="8" t="b">
        <f>FALSE()</f>
        <v>0</v>
      </c>
      <c r="B154" s="8"/>
      <c r="C154" s="4" t="s">
        <v>683</v>
      </c>
      <c r="D154" s="4" t="s">
        <v>683</v>
      </c>
      <c r="E154" s="4" t="s">
        <v>13</v>
      </c>
      <c r="F154" s="4" t="s">
        <v>2423</v>
      </c>
      <c r="G154" s="4" t="s">
        <v>2424</v>
      </c>
      <c r="H154" s="4" t="str">
        <f t="shared" si="8"/>
        <v>att_compound</v>
      </c>
      <c r="I154" s="4" t="s">
        <v>683</v>
      </c>
      <c r="J154" s="4" t="str">
        <f t="shared" si="9"/>
        <v>att_compound:tamoxifen</v>
      </c>
      <c r="K154" s="7" t="s">
        <v>17</v>
      </c>
      <c r="L154" s="4" t="s">
        <v>684</v>
      </c>
      <c r="M154" s="4" t="s">
        <v>13</v>
      </c>
      <c r="N154" s="4" t="str">
        <f t="shared" si="10"/>
        <v>INSERT INTO attributes (parent_id, tag, name, priority, allow_as_filter, allow_for_dataset, allow_for_measurement, allow_for_users, allow_for_qc) VALUES (NULL, 'att_compound',  'Compound',  500,  TRUE, TRUE, TRUE, FALSE, FALSE);</v>
      </c>
      <c r="O154" s="4" t="str">
        <f t="shared" si="11"/>
        <v xml:space="preserve">INSERT INTO attribute_values (attribute_id, tag, name, details) VALUES ((SELECT id FROM attributes WHERE tag = 'att_compound' LIMIT 1),  'att_compound:tamoxifen',  'tamoxifen',  'Tamoxifen'); </v>
      </c>
    </row>
    <row r="155" spans="1:15">
      <c r="A155" s="8" t="b">
        <f>FALSE()</f>
        <v>0</v>
      </c>
      <c r="B155" s="8"/>
      <c r="C155" s="4" t="s">
        <v>688</v>
      </c>
      <c r="D155" s="4" t="s">
        <v>688</v>
      </c>
      <c r="E155" s="4" t="s">
        <v>13</v>
      </c>
      <c r="F155" s="4" t="s">
        <v>2423</v>
      </c>
      <c r="G155" s="4" t="s">
        <v>2424</v>
      </c>
      <c r="H155" s="4" t="str">
        <f t="shared" si="8"/>
        <v>att_compound</v>
      </c>
      <c r="I155" s="4" t="s">
        <v>688</v>
      </c>
      <c r="J155" s="4" t="str">
        <f t="shared" si="9"/>
        <v>att_compound:trametinib</v>
      </c>
      <c r="K155" s="7" t="s">
        <v>17</v>
      </c>
      <c r="L155" s="4" t="s">
        <v>689</v>
      </c>
      <c r="M155" s="4" t="s">
        <v>13</v>
      </c>
      <c r="N155" s="4" t="str">
        <f t="shared" si="10"/>
        <v>INSERT INTO attributes (parent_id, tag, name, priority, allow_as_filter, allow_for_dataset, allow_for_measurement, allow_for_users, allow_for_qc) VALUES (NULL, 'att_compound',  'Compound',  500,  TRUE, TRUE, TRUE, FALSE, FALSE);</v>
      </c>
      <c r="O155" s="4" t="str">
        <f t="shared" si="11"/>
        <v xml:space="preserve">INSERT INTO attribute_values (attribute_id, tag, name, details) VALUES ((SELECT id FROM attributes WHERE tag = 'att_compound' LIMIT 1),  'att_compound:trametinib',  'trametinib',  'Trametinib'); </v>
      </c>
    </row>
    <row r="156" spans="1:15">
      <c r="A156" s="8" t="b">
        <f>FALSE()</f>
        <v>0</v>
      </c>
      <c r="B156" s="8"/>
      <c r="C156" s="4" t="s">
        <v>690</v>
      </c>
      <c r="D156" s="4" t="s">
        <v>691</v>
      </c>
      <c r="E156" s="4" t="s">
        <v>13</v>
      </c>
      <c r="F156" s="4" t="s">
        <v>2423</v>
      </c>
      <c r="G156" s="4" t="s">
        <v>2424</v>
      </c>
      <c r="H156" s="4" t="str">
        <f t="shared" si="8"/>
        <v>att_compound</v>
      </c>
      <c r="I156" s="4" t="s">
        <v>690</v>
      </c>
      <c r="J156" s="4" t="str">
        <f t="shared" si="9"/>
        <v>att_compound:unstimulated</v>
      </c>
      <c r="K156" s="7" t="s">
        <v>17</v>
      </c>
      <c r="L156" s="4" t="s">
        <v>692</v>
      </c>
      <c r="M156" s="4" t="s">
        <v>13</v>
      </c>
      <c r="N156" s="4" t="str">
        <f t="shared" si="10"/>
        <v>INSERT INTO attributes (parent_id, tag, name, priority, allow_as_filter, allow_for_dataset, allow_for_measurement, allow_for_users, allow_for_qc) VALUES (NULL, 'att_compound',  'Compound',  500,  TRUE, TRUE, TRUE, FALSE, FALSE);</v>
      </c>
      <c r="O156" s="4" t="str">
        <f t="shared" si="11"/>
        <v xml:space="preserve">INSERT INTO attribute_values (attribute_id, tag, name, details) VALUES ((SELECT id FROM attributes WHERE tag = 'att_compound' LIMIT 1),  'att_compound:unstimulated',  'Unstimulated',  'Unstimulated; nothing added; Control'); </v>
      </c>
    </row>
    <row r="157" spans="1:15">
      <c r="A157" s="8" t="b">
        <f>FALSE()</f>
        <v>0</v>
      </c>
      <c r="B157" s="8"/>
      <c r="C157" s="4" t="s">
        <v>693</v>
      </c>
      <c r="D157" s="4" t="s">
        <v>693</v>
      </c>
      <c r="E157" s="4" t="s">
        <v>13</v>
      </c>
      <c r="F157" s="4" t="s">
        <v>2446</v>
      </c>
      <c r="G157" s="4" t="s">
        <v>2447</v>
      </c>
      <c r="H157" s="4" t="str">
        <f t="shared" si="8"/>
        <v>att_context</v>
      </c>
      <c r="I157" s="4" t="s">
        <v>693</v>
      </c>
      <c r="J157" s="4" t="str">
        <f t="shared" si="9"/>
        <v>att_context:microenvironment</v>
      </c>
      <c r="K157" s="7" t="s">
        <v>17</v>
      </c>
      <c r="L157" s="4" t="s">
        <v>693</v>
      </c>
      <c r="M157" s="4" t="s">
        <v>13</v>
      </c>
      <c r="N157" s="4" t="str">
        <f t="shared" si="10"/>
        <v>INSERT INTO attributes (parent_id, tag, name, priority, allow_as_filter, allow_for_dataset, allow_for_measurement, allow_for_users, allow_for_qc) VALUES (NULL, 'att_context',  'Context',  500,  TRUE, TRUE, TRUE, FALSE, FALSE);</v>
      </c>
      <c r="O157" s="4" t="str">
        <f t="shared" si="11"/>
        <v xml:space="preserve">INSERT INTO attribute_values (attribute_id, tag, name, details) VALUES ((SELECT id FROM attributes WHERE tag = 'att_context' LIMIT 1),  'att_context:microenvironment',  'microenvironment',  'microenvironment'); </v>
      </c>
    </row>
    <row r="158" spans="1:15">
      <c r="A158" s="7" t="s">
        <v>17</v>
      </c>
      <c r="B158" s="7"/>
      <c r="C158" s="4" t="s">
        <v>903</v>
      </c>
      <c r="D158" s="4" t="s">
        <v>902</v>
      </c>
      <c r="E158" s="4" t="s">
        <v>13</v>
      </c>
      <c r="F158" s="4" t="s">
        <v>2448</v>
      </c>
      <c r="G158" s="4" t="s">
        <v>2449</v>
      </c>
      <c r="H158" s="4" t="str">
        <f t="shared" si="8"/>
        <v>att_dataset</v>
      </c>
      <c r="I158" s="4" t="s">
        <v>903</v>
      </c>
      <c r="J158" s="4" t="str">
        <f t="shared" si="9"/>
        <v>att_dataset:database search</v>
      </c>
      <c r="K158" s="7" t="s">
        <v>17</v>
      </c>
      <c r="L158" s="4" t="s">
        <v>903</v>
      </c>
      <c r="M158" s="4" t="s">
        <v>13</v>
      </c>
      <c r="N158" s="4" t="str">
        <f t="shared" si="10"/>
        <v>INSERT INTO attributes (parent_id, tag, name, priority, allow_as_filter, allow_for_dataset, allow_for_measurement, allow_for_users, allow_for_qc) VALUES (NULL, 'att_dataset',  'Spectral Interpretation',  500,  TRUE, TRUE, TRUE, FALSE, FALSE);</v>
      </c>
      <c r="O158" s="4" t="str">
        <f t="shared" si="11"/>
        <v xml:space="preserve">INSERT INTO attribute_values (attribute_id, tag, name, details) VALUES ((SELECT id FROM attributes WHERE tag = 'att_dataset' LIMIT 1),  'att_dataset:database search',  'Database search',  'database search'); </v>
      </c>
    </row>
    <row r="159" spans="1:15">
      <c r="A159" s="7" t="s">
        <v>17</v>
      </c>
      <c r="B159" s="7"/>
      <c r="C159" s="4" t="s">
        <v>905</v>
      </c>
      <c r="D159" s="4" t="s">
        <v>905</v>
      </c>
      <c r="E159" s="4" t="s">
        <v>13</v>
      </c>
      <c r="F159" s="4" t="s">
        <v>2448</v>
      </c>
      <c r="G159" s="4" t="s">
        <v>2449</v>
      </c>
      <c r="H159" s="4" t="str">
        <f t="shared" si="8"/>
        <v>att_dataset</v>
      </c>
      <c r="I159" s="4" t="s">
        <v>905</v>
      </c>
      <c r="J159" s="4" t="str">
        <f t="shared" si="9"/>
        <v>att_dataset:de novo</v>
      </c>
      <c r="K159" s="7" t="s">
        <v>17</v>
      </c>
      <c r="L159" s="4" t="s">
        <v>905</v>
      </c>
      <c r="M159" s="4" t="s">
        <v>13</v>
      </c>
      <c r="N159" s="4" t="str">
        <f t="shared" si="10"/>
        <v>INSERT INTO attributes (parent_id, tag, name, priority, allow_as_filter, allow_for_dataset, allow_for_measurement, allow_for_users, allow_for_qc) VALUES (NULL, 'att_dataset',  'Spectral Interpretation',  500,  TRUE, TRUE, TRUE, FALSE, FALSE);</v>
      </c>
      <c r="O159" s="4" t="str">
        <f t="shared" si="11"/>
        <v xml:space="preserve">INSERT INTO attribute_values (attribute_id, tag, name, details) VALUES ((SELECT id FROM attributes WHERE tag = 'att_dataset' LIMIT 1),  'att_dataset:de novo',  'de novo',  'de novo'); </v>
      </c>
    </row>
    <row r="160" spans="1:15">
      <c r="A160" s="8" t="b">
        <f>FALSE()</f>
        <v>0</v>
      </c>
      <c r="B160" s="8"/>
      <c r="C160" s="4" t="s">
        <v>960</v>
      </c>
      <c r="D160" s="4" t="s">
        <v>961</v>
      </c>
      <c r="E160" s="4" t="s">
        <v>13</v>
      </c>
      <c r="F160" s="4" t="s">
        <v>74</v>
      </c>
      <c r="G160" s="4" t="s">
        <v>2450</v>
      </c>
      <c r="H160" s="4" t="str">
        <f t="shared" si="8"/>
        <v>att_disease</v>
      </c>
      <c r="I160" s="4" t="s">
        <v>960</v>
      </c>
      <c r="J160" s="4" t="str">
        <f t="shared" si="9"/>
        <v>att_disease:als</v>
      </c>
      <c r="K160" s="7" t="s">
        <v>17</v>
      </c>
      <c r="L160" s="4" t="s">
        <v>962</v>
      </c>
      <c r="M160" s="4" t="s">
        <v>13</v>
      </c>
      <c r="N160" s="4" t="str">
        <f t="shared" si="10"/>
        <v>INSERT INTO attributes (parent_id, tag, name, priority, allow_as_filter, allow_for_dataset, allow_for_measurement, allow_for_users, allow_for_qc) VALUES (NULL, 'att_disease',  'Disease',  500,  TRUE, TRUE, TRUE, FALSE, FALSE);</v>
      </c>
      <c r="O160" s="4" t="str">
        <f t="shared" si="11"/>
        <v xml:space="preserve">INSERT INTO attribute_values (attribute_id, tag, name, details) VALUES ((SELECT id FROM attributes WHERE tag = 'att_disease' LIMIT 1),  'att_disease:als',  'ALS',  'Amyotrophic lateral sclerosis'); </v>
      </c>
    </row>
    <row r="161" spans="1:15">
      <c r="A161" s="8" t="b">
        <f>FALSE()</f>
        <v>0</v>
      </c>
      <c r="B161" s="8"/>
      <c r="C161" s="4" t="s">
        <v>963</v>
      </c>
      <c r="D161" s="4" t="s">
        <v>964</v>
      </c>
      <c r="E161" s="4" t="s">
        <v>13</v>
      </c>
      <c r="F161" s="4" t="s">
        <v>74</v>
      </c>
      <c r="G161" s="4" t="s">
        <v>2450</v>
      </c>
      <c r="H161" s="4" t="str">
        <f t="shared" si="8"/>
        <v>att_disease</v>
      </c>
      <c r="I161" s="4" t="s">
        <v>963</v>
      </c>
      <c r="J161" s="4" t="str">
        <f t="shared" si="9"/>
        <v>att_disease:alzheimer</v>
      </c>
      <c r="K161" s="7" t="s">
        <v>17</v>
      </c>
      <c r="L161" s="4" t="s">
        <v>965</v>
      </c>
      <c r="M161" s="4" t="s">
        <v>13</v>
      </c>
      <c r="N161" s="4" t="str">
        <f t="shared" si="10"/>
        <v>INSERT INTO attributes (parent_id, tag, name, priority, allow_as_filter, allow_for_dataset, allow_for_measurement, allow_for_users, allow_for_qc) VALUES (NULL, 'att_disease',  'Disease',  500,  TRUE, TRUE, TRUE, FALSE, FALSE);</v>
      </c>
      <c r="O161" s="4" t="str">
        <f t="shared" si="11"/>
        <v xml:space="preserve">INSERT INTO attribute_values (attribute_id, tag, name, details) VALUES ((SELECT id FROM attributes WHERE tag = 'att_disease' LIMIT 1),  'att_disease:alzheimer',  'Alzheimer',  'Alzheimer's disease'); </v>
      </c>
    </row>
    <row r="162" spans="1:15">
      <c r="A162" s="8" t="b">
        <f>FALSE()</f>
        <v>0</v>
      </c>
      <c r="B162" s="8"/>
      <c r="C162" s="4" t="s">
        <v>966</v>
      </c>
      <c r="D162" s="4" t="s">
        <v>967</v>
      </c>
      <c r="E162" s="4" t="s">
        <v>13</v>
      </c>
      <c r="F162" s="4" t="s">
        <v>74</v>
      </c>
      <c r="G162" s="4" t="s">
        <v>2450</v>
      </c>
      <c r="H162" s="4" t="str">
        <f t="shared" si="8"/>
        <v>att_disease</v>
      </c>
      <c r="I162" s="4" t="s">
        <v>966</v>
      </c>
      <c r="J162" s="4" t="str">
        <f t="shared" si="9"/>
        <v>att_disease:autoimmune</v>
      </c>
      <c r="K162" s="7" t="s">
        <v>17</v>
      </c>
      <c r="L162" s="4" t="s">
        <v>968</v>
      </c>
      <c r="M162" s="4" t="s">
        <v>13</v>
      </c>
      <c r="N162" s="4" t="str">
        <f t="shared" si="10"/>
        <v>INSERT INTO attributes (parent_id, tag, name, priority, allow_as_filter, allow_for_dataset, allow_for_measurement, allow_for_users, allow_for_qc) VALUES (NULL, 'att_disease',  'Disease',  500,  TRUE, TRUE, TRUE, FALSE, FALSE);</v>
      </c>
      <c r="O162" s="4" t="str">
        <f t="shared" si="11"/>
        <v xml:space="preserve">INSERT INTO attribute_values (attribute_id, tag, name, details) VALUES ((SELECT id FROM attributes WHERE tag = 'att_disease' LIMIT 1),  'att_disease:autoimmune',  'Autoimmune',  'Autoimmune disease'); </v>
      </c>
    </row>
    <row r="163" spans="1:15">
      <c r="A163" s="8" t="b">
        <f>FALSE()</f>
        <v>0</v>
      </c>
      <c r="B163" s="8"/>
      <c r="C163" s="4" t="s">
        <v>969</v>
      </c>
      <c r="D163" s="4" t="s">
        <v>970</v>
      </c>
      <c r="E163" s="4" t="s">
        <v>13</v>
      </c>
      <c r="F163" s="4" t="s">
        <v>74</v>
      </c>
      <c r="G163" s="4" t="s">
        <v>2450</v>
      </c>
      <c r="H163" s="4" t="str">
        <f t="shared" si="8"/>
        <v>att_disease</v>
      </c>
      <c r="I163" s="4" t="s">
        <v>969</v>
      </c>
      <c r="J163" s="4" t="str">
        <f t="shared" si="9"/>
        <v>att_disease:cancer</v>
      </c>
      <c r="K163" s="7" t="s">
        <v>17</v>
      </c>
      <c r="L163" s="4" t="s">
        <v>971</v>
      </c>
      <c r="M163" s="4" t="s">
        <v>13</v>
      </c>
      <c r="N163" s="4" t="str">
        <f t="shared" si="10"/>
        <v>INSERT INTO attributes (parent_id, tag, name, priority, allow_as_filter, allow_for_dataset, allow_for_measurement, allow_for_users, allow_for_qc) VALUES (NULL, 'att_disease',  'Disease',  500,  TRUE, TRUE, TRUE, FALSE, FALSE);</v>
      </c>
      <c r="O163" s="4" t="str">
        <f t="shared" si="11"/>
        <v xml:space="preserve">INSERT INTO attribute_values (attribute_id, tag, name, details) VALUES ((SELECT id FROM attributes WHERE tag = 'att_disease' LIMIT 1),  'att_disease:cancer',  'Cancer',  'Diseases of abnormal cells grow'); </v>
      </c>
    </row>
    <row r="164" spans="1:15">
      <c r="A164" s="8" t="b">
        <f>FALSE()</f>
        <v>0</v>
      </c>
      <c r="B164" s="8"/>
      <c r="C164" s="4" t="s">
        <v>973</v>
      </c>
      <c r="D164" s="4" t="s">
        <v>974</v>
      </c>
      <c r="E164" s="4" t="s">
        <v>13</v>
      </c>
      <c r="F164" s="4" t="s">
        <v>74</v>
      </c>
      <c r="G164" s="4" t="s">
        <v>2450</v>
      </c>
      <c r="H164" s="4" t="str">
        <f t="shared" si="8"/>
        <v>att_disease</v>
      </c>
      <c r="I164" s="4" t="s">
        <v>972</v>
      </c>
      <c r="J164" s="4" t="str">
        <f t="shared" si="9"/>
        <v>att_disease:cardiovascular_diseases</v>
      </c>
      <c r="K164" s="7" t="s">
        <v>17</v>
      </c>
      <c r="L164" s="4" t="s">
        <v>975</v>
      </c>
      <c r="M164" s="4" t="s">
        <v>13</v>
      </c>
      <c r="N164" s="4" t="str">
        <f t="shared" si="10"/>
        <v>INSERT INTO attributes (parent_id, tag, name, priority, allow_as_filter, allow_for_dataset, allow_for_measurement, allow_for_users, allow_for_qc) VALUES (NULL, 'att_disease',  'Disease',  500,  TRUE, TRUE, TRUE, FALSE, FALSE);</v>
      </c>
      <c r="O164" s="4"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c r="A165" s="8" t="b">
        <f>FALSE()</f>
        <v>0</v>
      </c>
      <c r="B165" s="8"/>
      <c r="C165" s="4" t="s">
        <v>976</v>
      </c>
      <c r="D165" s="4" t="s">
        <v>978</v>
      </c>
      <c r="E165" s="4" t="s">
        <v>13</v>
      </c>
      <c r="F165" s="4" t="s">
        <v>74</v>
      </c>
      <c r="G165" s="4" t="s">
        <v>2450</v>
      </c>
      <c r="H165" s="4" t="str">
        <f t="shared" si="8"/>
        <v>att_disease</v>
      </c>
      <c r="I165" s="4" t="s">
        <v>976</v>
      </c>
      <c r="J165" s="4" t="str">
        <f t="shared" si="9"/>
        <v>att_disease:chronic_inflammation</v>
      </c>
      <c r="K165" s="7" t="s">
        <v>17</v>
      </c>
      <c r="L165" s="4" t="s">
        <v>979</v>
      </c>
      <c r="M165" s="4" t="s">
        <v>13</v>
      </c>
      <c r="N165" s="4" t="str">
        <f t="shared" si="10"/>
        <v>INSERT INTO attributes (parent_id, tag, name, priority, allow_as_filter, allow_for_dataset, allow_for_measurement, allow_for_users, allow_for_qc) VALUES (NULL, 'att_disease',  'Disease',  500,  TRUE, TRUE, TRUE, FALSE, FALSE);</v>
      </c>
      <c r="O165" s="4"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c r="A166" s="8" t="b">
        <f>FALSE()</f>
        <v>0</v>
      </c>
      <c r="B166" s="8"/>
      <c r="C166" s="4" t="s">
        <v>980</v>
      </c>
      <c r="D166" s="4" t="s">
        <v>981</v>
      </c>
      <c r="E166" s="4" t="s">
        <v>13</v>
      </c>
      <c r="F166" s="4" t="s">
        <v>74</v>
      </c>
      <c r="G166" s="4" t="s">
        <v>2450</v>
      </c>
      <c r="H166" s="4" t="str">
        <f t="shared" si="8"/>
        <v>att_disease</v>
      </c>
      <c r="I166" s="4" t="s">
        <v>980</v>
      </c>
      <c r="J166" s="4" t="str">
        <f t="shared" si="9"/>
        <v>att_disease:coeliac</v>
      </c>
      <c r="K166" s="7" t="s">
        <v>17</v>
      </c>
      <c r="L166" s="4" t="s">
        <v>982</v>
      </c>
      <c r="M166" s="4" t="s">
        <v>13</v>
      </c>
      <c r="N166" s="4" t="str">
        <f t="shared" si="10"/>
        <v>INSERT INTO attributes (parent_id, tag, name, priority, allow_as_filter, allow_for_dataset, allow_for_measurement, allow_for_users, allow_for_qc) VALUES (NULL, 'att_disease',  'Disease',  500,  TRUE, TRUE, TRUE, FALSE, FALSE);</v>
      </c>
      <c r="O166" s="4" t="str">
        <f t="shared" si="11"/>
        <v xml:space="preserve">INSERT INTO attribute_values (attribute_id, tag, name, details) VALUES ((SELECT id FROM attributes WHERE tag = 'att_disease' LIMIT 1),  'att_disease:coeliac',  'Coeliac',  'Coeliac disease'); </v>
      </c>
    </row>
    <row r="167" spans="1:15">
      <c r="A167" s="8" t="b">
        <f>FALSE()</f>
        <v>0</v>
      </c>
      <c r="B167" s="8"/>
      <c r="C167" s="4" t="s">
        <v>983</v>
      </c>
      <c r="D167" s="4" t="s">
        <v>984</v>
      </c>
      <c r="E167" s="4" t="s">
        <v>13</v>
      </c>
      <c r="F167" s="4" t="s">
        <v>74</v>
      </c>
      <c r="G167" s="4" t="s">
        <v>2450</v>
      </c>
      <c r="H167" s="4" t="str">
        <f t="shared" si="8"/>
        <v>att_disease</v>
      </c>
      <c r="I167" s="4" t="s">
        <v>983</v>
      </c>
      <c r="J167" s="4" t="str">
        <f t="shared" si="9"/>
        <v>att_disease:covid19</v>
      </c>
      <c r="K167" s="7" t="s">
        <v>17</v>
      </c>
      <c r="L167" s="4" t="s">
        <v>985</v>
      </c>
      <c r="M167" s="4" t="s">
        <v>13</v>
      </c>
      <c r="N167" s="4" t="str">
        <f t="shared" si="10"/>
        <v>INSERT INTO attributes (parent_id, tag, name, priority, allow_as_filter, allow_for_dataset, allow_for_measurement, allow_for_users, allow_for_qc) VALUES (NULL, 'att_disease',  'Disease',  500,  TRUE, TRUE, TRUE, FALSE, FALSE);</v>
      </c>
      <c r="O167" s="4" t="str">
        <f t="shared" si="11"/>
        <v xml:space="preserve">INSERT INTO attribute_values (attribute_id, tag, name, details) VALUES ((SELECT id FROM attributes WHERE tag = 'att_disease' LIMIT 1),  'att_disease:covid19',  'COVID19',  'coronavirus disease'); </v>
      </c>
    </row>
    <row r="168" spans="1:15">
      <c r="A168" s="8" t="b">
        <f>FALSE()</f>
        <v>0</v>
      </c>
      <c r="B168" s="8"/>
      <c r="C168" s="4" t="s">
        <v>986</v>
      </c>
      <c r="D168" s="4" t="s">
        <v>987</v>
      </c>
      <c r="E168" s="4" t="s">
        <v>13</v>
      </c>
      <c r="F168" s="4" t="s">
        <v>74</v>
      </c>
      <c r="G168" s="4" t="s">
        <v>2450</v>
      </c>
      <c r="H168" s="4" t="str">
        <f t="shared" si="8"/>
        <v>att_disease</v>
      </c>
      <c r="I168" s="4" t="s">
        <v>986</v>
      </c>
      <c r="J168" s="4" t="str">
        <f t="shared" si="9"/>
        <v>att_disease:dementia</v>
      </c>
      <c r="K168" s="7" t="s">
        <v>17</v>
      </c>
      <c r="L168" s="4" t="s">
        <v>987</v>
      </c>
      <c r="M168" s="4" t="s">
        <v>13</v>
      </c>
      <c r="N168" s="4" t="str">
        <f t="shared" si="10"/>
        <v>INSERT INTO attributes (parent_id, tag, name, priority, allow_as_filter, allow_for_dataset, allow_for_measurement, allow_for_users, allow_for_qc) VALUES (NULL, 'att_disease',  'Disease',  500,  TRUE, TRUE, TRUE, FALSE, FALSE);</v>
      </c>
      <c r="O168" s="4" t="str">
        <f t="shared" si="11"/>
        <v xml:space="preserve">INSERT INTO attribute_values (attribute_id, tag, name, details) VALUES ((SELECT id FROM attributes WHERE tag = 'att_disease' LIMIT 1),  'att_disease:dementia',  'Dementia',  'Dementia'); </v>
      </c>
    </row>
    <row r="169" spans="1:15">
      <c r="A169" s="8" t="b">
        <f>FALSE()</f>
        <v>0</v>
      </c>
      <c r="B169" s="8"/>
      <c r="C169" s="4" t="s">
        <v>988</v>
      </c>
      <c r="D169" s="4" t="s">
        <v>989</v>
      </c>
      <c r="E169" s="4" t="s">
        <v>13</v>
      </c>
      <c r="F169" s="4" t="s">
        <v>74</v>
      </c>
      <c r="G169" s="4" t="s">
        <v>2450</v>
      </c>
      <c r="H169" s="4" t="str">
        <f t="shared" si="8"/>
        <v>att_disease</v>
      </c>
      <c r="I169" s="4" t="s">
        <v>988</v>
      </c>
      <c r="J169" s="4" t="str">
        <f t="shared" si="9"/>
        <v>att_disease:demyelinating</v>
      </c>
      <c r="K169" s="7" t="s">
        <v>17</v>
      </c>
      <c r="L169" s="4" t="s">
        <v>990</v>
      </c>
      <c r="M169" s="4" t="s">
        <v>13</v>
      </c>
      <c r="N169" s="4" t="str">
        <f t="shared" si="10"/>
        <v>INSERT INTO attributes (parent_id, tag, name, priority, allow_as_filter, allow_for_dataset, allow_for_measurement, allow_for_users, allow_for_qc) VALUES (NULL, 'att_disease',  'Disease',  500,  TRUE, TRUE, TRUE, FALSE, FALSE);</v>
      </c>
      <c r="O169" s="4" t="str">
        <f t="shared" si="11"/>
        <v xml:space="preserve">INSERT INTO attribute_values (attribute_id, tag, name, details) VALUES ((SELECT id FROM attributes WHERE tag = 'att_disease' LIMIT 1),  'att_disease:demyelinating',  'Demyelinating',  'Demyelinating disease'); </v>
      </c>
    </row>
    <row r="170" spans="1:15">
      <c r="A170" s="8" t="b">
        <f>FALSE()</f>
        <v>0</v>
      </c>
      <c r="B170" s="8"/>
      <c r="C170" s="4" t="s">
        <v>991</v>
      </c>
      <c r="D170" s="4" t="s">
        <v>992</v>
      </c>
      <c r="E170" s="4" t="s">
        <v>13</v>
      </c>
      <c r="F170" s="4" t="s">
        <v>74</v>
      </c>
      <c r="G170" s="4" t="s">
        <v>2450</v>
      </c>
      <c r="H170" s="4" t="str">
        <f t="shared" si="8"/>
        <v>att_disease</v>
      </c>
      <c r="I170" s="4" t="s">
        <v>991</v>
      </c>
      <c r="J170" s="4" t="str">
        <f t="shared" si="9"/>
        <v>att_disease:diabetes</v>
      </c>
      <c r="K170" s="7" t="s">
        <v>17</v>
      </c>
      <c r="L170" s="4" t="s">
        <v>992</v>
      </c>
      <c r="M170" s="4" t="s">
        <v>13</v>
      </c>
      <c r="N170" s="4" t="str">
        <f t="shared" si="10"/>
        <v>INSERT INTO attributes (parent_id, tag, name, priority, allow_as_filter, allow_for_dataset, allow_for_measurement, allow_for_users, allow_for_qc) VALUES (NULL, 'att_disease',  'Disease',  500,  TRUE, TRUE, TRUE, FALSE, FALSE);</v>
      </c>
      <c r="O170" s="4" t="str">
        <f t="shared" si="11"/>
        <v xml:space="preserve">INSERT INTO attribute_values (attribute_id, tag, name, details) VALUES ((SELECT id FROM attributes WHERE tag = 'att_disease' LIMIT 1),  'att_disease:diabetes',  'Diabetes',  'Diabetes'); </v>
      </c>
    </row>
    <row r="171" spans="1:15">
      <c r="A171" s="8" t="b">
        <f>FALSE()</f>
        <v>0</v>
      </c>
      <c r="B171" s="8"/>
      <c r="C171" s="4" t="s">
        <v>993</v>
      </c>
      <c r="D171" s="4" t="s">
        <v>994</v>
      </c>
      <c r="E171" s="4" t="s">
        <v>13</v>
      </c>
      <c r="F171" s="4" t="s">
        <v>74</v>
      </c>
      <c r="G171" s="4" t="s">
        <v>2450</v>
      </c>
      <c r="H171" s="4" t="str">
        <f t="shared" si="8"/>
        <v>att_disease</v>
      </c>
      <c r="I171" s="4" t="s">
        <v>993</v>
      </c>
      <c r="J171" s="4" t="str">
        <f t="shared" si="9"/>
        <v>att_disease:glioblastoma</v>
      </c>
      <c r="K171" s="7" t="s">
        <v>17</v>
      </c>
      <c r="L171" s="4" t="s">
        <v>995</v>
      </c>
      <c r="M171" s="4" t="s">
        <v>13</v>
      </c>
      <c r="N171" s="4" t="str">
        <f t="shared" si="10"/>
        <v>INSERT INTO attributes (parent_id, tag, name, priority, allow_as_filter, allow_for_dataset, allow_for_measurement, allow_for_users, allow_for_qc) VALUES (NULL, 'att_disease',  'Disease',  500,  TRUE, TRUE, TRUE, FALSE, FALSE);</v>
      </c>
      <c r="O171" s="4" t="str">
        <f t="shared" si="11"/>
        <v xml:space="preserve">INSERT INTO attribute_values (attribute_id, tag, name, details) VALUES ((SELECT id FROM attributes WHERE tag = 'att_disease' LIMIT 1),  'att_disease:glioblastoma',  'Glioblastoma',  'Grade IV Astrocytoma'); </v>
      </c>
    </row>
    <row r="172" spans="1:15">
      <c r="A172" s="8" t="b">
        <f>FALSE()</f>
        <v>0</v>
      </c>
      <c r="B172" s="8"/>
      <c r="C172" s="4" t="s">
        <v>996</v>
      </c>
      <c r="D172" s="4" t="s">
        <v>997</v>
      </c>
      <c r="E172" s="4" t="s">
        <v>13</v>
      </c>
      <c r="F172" s="4" t="s">
        <v>74</v>
      </c>
      <c r="G172" s="4" t="s">
        <v>2450</v>
      </c>
      <c r="H172" s="4" t="str">
        <f t="shared" si="8"/>
        <v>att_disease</v>
      </c>
      <c r="I172" s="4" t="s">
        <v>996</v>
      </c>
      <c r="J172" s="4" t="str">
        <f t="shared" si="9"/>
        <v>att_disease:hiv</v>
      </c>
      <c r="K172" s="7" t="s">
        <v>17</v>
      </c>
      <c r="L172" s="4" t="s">
        <v>998</v>
      </c>
      <c r="M172" s="4" t="s">
        <v>13</v>
      </c>
      <c r="N172" s="4" t="str">
        <f t="shared" si="10"/>
        <v>INSERT INTO attributes (parent_id, tag, name, priority, allow_as_filter, allow_for_dataset, allow_for_measurement, allow_for_users, allow_for_qc) VALUES (NULL, 'att_disease',  'Disease',  500,  TRUE, TRUE, TRUE, FALSE, FALSE);</v>
      </c>
      <c r="O172" s="4" t="str">
        <f t="shared" si="11"/>
        <v xml:space="preserve">INSERT INTO attribute_values (attribute_id, tag, name, details) VALUES ((SELECT id FROM attributes WHERE tag = 'att_disease' LIMIT 1),  'att_disease:hiv',  'HIV',  'HIV disease'); </v>
      </c>
    </row>
    <row r="173" spans="1:15">
      <c r="A173" s="8" t="b">
        <f>FALSE()</f>
        <v>0</v>
      </c>
      <c r="B173" s="8"/>
      <c r="C173" s="4" t="s">
        <v>999</v>
      </c>
      <c r="D173" s="4" t="s">
        <v>1000</v>
      </c>
      <c r="E173" s="4" t="s">
        <v>13</v>
      </c>
      <c r="F173" s="4" t="s">
        <v>74</v>
      </c>
      <c r="G173" s="4" t="s">
        <v>2450</v>
      </c>
      <c r="H173" s="4" t="str">
        <f t="shared" si="8"/>
        <v>att_disease</v>
      </c>
      <c r="I173" s="4" t="s">
        <v>999</v>
      </c>
      <c r="J173" s="4" t="str">
        <f t="shared" si="9"/>
        <v>att_disease:huntington</v>
      </c>
      <c r="K173" s="7" t="s">
        <v>17</v>
      </c>
      <c r="L173" s="4" t="s">
        <v>1001</v>
      </c>
      <c r="M173" s="4" t="s">
        <v>13</v>
      </c>
      <c r="N173" s="4" t="str">
        <f t="shared" si="10"/>
        <v>INSERT INTO attributes (parent_id, tag, name, priority, allow_as_filter, allow_for_dataset, allow_for_measurement, allow_for_users, allow_for_qc) VALUES (NULL, 'att_disease',  'Disease',  500,  TRUE, TRUE, TRUE, FALSE, FALSE);</v>
      </c>
      <c r="O173" s="4" t="str">
        <f t="shared" si="11"/>
        <v xml:space="preserve">INSERT INTO attribute_values (attribute_id, tag, name, details) VALUES ((SELECT id FROM attributes WHERE tag = 'att_disease' LIMIT 1),  'att_disease:huntington',  'Huntington',  'Huntington's disease'); </v>
      </c>
    </row>
    <row r="174" spans="1:15">
      <c r="A174" s="8" t="b">
        <f>FALSE()</f>
        <v>0</v>
      </c>
      <c r="B174" s="8"/>
      <c r="C174" s="4" t="s">
        <v>1002</v>
      </c>
      <c r="D174" s="4" t="s">
        <v>1003</v>
      </c>
      <c r="E174" s="4" t="s">
        <v>13</v>
      </c>
      <c r="F174" s="4" t="s">
        <v>74</v>
      </c>
      <c r="G174" s="4" t="s">
        <v>2450</v>
      </c>
      <c r="H174" s="4" t="str">
        <f t="shared" si="8"/>
        <v>att_disease</v>
      </c>
      <c r="I174" s="4" t="s">
        <v>1002</v>
      </c>
      <c r="J174" s="4" t="str">
        <f t="shared" si="9"/>
        <v>att_disease:ibd</v>
      </c>
      <c r="K174" s="7" t="s">
        <v>17</v>
      </c>
      <c r="L174" s="4" t="s">
        <v>1004</v>
      </c>
      <c r="M174" s="4" t="s">
        <v>13</v>
      </c>
      <c r="N174" s="4" t="str">
        <f t="shared" si="10"/>
        <v>INSERT INTO attributes (parent_id, tag, name, priority, allow_as_filter, allow_for_dataset, allow_for_measurement, allow_for_users, allow_for_qc) VALUES (NULL, 'att_disease',  'Disease',  500,  TRUE, TRUE, TRUE, FALSE, FALSE);</v>
      </c>
      <c r="O174" s="4" t="str">
        <f t="shared" si="11"/>
        <v xml:space="preserve">INSERT INTO attribute_values (attribute_id, tag, name, details) VALUES ((SELECT id FROM attributes WHERE tag = 'att_disease' LIMIT 1),  'att_disease:ibd',  'IBD',  'Inflammatory bowel disease'); </v>
      </c>
    </row>
    <row r="175" spans="1:15">
      <c r="A175" s="8" t="b">
        <f>FALSE()</f>
        <v>0</v>
      </c>
      <c r="B175" s="8"/>
      <c r="C175" s="4" t="s">
        <v>1005</v>
      </c>
      <c r="D175" s="4" t="s">
        <v>1006</v>
      </c>
      <c r="E175" s="4" t="s">
        <v>13</v>
      </c>
      <c r="F175" s="4" t="s">
        <v>74</v>
      </c>
      <c r="G175" s="4" t="s">
        <v>2450</v>
      </c>
      <c r="H175" s="4" t="str">
        <f t="shared" si="8"/>
        <v>att_disease</v>
      </c>
      <c r="I175" s="4" t="s">
        <v>1005</v>
      </c>
      <c r="J175" s="4" t="str">
        <f t="shared" si="9"/>
        <v>att_disease:infection</v>
      </c>
      <c r="K175" s="7" t="s">
        <v>17</v>
      </c>
      <c r="L175" s="4" t="s">
        <v>1007</v>
      </c>
      <c r="M175" s="4" t="s">
        <v>13</v>
      </c>
      <c r="N175" s="4" t="str">
        <f t="shared" si="10"/>
        <v>INSERT INTO attributes (parent_id, tag, name, priority, allow_as_filter, allow_for_dataset, allow_for_measurement, allow_for_users, allow_for_qc) VALUES (NULL, 'att_disease',  'Disease',  500,  TRUE, TRUE, TRUE, FALSE, FALSE);</v>
      </c>
      <c r="O175" s="4"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c r="A176" s="8" t="b">
        <f>FALSE()</f>
        <v>0</v>
      </c>
      <c r="B176" s="8"/>
      <c r="C176" s="4" t="s">
        <v>1008</v>
      </c>
      <c r="D176" s="4" t="s">
        <v>1009</v>
      </c>
      <c r="E176" s="4" t="s">
        <v>13</v>
      </c>
      <c r="F176" s="4" t="s">
        <v>74</v>
      </c>
      <c r="G176" s="4" t="s">
        <v>2450</v>
      </c>
      <c r="H176" s="4" t="str">
        <f t="shared" si="8"/>
        <v>att_disease</v>
      </c>
      <c r="I176" s="4" t="s">
        <v>1008</v>
      </c>
      <c r="J176" s="4" t="str">
        <f t="shared" si="9"/>
        <v>att_disease:influenza</v>
      </c>
      <c r="K176" s="7" t="s">
        <v>17</v>
      </c>
      <c r="L176" s="4" t="s">
        <v>1010</v>
      </c>
      <c r="M176" s="4" t="s">
        <v>13</v>
      </c>
      <c r="N176" s="4" t="str">
        <f t="shared" si="10"/>
        <v>INSERT INTO attributes (parent_id, tag, name, priority, allow_as_filter, allow_for_dataset, allow_for_measurement, allow_for_users, allow_for_qc) VALUES (NULL, 'att_disease',  'Disease',  500,  TRUE, TRUE, TRUE, FALSE, FALSE);</v>
      </c>
      <c r="O176" s="4"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c r="A177" s="8" t="b">
        <f>FALSE()</f>
        <v>0</v>
      </c>
      <c r="B177" s="8"/>
      <c r="C177" s="4" t="s">
        <v>1011</v>
      </c>
      <c r="D177" s="4" t="s">
        <v>553</v>
      </c>
      <c r="E177" s="4" t="s">
        <v>13</v>
      </c>
      <c r="F177" s="4" t="s">
        <v>74</v>
      </c>
      <c r="G177" s="4" t="s">
        <v>2450</v>
      </c>
      <c r="H177" s="4" t="str">
        <f t="shared" si="8"/>
        <v>att_disease</v>
      </c>
      <c r="I177" s="4" t="s">
        <v>1011</v>
      </c>
      <c r="J177" s="4" t="str">
        <f t="shared" si="9"/>
        <v>att_disease:leukemia</v>
      </c>
      <c r="K177" s="7" t="s">
        <v>17</v>
      </c>
      <c r="L177" s="4" t="s">
        <v>1012</v>
      </c>
      <c r="M177" s="4" t="s">
        <v>13</v>
      </c>
      <c r="N177" s="4" t="str">
        <f t="shared" si="10"/>
        <v>INSERT INTO attributes (parent_id, tag, name, priority, allow_as_filter, allow_for_dataset, allow_for_measurement, allow_for_users, allow_for_qc) VALUES (NULL, 'att_disease',  'Disease',  500,  TRUE, TRUE, TRUE, FALSE, FALSE);</v>
      </c>
      <c r="O177" s="4" t="str">
        <f t="shared" si="11"/>
        <v xml:space="preserve">INSERT INTO attribute_values (attribute_id, tag, name, details) VALUES ((SELECT id FROM attributes WHERE tag = 'att_disease' LIMIT 1),  'att_disease:leukemia',  'Leukemia',  'Cancer of the body's blood-forming tissues'); </v>
      </c>
    </row>
    <row r="178" spans="1:15">
      <c r="A178" s="8" t="b">
        <f>FALSE()</f>
        <v>0</v>
      </c>
      <c r="B178" s="8"/>
      <c r="C178" s="4" t="s">
        <v>1013</v>
      </c>
      <c r="D178" s="4" t="s">
        <v>1014</v>
      </c>
      <c r="E178" s="4" t="s">
        <v>13</v>
      </c>
      <c r="F178" s="4" t="s">
        <v>74</v>
      </c>
      <c r="G178" s="4" t="s">
        <v>2450</v>
      </c>
      <c r="H178" s="4" t="str">
        <f t="shared" si="8"/>
        <v>att_disease</v>
      </c>
      <c r="I178" s="4" t="s">
        <v>1013</v>
      </c>
      <c r="J178" s="4" t="str">
        <f t="shared" si="9"/>
        <v>att_disease:lymphoma</v>
      </c>
      <c r="K178" s="7" t="s">
        <v>17</v>
      </c>
      <c r="L178" s="4" t="s">
        <v>1015</v>
      </c>
      <c r="M178" s="4" t="s">
        <v>13</v>
      </c>
      <c r="N178" s="4" t="str">
        <f t="shared" si="10"/>
        <v>INSERT INTO attributes (parent_id, tag, name, priority, allow_as_filter, allow_for_dataset, allow_for_measurement, allow_for_users, allow_for_qc) VALUES (NULL, 'att_disease',  'Disease',  500,  TRUE, TRUE, TRUE, FALSE, FALSE);</v>
      </c>
      <c r="O178" s="4" t="str">
        <f t="shared" si="11"/>
        <v xml:space="preserve">INSERT INTO attribute_values (attribute_id, tag, name, details) VALUES ((SELECT id FROM attributes WHERE tag = 'att_disease' LIMIT 1),  'att_disease:lymphoma',  'Lymphoma',  'Cancer that begins in cells of the lymph system'); </v>
      </c>
    </row>
    <row r="179" spans="1:15">
      <c r="A179" s="8" t="b">
        <f>FALSE()</f>
        <v>0</v>
      </c>
      <c r="B179" s="8"/>
      <c r="C179" s="4" t="s">
        <v>1016</v>
      </c>
      <c r="D179" s="4" t="s">
        <v>1017</v>
      </c>
      <c r="E179" s="4" t="s">
        <v>13</v>
      </c>
      <c r="F179" s="4" t="s">
        <v>74</v>
      </c>
      <c r="G179" s="4" t="s">
        <v>2450</v>
      </c>
      <c r="H179" s="4" t="str">
        <f t="shared" si="8"/>
        <v>att_disease</v>
      </c>
      <c r="I179" s="4" t="s">
        <v>1016</v>
      </c>
      <c r="J179" s="4" t="str">
        <f t="shared" si="9"/>
        <v>att_disease:malaria</v>
      </c>
      <c r="K179" s="7" t="s">
        <v>17</v>
      </c>
      <c r="L179" s="4" t="s">
        <v>1018</v>
      </c>
      <c r="M179" s="4" t="s">
        <v>13</v>
      </c>
      <c r="N179" s="4" t="str">
        <f t="shared" si="10"/>
        <v>INSERT INTO attributes (parent_id, tag, name, priority, allow_as_filter, allow_for_dataset, allow_for_measurement, allow_for_users, allow_for_qc) VALUES (NULL, 'att_disease',  'Disease',  500,  TRUE, TRUE, TRUE, FALSE, FALSE);</v>
      </c>
      <c r="O179" s="4" t="str">
        <f t="shared" si="11"/>
        <v xml:space="preserve">INSERT INTO attribute_values (attribute_id, tag, name, details) VALUES ((SELECT id FROM attributes WHERE tag = 'att_disease' LIMIT 1),  'att_disease:malaria',  'Malaria',  'Fatal disease caused by a parasite'); </v>
      </c>
    </row>
    <row r="180" spans="1:15">
      <c r="A180" s="8" t="b">
        <f>FALSE()</f>
        <v>0</v>
      </c>
      <c r="B180" s="8"/>
      <c r="C180" s="4" t="s">
        <v>21</v>
      </c>
      <c r="D180" s="4" t="s">
        <v>1019</v>
      </c>
      <c r="E180" s="4" t="s">
        <v>13</v>
      </c>
      <c r="F180" s="4" t="s">
        <v>74</v>
      </c>
      <c r="G180" s="4" t="s">
        <v>2450</v>
      </c>
      <c r="H180" s="4" t="str">
        <f t="shared" si="8"/>
        <v>att_disease</v>
      </c>
      <c r="I180" s="4" t="s">
        <v>21</v>
      </c>
      <c r="J180" s="4" t="str">
        <f t="shared" si="9"/>
        <v>att_disease:ms</v>
      </c>
      <c r="K180" s="7" t="s">
        <v>17</v>
      </c>
      <c r="L180" s="4" t="s">
        <v>1020</v>
      </c>
      <c r="M180" s="4" t="s">
        <v>13</v>
      </c>
      <c r="N180" s="4" t="str">
        <f t="shared" si="10"/>
        <v>INSERT INTO attributes (parent_id, tag, name, priority, allow_as_filter, allow_for_dataset, allow_for_measurement, allow_for_users, allow_for_qc) VALUES (NULL, 'att_disease',  'Disease',  500,  TRUE, TRUE, TRUE, FALSE, FALSE);</v>
      </c>
      <c r="O180" s="4" t="str">
        <f t="shared" si="11"/>
        <v xml:space="preserve">INSERT INTO attribute_values (attribute_id, tag, name, details) VALUES ((SELECT id FROM attributes WHERE tag = 'att_disease' LIMIT 1),  'att_disease:ms',  'MS',  'Multiple sclerosis'); </v>
      </c>
    </row>
    <row r="181" spans="1:15">
      <c r="A181" s="8" t="b">
        <f>FALSE()</f>
        <v>0</v>
      </c>
      <c r="B181" s="8"/>
      <c r="C181" s="4" t="s">
        <v>1021</v>
      </c>
      <c r="D181" s="4" t="s">
        <v>1022</v>
      </c>
      <c r="E181" s="4" t="s">
        <v>13</v>
      </c>
      <c r="F181" s="4" t="s">
        <v>74</v>
      </c>
      <c r="G181" s="4" t="s">
        <v>2450</v>
      </c>
      <c r="H181" s="4" t="str">
        <f t="shared" si="8"/>
        <v>att_disease</v>
      </c>
      <c r="I181" s="4" t="s">
        <v>1021</v>
      </c>
      <c r="J181" s="4" t="str">
        <f t="shared" si="9"/>
        <v>att_disease:msa</v>
      </c>
      <c r="K181" s="7" t="s">
        <v>17</v>
      </c>
      <c r="L181" s="4" t="s">
        <v>1023</v>
      </c>
      <c r="M181" s="4" t="s">
        <v>13</v>
      </c>
      <c r="N181" s="4" t="str">
        <f t="shared" si="10"/>
        <v>INSERT INTO attributes (parent_id, tag, name, priority, allow_as_filter, allow_for_dataset, allow_for_measurement, allow_for_users, allow_for_qc) VALUES (NULL, 'att_disease',  'Disease',  500,  TRUE, TRUE, TRUE, FALSE, FALSE);</v>
      </c>
      <c r="O181" s="4" t="str">
        <f t="shared" si="11"/>
        <v xml:space="preserve">INSERT INTO attribute_values (attribute_id, tag, name, details) VALUES ((SELECT id FROM attributes WHERE tag = 'att_disease' LIMIT 1),  'att_disease:msa',  'MSA',  'Multiple system atrophy'); </v>
      </c>
    </row>
    <row r="182" spans="1:15">
      <c r="A182" s="8" t="b">
        <f>FALSE()</f>
        <v>0</v>
      </c>
      <c r="B182" s="8"/>
      <c r="C182" s="4" t="s">
        <v>1024</v>
      </c>
      <c r="D182" s="4" t="s">
        <v>1025</v>
      </c>
      <c r="E182" s="4" t="s">
        <v>13</v>
      </c>
      <c r="F182" s="4" t="s">
        <v>74</v>
      </c>
      <c r="G182" s="4" t="s">
        <v>2450</v>
      </c>
      <c r="H182" s="4" t="str">
        <f t="shared" si="8"/>
        <v>att_disease</v>
      </c>
      <c r="I182" s="4" t="s">
        <v>1024</v>
      </c>
      <c r="J182" s="4" t="str">
        <f t="shared" si="9"/>
        <v>att_disease:neurodegenerative</v>
      </c>
      <c r="K182" s="7" t="s">
        <v>17</v>
      </c>
      <c r="L182" s="4" t="s">
        <v>1026</v>
      </c>
      <c r="M182" s="4" t="s">
        <v>13</v>
      </c>
      <c r="N182" s="4" t="str">
        <f t="shared" si="10"/>
        <v>INSERT INTO attributes (parent_id, tag, name, priority, allow_as_filter, allow_for_dataset, allow_for_measurement, allow_for_users, allow_for_qc) VALUES (NULL, 'att_disease',  'Disease',  500,  TRUE, TRUE, TRUE, FALSE, FALSE);</v>
      </c>
      <c r="O182" s="4" t="str">
        <f t="shared" si="11"/>
        <v xml:space="preserve">INSERT INTO attribute_values (attribute_id, tag, name, details) VALUES ((SELECT id FROM attributes WHERE tag = 'att_disease' LIMIT 1),  'att_disease:neurodegenerative',  'Neurodegenerative',  'Neurodegenerative disease'); </v>
      </c>
    </row>
    <row r="183" spans="1:15">
      <c r="A183" s="8" t="b">
        <f>FALSE()</f>
        <v>0</v>
      </c>
      <c r="B183" s="8"/>
      <c r="C183" s="4" t="s">
        <v>1027</v>
      </c>
      <c r="D183" s="4" t="s">
        <v>1028</v>
      </c>
      <c r="E183" s="4" t="s">
        <v>13</v>
      </c>
      <c r="F183" s="4" t="s">
        <v>74</v>
      </c>
      <c r="G183" s="4" t="s">
        <v>2450</v>
      </c>
      <c r="H183" s="4" t="str">
        <f t="shared" si="8"/>
        <v>att_disease</v>
      </c>
      <c r="I183" s="4" t="s">
        <v>1027</v>
      </c>
      <c r="J183" s="4" t="str">
        <f t="shared" si="9"/>
        <v>att_disease:parkinson</v>
      </c>
      <c r="K183" s="7" t="s">
        <v>17</v>
      </c>
      <c r="L183" s="4" t="s">
        <v>1029</v>
      </c>
      <c r="M183" s="4" t="s">
        <v>13</v>
      </c>
      <c r="N183" s="4" t="str">
        <f t="shared" si="10"/>
        <v>INSERT INTO attributes (parent_id, tag, name, priority, allow_as_filter, allow_for_dataset, allow_for_measurement, allow_for_users, allow_for_qc) VALUES (NULL, 'att_disease',  'Disease',  500,  TRUE, TRUE, TRUE, FALSE, FALSE);</v>
      </c>
      <c r="O183" s="4" t="str">
        <f t="shared" si="11"/>
        <v xml:space="preserve">INSERT INTO attribute_values (attribute_id, tag, name, details) VALUES ((SELECT id FROM attributes WHERE tag = 'att_disease' LIMIT 1),  'att_disease:parkinson',  'Parkinson',  'Parkinson's disease'); </v>
      </c>
    </row>
    <row r="184" spans="1:15">
      <c r="A184" s="8" t="b">
        <f>FALSE()</f>
        <v>0</v>
      </c>
      <c r="B184" s="8"/>
      <c r="C184" s="4" t="s">
        <v>1030</v>
      </c>
      <c r="D184" s="4" t="s">
        <v>1031</v>
      </c>
      <c r="E184" s="4" t="s">
        <v>13</v>
      </c>
      <c r="F184" s="4" t="s">
        <v>74</v>
      </c>
      <c r="G184" s="4" t="s">
        <v>2450</v>
      </c>
      <c r="H184" s="4" t="str">
        <f t="shared" si="8"/>
        <v>att_disease</v>
      </c>
      <c r="I184" s="4" t="s">
        <v>1030</v>
      </c>
      <c r="J184" s="4" t="str">
        <f t="shared" si="9"/>
        <v>att_disease:prion</v>
      </c>
      <c r="K184" s="7" t="s">
        <v>17</v>
      </c>
      <c r="L184" s="4" t="s">
        <v>1032</v>
      </c>
      <c r="M184" s="4" t="s">
        <v>13</v>
      </c>
      <c r="N184" s="4" t="str">
        <f t="shared" si="10"/>
        <v>INSERT INTO attributes (parent_id, tag, name, priority, allow_as_filter, allow_for_dataset, allow_for_measurement, allow_for_users, allow_for_qc) VALUES (NULL, 'att_disease',  'Disease',  500,  TRUE, TRUE, TRUE, FALSE, FALSE);</v>
      </c>
      <c r="O184" s="4" t="str">
        <f t="shared" si="11"/>
        <v xml:space="preserve">INSERT INTO attribute_values (attribute_id, tag, name, details) VALUES ((SELECT id FROM attributes WHERE tag = 'att_disease' LIMIT 1),  'att_disease:prion',  'Prion',  'Prion disease'); </v>
      </c>
    </row>
    <row r="185" spans="1:15">
      <c r="A185" s="8" t="b">
        <f>FALSE()</f>
        <v>0</v>
      </c>
      <c r="B185" s="8"/>
      <c r="C185" s="4" t="s">
        <v>1033</v>
      </c>
      <c r="D185" s="4" t="s">
        <v>1034</v>
      </c>
      <c r="E185" s="4" t="s">
        <v>13</v>
      </c>
      <c r="F185" s="4" t="s">
        <v>74</v>
      </c>
      <c r="G185" s="4" t="s">
        <v>2450</v>
      </c>
      <c r="H185" s="4" t="str">
        <f t="shared" si="8"/>
        <v>att_disease</v>
      </c>
      <c r="I185" s="4" t="s">
        <v>1033</v>
      </c>
      <c r="J185" s="4" t="str">
        <f t="shared" si="9"/>
        <v>att_disease:rheumatoid</v>
      </c>
      <c r="K185" s="7" t="s">
        <v>17</v>
      </c>
      <c r="L185" s="4" t="s">
        <v>1035</v>
      </c>
      <c r="M185" s="4" t="s">
        <v>13</v>
      </c>
      <c r="N185" s="4" t="str">
        <f t="shared" si="10"/>
        <v>INSERT INTO attributes (parent_id, tag, name, priority, allow_as_filter, allow_for_dataset, allow_for_measurement, allow_for_users, allow_for_qc) VALUES (NULL, 'att_disease',  'Disease',  500,  TRUE, TRUE, TRUE, FALSE, FALSE);</v>
      </c>
      <c r="O185" s="4" t="str">
        <f t="shared" si="11"/>
        <v xml:space="preserve">INSERT INTO attribute_values (attribute_id, tag, name, details) VALUES ((SELECT id FROM attributes WHERE tag = 'att_disease' LIMIT 1),  'att_disease:rheumatoid',  'Rheumatoid',  'Rheumatoid arthritis'); </v>
      </c>
    </row>
    <row r="186" spans="1:15">
      <c r="A186" s="8" t="b">
        <f>FALSE()</f>
        <v>0</v>
      </c>
      <c r="B186" s="8"/>
      <c r="C186" s="4" t="s">
        <v>1036</v>
      </c>
      <c r="D186" s="4" t="s">
        <v>1037</v>
      </c>
      <c r="E186" s="4" t="s">
        <v>13</v>
      </c>
      <c r="F186" s="4" t="s">
        <v>74</v>
      </c>
      <c r="G186" s="4" t="s">
        <v>2450</v>
      </c>
      <c r="H186" s="4" t="str">
        <f t="shared" si="8"/>
        <v>att_disease</v>
      </c>
      <c r="I186" s="4" t="s">
        <v>1036</v>
      </c>
      <c r="J186" s="4" t="str">
        <f t="shared" si="9"/>
        <v>att_disease:stress</v>
      </c>
      <c r="K186" s="7" t="s">
        <v>17</v>
      </c>
      <c r="L186" s="4" t="s">
        <v>1038</v>
      </c>
      <c r="M186" s="4" t="s">
        <v>13</v>
      </c>
      <c r="N186" s="4" t="str">
        <f t="shared" si="10"/>
        <v>INSERT INTO attributes (parent_id, tag, name, priority, allow_as_filter, allow_for_dataset, allow_for_measurement, allow_for_users, allow_for_qc) VALUES (NULL, 'att_disease',  'Disease',  500,  TRUE, TRUE, TRUE, FALSE, FALSE);</v>
      </c>
      <c r="O186" s="4" t="str">
        <f t="shared" si="11"/>
        <v xml:space="preserve">INSERT INTO attribute_values (attribute_id, tag, name, details) VALUES ((SELECT id FROM attributes WHERE tag = 'att_disease' LIMIT 1),  'att_disease:stress',  'Stress',  'How one reacts when feeling under pressure or threatened'); </v>
      </c>
    </row>
    <row r="187" spans="1:15">
      <c r="A187" s="8" t="b">
        <f>FALSE()</f>
        <v>0</v>
      </c>
      <c r="B187" s="8"/>
      <c r="C187" s="4" t="s">
        <v>1039</v>
      </c>
      <c r="D187" s="4" t="s">
        <v>1040</v>
      </c>
      <c r="E187" s="4" t="s">
        <v>13</v>
      </c>
      <c r="F187" s="4" t="s">
        <v>74</v>
      </c>
      <c r="G187" s="4" t="s">
        <v>2450</v>
      </c>
      <c r="H187" s="4" t="str">
        <f t="shared" si="8"/>
        <v>att_disease</v>
      </c>
      <c r="I187" s="4" t="s">
        <v>1039</v>
      </c>
      <c r="J187" s="4" t="str">
        <f t="shared" si="9"/>
        <v>att_disease:stroke</v>
      </c>
      <c r="K187" s="7" t="s">
        <v>17</v>
      </c>
      <c r="L187" s="4" t="s">
        <v>1041</v>
      </c>
      <c r="M187" s="4" t="s">
        <v>13</v>
      </c>
      <c r="N187" s="4" t="str">
        <f t="shared" si="10"/>
        <v>INSERT INTO attributes (parent_id, tag, name, priority, allow_as_filter, allow_for_dataset, allow_for_measurement, allow_for_users, allow_for_qc) VALUES (NULL, 'att_disease',  'Disease',  500,  TRUE, TRUE, TRUE, FALSE, FALSE);</v>
      </c>
      <c r="O187" s="4" t="str">
        <f t="shared" si="11"/>
        <v xml:space="preserve">INSERT INTO attribute_values (attribute_id, tag, name, details) VALUES ((SELECT id FROM attributes WHERE tag = 'att_disease' LIMIT 1),  'att_disease:stroke',  'Stroke',  'Disease that affects the arteries leading to and within the brain'); </v>
      </c>
    </row>
    <row r="188" spans="1:15">
      <c r="A188" s="8" t="b">
        <f>FALSE()</f>
        <v>0</v>
      </c>
      <c r="B188" s="8"/>
      <c r="C188" s="4" t="s">
        <v>1042</v>
      </c>
      <c r="D188" s="4" t="s">
        <v>1043</v>
      </c>
      <c r="E188" s="4" t="s">
        <v>13</v>
      </c>
      <c r="F188" s="4" t="s">
        <v>74</v>
      </c>
      <c r="G188" s="4" t="s">
        <v>2450</v>
      </c>
      <c r="H188" s="4" t="str">
        <f t="shared" si="8"/>
        <v>att_disease</v>
      </c>
      <c r="I188" s="4" t="s">
        <v>1042</v>
      </c>
      <c r="J188" s="4" t="str">
        <f t="shared" si="9"/>
        <v>att_disease:tuberculosis</v>
      </c>
      <c r="K188" s="7" t="s">
        <v>17</v>
      </c>
      <c r="L188" s="4" t="s">
        <v>1044</v>
      </c>
      <c r="M188" s="4" t="s">
        <v>13</v>
      </c>
      <c r="N188" s="4" t="str">
        <f t="shared" si="10"/>
        <v>INSERT INTO attributes (parent_id, tag, name, priority, allow_as_filter, allow_for_dataset, allow_for_measurement, allow_for_users, allow_for_qc) VALUES (NULL, 'att_disease',  'Disease',  500,  TRUE, TRUE, TRUE, FALSE, FALSE);</v>
      </c>
      <c r="O188" s="4"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c r="A189" s="7" t="s">
        <v>17</v>
      </c>
      <c r="B189" s="7"/>
      <c r="C189" s="4" t="s">
        <v>1051</v>
      </c>
      <c r="D189" s="4" t="s">
        <v>1052</v>
      </c>
      <c r="E189" s="4" t="s">
        <v>13</v>
      </c>
      <c r="F189" s="4" t="s">
        <v>78</v>
      </c>
      <c r="G189" s="4" t="s">
        <v>2451</v>
      </c>
      <c r="H189" s="4" t="str">
        <f t="shared" si="8"/>
        <v>att_experiment</v>
      </c>
      <c r="I189" s="4" t="s">
        <v>1051</v>
      </c>
      <c r="J189" s="4" t="str">
        <f t="shared" si="9"/>
        <v>att_experiment:acetylome</v>
      </c>
      <c r="K189" s="7" t="s">
        <v>17</v>
      </c>
      <c r="L189" s="4" t="s">
        <v>1052</v>
      </c>
      <c r="M189" s="4" t="s">
        <v>13</v>
      </c>
      <c r="N189" s="4" t="str">
        <f t="shared" si="10"/>
        <v>INSERT INTO attributes (parent_id, tag, name, priority, allow_as_filter, allow_for_dataset, allow_for_measurement, allow_for_users, allow_for_qc) VALUES (NULL, 'att_experiment',  'Experiment Type',  500,  TRUE, TRUE, TRUE, FALSE, FALSE);</v>
      </c>
      <c r="O189" s="4" t="str">
        <f t="shared" si="11"/>
        <v xml:space="preserve">INSERT INTO attribute_values (attribute_id, tag, name, details) VALUES ((SELECT id FROM attributes WHERE tag = 'att_experiment' LIMIT 1),  'att_experiment:acetylome',  'Acetylome',  'Acetylome'); </v>
      </c>
    </row>
    <row r="190" spans="1:15">
      <c r="A190" s="7" t="s">
        <v>17</v>
      </c>
      <c r="B190" s="7"/>
      <c r="C190" s="4" t="s">
        <v>1053</v>
      </c>
      <c r="D190" s="4" t="s">
        <v>1054</v>
      </c>
      <c r="E190" s="4" t="s">
        <v>13</v>
      </c>
      <c r="F190" s="4" t="s">
        <v>78</v>
      </c>
      <c r="G190" s="4" t="s">
        <v>2451</v>
      </c>
      <c r="H190" s="4" t="str">
        <f t="shared" si="8"/>
        <v>att_experiment</v>
      </c>
      <c r="I190" s="4" t="s">
        <v>1053</v>
      </c>
      <c r="J190" s="4" t="str">
        <f t="shared" si="9"/>
        <v>att_experiment:dvp</v>
      </c>
      <c r="K190" s="7" t="s">
        <v>17</v>
      </c>
      <c r="L190" s="4" t="s">
        <v>1055</v>
      </c>
      <c r="M190" s="4" t="s">
        <v>13</v>
      </c>
      <c r="N190" s="4" t="str">
        <f t="shared" si="10"/>
        <v>INSERT INTO attributes (parent_id, tag, name, priority, allow_as_filter, allow_for_dataset, allow_for_measurement, allow_for_users, allow_for_qc) VALUES (NULL, 'att_experiment',  'Experiment Type',  500,  TRUE, TRUE, TRUE, FALSE, FALSE);</v>
      </c>
      <c r="O190" s="4" t="str">
        <f t="shared" si="11"/>
        <v xml:space="preserve">INSERT INTO attribute_values (attribute_id, tag, name, details) VALUES ((SELECT id FROM attributes WHERE tag = 'att_experiment' LIMIT 1),  'att_experiment:dvp',  'DVP',  'Fractionated Samples (DVP)'); </v>
      </c>
    </row>
    <row r="191" spans="1:15">
      <c r="A191" s="7" t="s">
        <v>17</v>
      </c>
      <c r="B191" s="7"/>
      <c r="C191" s="4" t="s">
        <v>1056</v>
      </c>
      <c r="D191" s="4" t="s">
        <v>1058</v>
      </c>
      <c r="E191" s="4" t="s">
        <v>13</v>
      </c>
      <c r="F191" s="4" t="s">
        <v>78</v>
      </c>
      <c r="G191" s="4" t="s">
        <v>2451</v>
      </c>
      <c r="H191" s="4" t="str">
        <f t="shared" si="8"/>
        <v>att_experiment</v>
      </c>
      <c r="I191" s="4" t="s">
        <v>1056</v>
      </c>
      <c r="J191" s="4" t="str">
        <f t="shared" si="9"/>
        <v>att_experiment:expression_proteome</v>
      </c>
      <c r="K191" s="7" t="s">
        <v>17</v>
      </c>
      <c r="L191" s="4" t="s">
        <v>1058</v>
      </c>
      <c r="M191" s="4" t="s">
        <v>13</v>
      </c>
      <c r="N191" s="4" t="str">
        <f t="shared" si="10"/>
        <v>INSERT INTO attributes (parent_id, tag, name, priority, allow_as_filter, allow_for_dataset, allow_for_measurement, allow_for_users, allow_for_qc) VALUES (NULL, 'att_experiment',  'Experiment Type',  500,  TRUE, TRUE, TRUE, FALSE, FALSE);</v>
      </c>
      <c r="O191" s="4" t="str">
        <f t="shared" si="11"/>
        <v xml:space="preserve">INSERT INTO attribute_values (attribute_id, tag, name, details) VALUES ((SELECT id FROM attributes WHERE tag = 'att_experiment' LIMIT 1),  'att_experiment:expression_proteome',  'Expression Proteome',  'Expression Proteome'); </v>
      </c>
    </row>
    <row r="192" spans="1:15">
      <c r="A192" s="7" t="s">
        <v>17</v>
      </c>
      <c r="B192" s="7"/>
      <c r="C192" s="4" t="s">
        <v>1059</v>
      </c>
      <c r="D192" s="4" t="s">
        <v>1060</v>
      </c>
      <c r="E192" s="4" t="s">
        <v>13</v>
      </c>
      <c r="F192" s="4" t="s">
        <v>78</v>
      </c>
      <c r="G192" s="4" t="s">
        <v>2451</v>
      </c>
      <c r="H192" s="4" t="str">
        <f t="shared" si="8"/>
        <v>att_experiment</v>
      </c>
      <c r="I192" s="4" t="s">
        <v>1059</v>
      </c>
      <c r="J192" s="4" t="str">
        <f t="shared" si="9"/>
        <v>att_experiment:interaction</v>
      </c>
      <c r="K192" s="7" t="s">
        <v>17</v>
      </c>
      <c r="L192" s="4" t="s">
        <v>1060</v>
      </c>
      <c r="M192" s="4" t="s">
        <v>13</v>
      </c>
      <c r="N192" s="4" t="str">
        <f t="shared" si="10"/>
        <v>INSERT INTO attributes (parent_id, tag, name, priority, allow_as_filter, allow_for_dataset, allow_for_measurement, allow_for_users, allow_for_qc) VALUES (NULL, 'att_experiment',  'Experiment Type',  500,  TRUE, TRUE, TRUE, FALSE, FALSE);</v>
      </c>
      <c r="O192" s="4" t="str">
        <f t="shared" si="11"/>
        <v xml:space="preserve">INSERT INTO attribute_values (attribute_id, tag, name, details) VALUES ((SELECT id FROM attributes WHERE tag = 'att_experiment' LIMIT 1),  'att_experiment:interaction',  'Interaction Proteome',  'Interaction Proteome'); </v>
      </c>
    </row>
    <row r="193" spans="1:15">
      <c r="A193" s="7" t="s">
        <v>17</v>
      </c>
      <c r="B193" s="7"/>
      <c r="C193" s="4" t="s">
        <v>1061</v>
      </c>
      <c r="D193" s="4" t="s">
        <v>1062</v>
      </c>
      <c r="E193" s="4" t="s">
        <v>13</v>
      </c>
      <c r="F193" s="4" t="s">
        <v>78</v>
      </c>
      <c r="G193" s="4" t="s">
        <v>2451</v>
      </c>
      <c r="H193" s="4" t="str">
        <f t="shared" si="8"/>
        <v>att_experiment</v>
      </c>
      <c r="I193" s="4" t="s">
        <v>1061</v>
      </c>
      <c r="J193" s="4" t="str">
        <f t="shared" si="9"/>
        <v>att_experiment:metrs</v>
      </c>
      <c r="K193" s="7" t="s">
        <v>17</v>
      </c>
      <c r="L193" s="4" t="s">
        <v>1062</v>
      </c>
      <c r="M193" s="4" t="s">
        <v>13</v>
      </c>
      <c r="N193" s="4" t="str">
        <f t="shared" si="10"/>
        <v>INSERT INTO attributes (parent_id, tag, name, priority, allow_as_filter, allow_for_dataset, allow_for_measurement, allow_for_users, allow_for_qc) VALUES (NULL, 'att_experiment',  'Experiment Type',  500,  TRUE, TRUE, TRUE, FALSE, FALSE);</v>
      </c>
      <c r="O193" s="4" t="str">
        <f t="shared" si="11"/>
        <v xml:space="preserve">INSERT INTO attribute_values (attribute_id, tag, name, details) VALUES ((SELECT id FROM attributes WHERE tag = 'att_experiment' LIMIT 1),  'att_experiment:metrs',  'MetRS',  'MetRS'); </v>
      </c>
    </row>
    <row r="194" spans="1:15">
      <c r="A194" s="7" t="s">
        <v>17</v>
      </c>
      <c r="B194" s="7"/>
      <c r="C194" s="4" t="s">
        <v>2452</v>
      </c>
      <c r="D194" s="4" t="s">
        <v>1065</v>
      </c>
      <c r="E194" s="4" t="s">
        <v>13</v>
      </c>
      <c r="F194" s="4" t="s">
        <v>78</v>
      </c>
      <c r="G194" s="4" t="s">
        <v>2451</v>
      </c>
      <c r="H194" s="4" t="str">
        <f t="shared" ref="H194:H221" si="12">"att_"&amp;G194</f>
        <v>att_experiment</v>
      </c>
      <c r="I194" s="4" t="s">
        <v>1063</v>
      </c>
      <c r="J194" s="4" t="str">
        <f t="shared" ref="J194:J221" si="13">H194&amp;":"&amp;I194</f>
        <v>att_experiment:neo_nterm_enrichment</v>
      </c>
      <c r="K194" s="7" t="s">
        <v>17</v>
      </c>
      <c r="L194" s="4" t="s">
        <v>1065</v>
      </c>
      <c r="M194" s="4" t="s">
        <v>13</v>
      </c>
      <c r="N194" s="4"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4"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c r="A195" s="7" t="s">
        <v>17</v>
      </c>
      <c r="B195" s="7"/>
      <c r="C195" s="4" t="s">
        <v>2453</v>
      </c>
      <c r="D195" s="4" t="s">
        <v>2454</v>
      </c>
      <c r="E195" s="4" t="s">
        <v>13</v>
      </c>
      <c r="F195" s="4" t="s">
        <v>78</v>
      </c>
      <c r="G195" s="4" t="s">
        <v>2451</v>
      </c>
      <c r="H195" s="4" t="str">
        <f t="shared" si="12"/>
        <v>att_experiment</v>
      </c>
      <c r="I195" s="4" t="s">
        <v>2453</v>
      </c>
      <c r="J195" s="4" t="str">
        <f t="shared" si="13"/>
        <v>att_experiment:other_ptm</v>
      </c>
      <c r="K195" s="7" t="s">
        <v>17</v>
      </c>
      <c r="L195" s="4" t="s">
        <v>2454</v>
      </c>
      <c r="M195" s="4" t="s">
        <v>13</v>
      </c>
      <c r="N195" s="4" t="str">
        <f t="shared" si="14"/>
        <v>INSERT INTO attributes (parent_id, tag, name, priority, allow_as_filter, allow_for_dataset, allow_for_measurement, allow_for_users, allow_for_qc) VALUES (NULL, 'att_experiment',  'Experiment Type',  500,  TRUE, TRUE, TRUE, FALSE, FALSE);</v>
      </c>
      <c r="O195" s="4" t="str">
        <f t="shared" si="15"/>
        <v xml:space="preserve">INSERT INTO attribute_values (attribute_id, tag, name, details) VALUES ((SELECT id FROM attributes WHERE tag = 'att_experiment' LIMIT 1),  'att_experiment:other_ptm',  'other PTMs',  'other PTMs'); </v>
      </c>
    </row>
    <row r="196" spans="1:15">
      <c r="A196" s="7" t="s">
        <v>17</v>
      </c>
      <c r="B196" s="7"/>
      <c r="C196" s="4" t="s">
        <v>1066</v>
      </c>
      <c r="D196" s="4" t="s">
        <v>1067</v>
      </c>
      <c r="E196" s="4" t="s">
        <v>13</v>
      </c>
      <c r="F196" s="4" t="s">
        <v>78</v>
      </c>
      <c r="G196" s="4" t="s">
        <v>2451</v>
      </c>
      <c r="H196" s="4" t="str">
        <f t="shared" si="12"/>
        <v>att_experiment</v>
      </c>
      <c r="I196" s="4" t="s">
        <v>1066</v>
      </c>
      <c r="J196" s="4" t="str">
        <f t="shared" si="13"/>
        <v>att_experiment:oxinome</v>
      </c>
      <c r="K196" s="7" t="s">
        <v>17</v>
      </c>
      <c r="L196" s="4" t="s">
        <v>1067</v>
      </c>
      <c r="M196" s="4" t="s">
        <v>13</v>
      </c>
      <c r="N196" s="4" t="str">
        <f t="shared" si="14"/>
        <v>INSERT INTO attributes (parent_id, tag, name, priority, allow_as_filter, allow_for_dataset, allow_for_measurement, allow_for_users, allow_for_qc) VALUES (NULL, 'att_experiment',  'Experiment Type',  500,  TRUE, TRUE, TRUE, FALSE, FALSE);</v>
      </c>
      <c r="O196" s="4" t="str">
        <f t="shared" si="15"/>
        <v xml:space="preserve">INSERT INTO attribute_values (attribute_id, tag, name, details) VALUES ((SELECT id FROM attributes WHERE tag = 'att_experiment' LIMIT 1),  'att_experiment:oxinome',  'Oxinome',  'Oxinome'); </v>
      </c>
    </row>
    <row r="197" spans="1:15">
      <c r="A197" s="7" t="s">
        <v>17</v>
      </c>
      <c r="B197" s="7"/>
      <c r="C197" s="4" t="s">
        <v>1068</v>
      </c>
      <c r="D197" s="4" t="s">
        <v>1069</v>
      </c>
      <c r="E197" s="4" t="s">
        <v>13</v>
      </c>
      <c r="F197" s="4" t="s">
        <v>78</v>
      </c>
      <c r="G197" s="4" t="s">
        <v>2451</v>
      </c>
      <c r="H197" s="4" t="str">
        <f t="shared" si="12"/>
        <v>att_experiment</v>
      </c>
      <c r="I197" s="4" t="s">
        <v>1068</v>
      </c>
      <c r="J197" s="4" t="str">
        <f t="shared" si="13"/>
        <v>att_experiment:phosphoproteome</v>
      </c>
      <c r="K197" s="7" t="s">
        <v>17</v>
      </c>
      <c r="L197" s="4" t="s">
        <v>1069</v>
      </c>
      <c r="M197" s="4" t="s">
        <v>13</v>
      </c>
      <c r="N197" s="4" t="str">
        <f t="shared" si="14"/>
        <v>INSERT INTO attributes (parent_id, tag, name, priority, allow_as_filter, allow_for_dataset, allow_for_measurement, allow_for_users, allow_for_qc) VALUES (NULL, 'att_experiment',  'Experiment Type',  500,  TRUE, TRUE, TRUE, FALSE, FALSE);</v>
      </c>
      <c r="O197" s="4" t="str">
        <f t="shared" si="15"/>
        <v xml:space="preserve">INSERT INTO attribute_values (attribute_id, tag, name, details) VALUES ((SELECT id FROM attributes WHERE tag = 'att_experiment' LIMIT 1),  'att_experiment:phosphoproteome',  'Phosphoproteome',  'Phosphoproteome'); </v>
      </c>
    </row>
    <row r="198" spans="1:15">
      <c r="A198" s="7" t="s">
        <v>17</v>
      </c>
      <c r="B198" s="7"/>
      <c r="C198" s="4" t="s">
        <v>2455</v>
      </c>
      <c r="D198" s="4" t="s">
        <v>1071</v>
      </c>
      <c r="E198" s="4" t="s">
        <v>13</v>
      </c>
      <c r="F198" s="4" t="s">
        <v>78</v>
      </c>
      <c r="G198" s="4" t="s">
        <v>2451</v>
      </c>
      <c r="H198" s="4" t="str">
        <f t="shared" si="12"/>
        <v>att_experiment</v>
      </c>
      <c r="I198" s="4" t="s">
        <v>1070</v>
      </c>
      <c r="J198" s="4" t="str">
        <f t="shared" si="13"/>
        <v>att_experiment:pulse_silac</v>
      </c>
      <c r="K198" s="7" t="s">
        <v>17</v>
      </c>
      <c r="L198" s="4" t="s">
        <v>1071</v>
      </c>
      <c r="M198" s="4" t="s">
        <v>13</v>
      </c>
      <c r="N198" s="4" t="str">
        <f t="shared" si="14"/>
        <v>INSERT INTO attributes (parent_id, tag, name, priority, allow_as_filter, allow_for_dataset, allow_for_measurement, allow_for_users, allow_for_qc) VALUES (NULL, 'att_experiment',  'Experiment Type',  500,  TRUE, TRUE, TRUE, FALSE, FALSE);</v>
      </c>
      <c r="O198" s="4" t="str">
        <f t="shared" si="15"/>
        <v xml:space="preserve">INSERT INTO attribute_values (attribute_id, tag, name, details) VALUES ((SELECT id FROM attributes WHERE tag = 'att_experiment' LIMIT 1),  'att_experiment:pulse_silac',  'Pulse-SILAC',  'Pulse-SILAC'); </v>
      </c>
    </row>
    <row r="199" spans="1:15">
      <c r="A199" s="7" t="s">
        <v>17</v>
      </c>
      <c r="B199" s="7"/>
      <c r="C199" s="4" t="s">
        <v>1072</v>
      </c>
      <c r="D199" s="4" t="s">
        <v>1073</v>
      </c>
      <c r="E199" s="4" t="s">
        <v>13</v>
      </c>
      <c r="F199" s="4" t="s">
        <v>78</v>
      </c>
      <c r="G199" s="4" t="s">
        <v>2451</v>
      </c>
      <c r="H199" s="4" t="str">
        <f t="shared" si="12"/>
        <v>att_experiment</v>
      </c>
      <c r="I199" s="4" t="s">
        <v>1072</v>
      </c>
      <c r="J199" s="4" t="str">
        <f t="shared" si="13"/>
        <v>att_experiment:secretome</v>
      </c>
      <c r="K199" s="7" t="s">
        <v>17</v>
      </c>
      <c r="L199" s="4" t="s">
        <v>1073</v>
      </c>
      <c r="M199" s="4" t="s">
        <v>13</v>
      </c>
      <c r="N199" s="4" t="str">
        <f t="shared" si="14"/>
        <v>INSERT INTO attributes (parent_id, tag, name, priority, allow_as_filter, allow_for_dataset, allow_for_measurement, allow_for_users, allow_for_qc) VALUES (NULL, 'att_experiment',  'Experiment Type',  500,  TRUE, TRUE, TRUE, FALSE, FALSE);</v>
      </c>
      <c r="O199" s="4" t="str">
        <f t="shared" si="15"/>
        <v xml:space="preserve">INSERT INTO attribute_values (attribute_id, tag, name, details) VALUES ((SELECT id FROM attributes WHERE tag = 'att_experiment' LIMIT 1),  'att_experiment:secretome',  'Secretome',  'Secretome'); </v>
      </c>
    </row>
    <row r="200" spans="1:15">
      <c r="A200" s="7" t="s">
        <v>17</v>
      </c>
      <c r="B200" s="7"/>
      <c r="C200" s="4" t="s">
        <v>1074</v>
      </c>
      <c r="D200" s="4" t="s">
        <v>1075</v>
      </c>
      <c r="E200" s="4" t="s">
        <v>13</v>
      </c>
      <c r="F200" s="4" t="s">
        <v>78</v>
      </c>
      <c r="G200" s="4" t="s">
        <v>2451</v>
      </c>
      <c r="H200" s="4" t="str">
        <f t="shared" si="12"/>
        <v>att_experiment</v>
      </c>
      <c r="I200" s="4" t="s">
        <v>1074</v>
      </c>
      <c r="J200" s="4" t="str">
        <f t="shared" si="13"/>
        <v>att_experiment:spatial</v>
      </c>
      <c r="K200" s="7" t="s">
        <v>17</v>
      </c>
      <c r="L200" s="4" t="s">
        <v>1075</v>
      </c>
      <c r="M200" s="4" t="s">
        <v>13</v>
      </c>
      <c r="N200" s="4" t="str">
        <f t="shared" si="14"/>
        <v>INSERT INTO attributes (parent_id, tag, name, priority, allow_as_filter, allow_for_dataset, allow_for_measurement, allow_for_users, allow_for_qc) VALUES (NULL, 'att_experiment',  'Experiment Type',  500,  TRUE, TRUE, TRUE, FALSE, FALSE);</v>
      </c>
      <c r="O200" s="4" t="str">
        <f t="shared" si="15"/>
        <v xml:space="preserve">INSERT INTO attribute_values (attribute_id, tag, name, details) VALUES ((SELECT id FROM attributes WHERE tag = 'att_experiment' LIMIT 1),  'att_experiment:spatial',  'Spatial Proteome',  'Spatial Proteome'); </v>
      </c>
    </row>
    <row r="201" spans="1:15">
      <c r="A201" s="7" t="s">
        <v>17</v>
      </c>
      <c r="B201" s="7"/>
      <c r="C201" s="4" t="s">
        <v>1076</v>
      </c>
      <c r="D201" s="4" t="s">
        <v>1077</v>
      </c>
      <c r="E201" s="4" t="s">
        <v>13</v>
      </c>
      <c r="F201" s="4" t="s">
        <v>78</v>
      </c>
      <c r="G201" s="4" t="s">
        <v>2451</v>
      </c>
      <c r="H201" s="4" t="str">
        <f t="shared" si="12"/>
        <v>att_experiment</v>
      </c>
      <c r="I201" s="4" t="s">
        <v>1076</v>
      </c>
      <c r="J201" s="4" t="str">
        <f t="shared" si="13"/>
        <v>att_experiment:ubiquitinome</v>
      </c>
      <c r="K201" s="7" t="s">
        <v>17</v>
      </c>
      <c r="L201" s="4" t="s">
        <v>1077</v>
      </c>
      <c r="M201" s="4" t="s">
        <v>13</v>
      </c>
      <c r="N201" s="4" t="str">
        <f t="shared" si="14"/>
        <v>INSERT INTO attributes (parent_id, tag, name, priority, allow_as_filter, allow_for_dataset, allow_for_measurement, allow_for_users, allow_for_qc) VALUES (NULL, 'att_experiment',  'Experiment Type',  500,  TRUE, TRUE, TRUE, FALSE, FALSE);</v>
      </c>
      <c r="O201" s="4" t="str">
        <f t="shared" si="15"/>
        <v xml:space="preserve">INSERT INTO attribute_values (attribute_id, tag, name, details) VALUES ((SELECT id FROM attributes WHERE tag = 'att_experiment' LIMIT 1),  'att_experiment:ubiquitinome',  'Ubiquitinome',  'Ubiquitinome'); </v>
      </c>
    </row>
    <row r="202" spans="1:15">
      <c r="A202" s="8" t="b">
        <f>FALSE()</f>
        <v>0</v>
      </c>
      <c r="C202" s="4" t="s">
        <v>1078</v>
      </c>
      <c r="D202" s="4" t="s">
        <v>1080</v>
      </c>
      <c r="E202" s="4" t="s">
        <v>13</v>
      </c>
      <c r="F202" s="4" t="s">
        <v>2456</v>
      </c>
      <c r="G202" s="4" t="s">
        <v>2457</v>
      </c>
      <c r="H202" s="4" t="str">
        <f t="shared" si="12"/>
        <v>att_fluid</v>
      </c>
      <c r="I202" s="4" t="s">
        <v>1078</v>
      </c>
      <c r="J202" s="4" t="str">
        <f t="shared" si="13"/>
        <v>att_fluid:bal</v>
      </c>
      <c r="K202" s="7" t="s">
        <v>17</v>
      </c>
      <c r="L202" s="4" t="s">
        <v>1081</v>
      </c>
      <c r="M202" s="4" t="s">
        <v>13</v>
      </c>
      <c r="N202" s="4" t="str">
        <f t="shared" si="14"/>
        <v>INSERT INTO attributes (parent_id, tag, name, priority, allow_as_filter, allow_for_dataset, allow_for_measurement, allow_for_users, allow_for_qc) VALUES (NULL, 'att_fluid',  'Fluid',  500,  TRUE, TRUE, TRUE, FALSE, FALSE);</v>
      </c>
      <c r="O202" s="4" t="str">
        <f t="shared" si="15"/>
        <v xml:space="preserve">INSERT INTO attribute_values (attribute_id, tag, name, details) VALUES ((SELECT id FROM attributes WHERE tag = 'att_fluid' LIMIT 1),  'att_fluid:bal',  'Bal',  'Bronchoalveolar lavage (BAL)'); </v>
      </c>
    </row>
    <row r="203" spans="1:15">
      <c r="A203" s="8" t="b">
        <f>FALSE()</f>
        <v>0</v>
      </c>
      <c r="B203" s="8"/>
      <c r="C203" s="4" t="s">
        <v>1082</v>
      </c>
      <c r="D203" s="4" t="s">
        <v>1083</v>
      </c>
      <c r="E203" s="4" t="s">
        <v>13</v>
      </c>
      <c r="F203" s="4" t="s">
        <v>2456</v>
      </c>
      <c r="G203" s="4" t="s">
        <v>2457</v>
      </c>
      <c r="H203" s="4" t="str">
        <f t="shared" si="12"/>
        <v>att_fluid</v>
      </c>
      <c r="I203" s="4" t="s">
        <v>1082</v>
      </c>
      <c r="J203" s="4" t="str">
        <f t="shared" si="13"/>
        <v>att_fluid:cerebrospinal</v>
      </c>
      <c r="K203" s="7" t="s">
        <v>17</v>
      </c>
      <c r="L203" s="4" t="s">
        <v>1084</v>
      </c>
      <c r="M203" s="4" t="s">
        <v>13</v>
      </c>
      <c r="N203" s="4" t="str">
        <f t="shared" si="14"/>
        <v>INSERT INTO attributes (parent_id, tag, name, priority, allow_as_filter, allow_for_dataset, allow_for_measurement, allow_for_users, allow_for_qc) VALUES (NULL, 'att_fluid',  'Fluid',  500,  TRUE, TRUE, TRUE, FALSE, FALSE);</v>
      </c>
      <c r="O203" s="4" t="str">
        <f t="shared" si="15"/>
        <v xml:space="preserve">INSERT INTO attribute_values (attribute_id, tag, name, details) VALUES ((SELECT id FROM attributes WHERE tag = 'att_fluid' LIMIT 1),  'att_fluid:cerebrospinal',  'Cerebrospinal',  'Cerebrospinal fluid (CSF)'); </v>
      </c>
    </row>
    <row r="204" spans="1:15">
      <c r="A204" s="8" t="b">
        <f>FALSE()</f>
        <v>0</v>
      </c>
      <c r="B204" s="8"/>
      <c r="C204" s="4" t="s">
        <v>1085</v>
      </c>
      <c r="D204" s="4" t="s">
        <v>1086</v>
      </c>
      <c r="E204" s="4" t="s">
        <v>13</v>
      </c>
      <c r="F204" s="4" t="s">
        <v>2456</v>
      </c>
      <c r="G204" s="4" t="s">
        <v>2457</v>
      </c>
      <c r="H204" s="4" t="str">
        <f t="shared" si="12"/>
        <v>att_fluid</v>
      </c>
      <c r="I204" s="4" t="s">
        <v>1085</v>
      </c>
      <c r="J204" s="4" t="str">
        <f t="shared" si="13"/>
        <v>att_fluid:feces</v>
      </c>
      <c r="K204" s="7" t="s">
        <v>17</v>
      </c>
      <c r="L204" s="4" t="s">
        <v>1087</v>
      </c>
      <c r="M204" s="4" t="s">
        <v>13</v>
      </c>
      <c r="N204" s="4" t="str">
        <f t="shared" si="14"/>
        <v>INSERT INTO attributes (parent_id, tag, name, priority, allow_as_filter, allow_for_dataset, allow_for_measurement, allow_for_users, allow_for_qc) VALUES (NULL, 'att_fluid',  'Fluid',  500,  TRUE, TRUE, TRUE, FALSE, FALSE);</v>
      </c>
      <c r="O204" s="4" t="str">
        <f t="shared" si="15"/>
        <v xml:space="preserve">INSERT INTO attribute_values (attribute_id, tag, name, details) VALUES ((SELECT id FROM attributes WHERE tag = 'att_fluid' LIMIT 1),  'att_fluid:feces',  'Feces',  'Poop'); </v>
      </c>
    </row>
    <row r="205" spans="1:15">
      <c r="A205" s="8" t="b">
        <f>FALSE()</f>
        <v>0</v>
      </c>
      <c r="B205" s="8"/>
      <c r="C205" s="4" t="s">
        <v>1088</v>
      </c>
      <c r="D205" s="4" t="s">
        <v>1089</v>
      </c>
      <c r="E205" s="4" t="s">
        <v>13</v>
      </c>
      <c r="F205" s="4" t="s">
        <v>2456</v>
      </c>
      <c r="G205" s="4" t="s">
        <v>2457</v>
      </c>
      <c r="H205" s="4" t="str">
        <f t="shared" si="12"/>
        <v>att_fluid</v>
      </c>
      <c r="I205" s="4" t="s">
        <v>1088</v>
      </c>
      <c r="J205" s="4" t="str">
        <f t="shared" si="13"/>
        <v>att_fluid:interstitial</v>
      </c>
      <c r="K205" s="7" t="s">
        <v>17</v>
      </c>
      <c r="L205" s="4" t="s">
        <v>1090</v>
      </c>
      <c r="M205" s="4" t="s">
        <v>13</v>
      </c>
      <c r="N205" s="4" t="str">
        <f t="shared" si="14"/>
        <v>INSERT INTO attributes (parent_id, tag, name, priority, allow_as_filter, allow_for_dataset, allow_for_measurement, allow_for_users, allow_for_qc) VALUES (NULL, 'att_fluid',  'Fluid',  500,  TRUE, TRUE, TRUE, FALSE, FALSE);</v>
      </c>
      <c r="O205" s="4" t="str">
        <f t="shared" si="15"/>
        <v xml:space="preserve">INSERT INTO attribute_values (attribute_id, tag, name, details) VALUES ((SELECT id FROM attributes WHERE tag = 'att_fluid' LIMIT 1),  'att_fluid:interstitial',  'Interstitial',  'Interstitial fluid'); </v>
      </c>
    </row>
    <row r="206" spans="1:15">
      <c r="A206" s="8" t="b">
        <f>FALSE()</f>
        <v>0</v>
      </c>
      <c r="B206" s="8"/>
      <c r="C206" s="4" t="s">
        <v>1091</v>
      </c>
      <c r="D206" s="4" t="s">
        <v>1092</v>
      </c>
      <c r="E206" s="4" t="s">
        <v>13</v>
      </c>
      <c r="F206" s="4" t="s">
        <v>2456</v>
      </c>
      <c r="G206" s="4" t="s">
        <v>2457</v>
      </c>
      <c r="H206" s="4" t="str">
        <f t="shared" si="12"/>
        <v>att_fluid</v>
      </c>
      <c r="I206" s="4" t="s">
        <v>1091</v>
      </c>
      <c r="J206" s="4" t="str">
        <f t="shared" si="13"/>
        <v>att_fluid:lymph</v>
      </c>
      <c r="K206" s="7" t="s">
        <v>17</v>
      </c>
      <c r="L206" s="4" t="s">
        <v>1093</v>
      </c>
      <c r="M206" s="4" t="s">
        <v>13</v>
      </c>
      <c r="N206" s="4" t="str">
        <f t="shared" si="14"/>
        <v>INSERT INTO attributes (parent_id, tag, name, priority, allow_as_filter, allow_for_dataset, allow_for_measurement, allow_for_users, allow_for_qc) VALUES (NULL, 'att_fluid',  'Fluid',  500,  TRUE, TRUE, TRUE, FALSE, FALSE);</v>
      </c>
      <c r="O206" s="4" t="str">
        <f t="shared" si="15"/>
        <v xml:space="preserve">INSERT INTO attribute_values (attribute_id, tag, name, details) VALUES ((SELECT id FROM attributes WHERE tag = 'att_fluid' LIMIT 1),  'att_fluid:lymph',  'Lymph',  'Lymph; fluid that flows through the lymphatic system'); </v>
      </c>
    </row>
    <row r="207" spans="1:15">
      <c r="A207" s="8" t="b">
        <f>FALSE()</f>
        <v>0</v>
      </c>
      <c r="B207" s="8"/>
      <c r="C207" s="4" t="s">
        <v>1094</v>
      </c>
      <c r="D207" s="4" t="s">
        <v>1095</v>
      </c>
      <c r="E207" s="4" t="s">
        <v>13</v>
      </c>
      <c r="F207" s="4" t="s">
        <v>2456</v>
      </c>
      <c r="G207" s="4" t="s">
        <v>2457</v>
      </c>
      <c r="H207" s="4" t="str">
        <f t="shared" si="12"/>
        <v>att_fluid</v>
      </c>
      <c r="I207" s="4" t="s">
        <v>1094</v>
      </c>
      <c r="J207" s="4" t="str">
        <f t="shared" si="13"/>
        <v>att_fluid:peritoneal</v>
      </c>
      <c r="K207" s="7" t="s">
        <v>17</v>
      </c>
      <c r="L207" s="4" t="s">
        <v>1096</v>
      </c>
      <c r="M207" s="4" t="s">
        <v>13</v>
      </c>
      <c r="N207" s="4" t="str">
        <f t="shared" si="14"/>
        <v>INSERT INTO attributes (parent_id, tag, name, priority, allow_as_filter, allow_for_dataset, allow_for_measurement, allow_for_users, allow_for_qc) VALUES (NULL, 'att_fluid',  'Fluid',  500,  TRUE, TRUE, TRUE, FALSE, FALSE);</v>
      </c>
      <c r="O207" s="4" t="str">
        <f t="shared" si="15"/>
        <v xml:space="preserve">INSERT INTO attribute_values (attribute_id, tag, name, details) VALUES ((SELECT id FROM attributes WHERE tag = 'att_fluid' LIMIT 1),  'att_fluid:peritoneal',  'Peritoneal',  'Peritoneal fluid'); </v>
      </c>
    </row>
    <row r="208" spans="1:15">
      <c r="A208" s="8" t="b">
        <f>FALSE()</f>
        <v>0</v>
      </c>
      <c r="B208" s="8"/>
      <c r="C208" s="4" t="s">
        <v>1097</v>
      </c>
      <c r="D208" s="4" t="s">
        <v>1098</v>
      </c>
      <c r="E208" s="4" t="s">
        <v>13</v>
      </c>
      <c r="F208" s="4" t="s">
        <v>2456</v>
      </c>
      <c r="G208" s="4" t="s">
        <v>2457</v>
      </c>
      <c r="H208" s="4" t="str">
        <f t="shared" si="12"/>
        <v>att_fluid</v>
      </c>
      <c r="I208" s="4" t="s">
        <v>1097</v>
      </c>
      <c r="J208" s="4" t="str">
        <f t="shared" si="13"/>
        <v>att_fluid:plasma</v>
      </c>
      <c r="K208" s="7" t="s">
        <v>17</v>
      </c>
      <c r="L208" s="4" t="s">
        <v>1099</v>
      </c>
      <c r="M208" s="4" t="s">
        <v>13</v>
      </c>
      <c r="N208" s="4" t="str">
        <f t="shared" si="14"/>
        <v>INSERT INTO attributes (parent_id, tag, name, priority, allow_as_filter, allow_for_dataset, allow_for_measurement, allow_for_users, allow_for_qc) VALUES (NULL, 'att_fluid',  'Fluid',  500,  TRUE, TRUE, TRUE, FALSE, FALSE);</v>
      </c>
      <c r="O208" s="4" t="str">
        <f t="shared" si="15"/>
        <v xml:space="preserve">INSERT INTO attribute_values (attribute_id, tag, name, details) VALUES ((SELECT id FROM attributes WHERE tag = 'att_fluid' LIMIT 1),  'att_fluid:plasma',  'Plasma',  'Blood Plasma'); </v>
      </c>
    </row>
    <row r="209" spans="1:15">
      <c r="A209" s="8" t="b">
        <f>FALSE()</f>
        <v>0</v>
      </c>
      <c r="B209" s="8"/>
      <c r="C209" s="4" t="s">
        <v>1100</v>
      </c>
      <c r="D209" s="4" t="s">
        <v>1101</v>
      </c>
      <c r="E209" s="4" t="s">
        <v>13</v>
      </c>
      <c r="F209" s="4" t="s">
        <v>2456</v>
      </c>
      <c r="G209" s="4" t="s">
        <v>2457</v>
      </c>
      <c r="H209" s="4" t="str">
        <f t="shared" si="12"/>
        <v>att_fluid</v>
      </c>
      <c r="I209" s="4" t="s">
        <v>1100</v>
      </c>
      <c r="J209" s="4" t="str">
        <f t="shared" si="13"/>
        <v>att_fluid:pleural</v>
      </c>
      <c r="K209" s="7" t="s">
        <v>17</v>
      </c>
      <c r="L209" s="4" t="s">
        <v>1102</v>
      </c>
      <c r="M209" s="4" t="s">
        <v>13</v>
      </c>
      <c r="N209" s="4" t="str">
        <f t="shared" si="14"/>
        <v>INSERT INTO attributes (parent_id, tag, name, priority, allow_as_filter, allow_for_dataset, allow_for_measurement, allow_for_users, allow_for_qc) VALUES (NULL, 'att_fluid',  'Fluid',  500,  TRUE, TRUE, TRUE, FALSE, FALSE);</v>
      </c>
      <c r="O209" s="4" t="str">
        <f t="shared" si="15"/>
        <v xml:space="preserve">INSERT INTO attribute_values (attribute_id, tag, name, details) VALUES ((SELECT id FROM attributes WHERE tag = 'att_fluid' LIMIT 1),  'att_fluid:pleural',  'Pleural',  'Pleural fluid'); </v>
      </c>
    </row>
    <row r="210" spans="1:15">
      <c r="A210" s="8" t="b">
        <f>FALSE()</f>
        <v>0</v>
      </c>
      <c r="B210" s="8"/>
      <c r="C210" s="4" t="s">
        <v>1103</v>
      </c>
      <c r="D210" s="4" t="s">
        <v>1104</v>
      </c>
      <c r="E210" s="4" t="s">
        <v>13</v>
      </c>
      <c r="F210" s="4" t="s">
        <v>2456</v>
      </c>
      <c r="G210" s="4" t="s">
        <v>2457</v>
      </c>
      <c r="H210" s="4" t="str">
        <f t="shared" si="12"/>
        <v>att_fluid</v>
      </c>
      <c r="I210" s="4" t="s">
        <v>1103</v>
      </c>
      <c r="J210" s="4" t="str">
        <f t="shared" si="13"/>
        <v>att_fluid:saliva</v>
      </c>
      <c r="K210" s="7" t="s">
        <v>17</v>
      </c>
      <c r="L210" s="4" t="s">
        <v>1105</v>
      </c>
      <c r="M210" s="4" t="s">
        <v>13</v>
      </c>
      <c r="N210" s="4" t="str">
        <f t="shared" si="14"/>
        <v>INSERT INTO attributes (parent_id, tag, name, priority, allow_as_filter, allow_for_dataset, allow_for_measurement, allow_for_users, allow_for_qc) VALUES (NULL, 'att_fluid',  'Fluid',  500,  TRUE, TRUE, TRUE, FALSE, FALSE);</v>
      </c>
      <c r="O210" s="4" t="str">
        <f t="shared" si="15"/>
        <v xml:space="preserve">INSERT INTO attribute_values (attribute_id, tag, name, details) VALUES ((SELECT id FROM attributes WHERE tag = 'att_fluid' LIMIT 1),  'att_fluid:saliva',  'Saliva',  'Spit'); </v>
      </c>
    </row>
    <row r="211" spans="1:15">
      <c r="A211" s="8" t="b">
        <f>FALSE()</f>
        <v>0</v>
      </c>
      <c r="B211" s="8"/>
      <c r="C211" s="4" t="s">
        <v>1106</v>
      </c>
      <c r="D211" s="4" t="s">
        <v>1107</v>
      </c>
      <c r="E211" s="4" t="s">
        <v>13</v>
      </c>
      <c r="F211" s="4" t="s">
        <v>2456</v>
      </c>
      <c r="G211" s="4" t="s">
        <v>2457</v>
      </c>
      <c r="H211" s="4" t="str">
        <f t="shared" si="12"/>
        <v>att_fluid</v>
      </c>
      <c r="I211" s="4" t="s">
        <v>1106</v>
      </c>
      <c r="J211" s="4" t="str">
        <f t="shared" si="13"/>
        <v>att_fluid:seminal</v>
      </c>
      <c r="K211" s="7" t="s">
        <v>17</v>
      </c>
      <c r="L211" s="4" t="s">
        <v>1108</v>
      </c>
      <c r="M211" s="4" t="s">
        <v>13</v>
      </c>
      <c r="N211" s="4" t="str">
        <f t="shared" si="14"/>
        <v>INSERT INTO attributes (parent_id, tag, name, priority, allow_as_filter, allow_for_dataset, allow_for_measurement, allow_for_users, allow_for_qc) VALUES (NULL, 'att_fluid',  'Fluid',  500,  TRUE, TRUE, TRUE, FALSE, FALSE);</v>
      </c>
      <c r="O211" s="4" t="str">
        <f t="shared" si="15"/>
        <v xml:space="preserve">INSERT INTO attribute_values (attribute_id, tag, name, details) VALUES ((SELECT id FROM attributes WHERE tag = 'att_fluid' LIMIT 1),  'att_fluid:seminal',  'Seminal',  'Semen; Seminal fluid'); </v>
      </c>
    </row>
    <row r="212" spans="1:15">
      <c r="A212" s="8" t="b">
        <f>FALSE()</f>
        <v>0</v>
      </c>
      <c r="B212" s="8"/>
      <c r="C212" s="4" t="s">
        <v>1109</v>
      </c>
      <c r="D212" s="4" t="s">
        <v>1110</v>
      </c>
      <c r="E212" s="4" t="s">
        <v>13</v>
      </c>
      <c r="F212" s="4" t="s">
        <v>2456</v>
      </c>
      <c r="G212" s="4" t="s">
        <v>2457</v>
      </c>
      <c r="H212" s="4" t="str">
        <f t="shared" si="12"/>
        <v>att_fluid</v>
      </c>
      <c r="I212" s="4" t="s">
        <v>1109</v>
      </c>
      <c r="J212" s="4" t="str">
        <f t="shared" si="13"/>
        <v>att_fluid:serum</v>
      </c>
      <c r="K212" s="7" t="s">
        <v>17</v>
      </c>
      <c r="L212" s="4" t="s">
        <v>1111</v>
      </c>
      <c r="M212" s="4" t="s">
        <v>13</v>
      </c>
      <c r="N212" s="4" t="str">
        <f t="shared" si="14"/>
        <v>INSERT INTO attributes (parent_id, tag, name, priority, allow_as_filter, allow_for_dataset, allow_for_measurement, allow_for_users, allow_for_qc) VALUES (NULL, 'att_fluid',  'Fluid',  500,  TRUE, TRUE, TRUE, FALSE, FALSE);</v>
      </c>
      <c r="O212" s="4" t="str">
        <f t="shared" si="15"/>
        <v xml:space="preserve">INSERT INTO attribute_values (attribute_id, tag, name, details) VALUES ((SELECT id FROM attributes WHERE tag = 'att_fluid' LIMIT 1),  'att_fluid:serum',  'Serum',  'Blood Serum'); </v>
      </c>
    </row>
    <row r="213" spans="1:15">
      <c r="A213" s="8" t="b">
        <f>FALSE()</f>
        <v>0</v>
      </c>
      <c r="B213" s="8"/>
      <c r="C213" s="4" t="s">
        <v>1112</v>
      </c>
      <c r="D213" s="4" t="s">
        <v>1113</v>
      </c>
      <c r="E213" s="4" t="s">
        <v>13</v>
      </c>
      <c r="F213" s="4" t="s">
        <v>2456</v>
      </c>
      <c r="G213" s="4" t="s">
        <v>2457</v>
      </c>
      <c r="H213" s="4" t="str">
        <f t="shared" si="12"/>
        <v>att_fluid</v>
      </c>
      <c r="I213" s="4" t="s">
        <v>1112</v>
      </c>
      <c r="J213" s="4" t="str">
        <f t="shared" si="13"/>
        <v>att_fluid:urine</v>
      </c>
      <c r="K213" s="7" t="s">
        <v>17</v>
      </c>
      <c r="L213" s="4" t="s">
        <v>1114</v>
      </c>
      <c r="M213" s="4" t="s">
        <v>13</v>
      </c>
      <c r="N213" s="4" t="str">
        <f t="shared" si="14"/>
        <v>INSERT INTO attributes (parent_id, tag, name, priority, allow_as_filter, allow_for_dataset, allow_for_measurement, allow_for_users, allow_for_qc) VALUES (NULL, 'att_fluid',  'Fluid',  500,  TRUE, TRUE, TRUE, FALSE, FALSE);</v>
      </c>
      <c r="O213" s="4" t="str">
        <f t="shared" si="15"/>
        <v xml:space="preserve">INSERT INTO attribute_values (attribute_id, tag, name, details) VALUES ((SELECT id FROM attributes WHERE tag = 'att_fluid' LIMIT 1),  'att_fluid:urine',  'Urine',  'Pee'); </v>
      </c>
    </row>
    <row r="214" spans="1:15">
      <c r="A214" s="8" t="b">
        <f>FALSE()</f>
        <v>0</v>
      </c>
      <c r="B214" s="8"/>
      <c r="C214" s="4" t="s">
        <v>1115</v>
      </c>
      <c r="D214" s="4" t="s">
        <v>1115</v>
      </c>
      <c r="E214" s="4" t="s">
        <v>13</v>
      </c>
      <c r="F214" s="4" t="s">
        <v>158</v>
      </c>
      <c r="G214" s="4" t="s">
        <v>2458</v>
      </c>
      <c r="H214" s="4" t="str">
        <f t="shared" si="12"/>
        <v>att_fraction</v>
      </c>
      <c r="I214" s="4" t="s">
        <v>1115</v>
      </c>
      <c r="J214" s="4" t="str">
        <f t="shared" si="13"/>
        <v>att_fraction:01k</v>
      </c>
      <c r="K214" s="7" t="s">
        <v>17</v>
      </c>
      <c r="L214" s="4" t="s">
        <v>2459</v>
      </c>
      <c r="M214" s="4" t="s">
        <v>1074</v>
      </c>
      <c r="N214" s="4" t="str">
        <f t="shared" si="14"/>
        <v>INSERT INTO attributes (parent_id, tag, name, priority, allow_as_filter, allow_for_dataset, allow_for_measurement, allow_for_users, allow_for_qc) VALUES (NULL, 'att_fraction',  'Spatial Fraction',  500,  TRUE, TRUE, TRUE, FALSE, FALSE);</v>
      </c>
      <c r="O214" s="4" t="str">
        <f t="shared" si="15"/>
        <v xml:space="preserve">INSERT INTO attribute_values (attribute_id, tag, name, details) VALUES ((SELECT id FROM attributes WHERE tag = 'att_fraction' LIMIT 1),  'att_fraction:01k',  '01k',  '01k Spatial Fraction'); </v>
      </c>
    </row>
    <row r="215" spans="1:15">
      <c r="A215" s="8" t="b">
        <f>FALSE()</f>
        <v>0</v>
      </c>
      <c r="B215" s="8"/>
      <c r="C215" s="4" t="s">
        <v>1118</v>
      </c>
      <c r="D215" s="4" t="s">
        <v>1118</v>
      </c>
      <c r="E215" s="4" t="s">
        <v>13</v>
      </c>
      <c r="F215" s="4" t="s">
        <v>158</v>
      </c>
      <c r="G215" s="4" t="s">
        <v>2458</v>
      </c>
      <c r="H215" s="4" t="str">
        <f t="shared" si="12"/>
        <v>att_fraction</v>
      </c>
      <c r="I215" s="4" t="s">
        <v>1118</v>
      </c>
      <c r="J215" s="4" t="str">
        <f t="shared" si="13"/>
        <v>att_fraction:05k</v>
      </c>
      <c r="K215" s="7" t="s">
        <v>17</v>
      </c>
      <c r="L215" s="4" t="s">
        <v>2460</v>
      </c>
      <c r="M215" s="4" t="s">
        <v>1074</v>
      </c>
      <c r="N215" s="4" t="str">
        <f t="shared" si="14"/>
        <v>INSERT INTO attributes (parent_id, tag, name, priority, allow_as_filter, allow_for_dataset, allow_for_measurement, allow_for_users, allow_for_qc) VALUES (NULL, 'att_fraction',  'Spatial Fraction',  500,  TRUE, TRUE, TRUE, FALSE, FALSE);</v>
      </c>
      <c r="O215" s="4" t="str">
        <f t="shared" si="15"/>
        <v xml:space="preserve">INSERT INTO attribute_values (attribute_id, tag, name, details) VALUES ((SELECT id FROM attributes WHERE tag = 'att_fraction' LIMIT 1),  'att_fraction:05k',  '05k',  '05k Spatial Fraction'); </v>
      </c>
    </row>
    <row r="216" spans="1:15">
      <c r="A216" s="8" t="b">
        <f>FALSE()</f>
        <v>0</v>
      </c>
      <c r="B216" s="8"/>
      <c r="C216" s="4" t="s">
        <v>1120</v>
      </c>
      <c r="D216" s="4" t="s">
        <v>1120</v>
      </c>
      <c r="E216" s="4" t="s">
        <v>13</v>
      </c>
      <c r="F216" s="4" t="s">
        <v>158</v>
      </c>
      <c r="G216" s="4" t="s">
        <v>2458</v>
      </c>
      <c r="H216" s="4" t="str">
        <f t="shared" si="12"/>
        <v>att_fraction</v>
      </c>
      <c r="I216" s="4" t="s">
        <v>1120</v>
      </c>
      <c r="J216" s="4" t="str">
        <f t="shared" si="13"/>
        <v>att_fraction:12k</v>
      </c>
      <c r="K216" s="7" t="s">
        <v>17</v>
      </c>
      <c r="L216" s="4" t="s">
        <v>2461</v>
      </c>
      <c r="M216" s="4" t="s">
        <v>1074</v>
      </c>
      <c r="N216" s="4" t="str">
        <f t="shared" si="14"/>
        <v>INSERT INTO attributes (parent_id, tag, name, priority, allow_as_filter, allow_for_dataset, allow_for_measurement, allow_for_users, allow_for_qc) VALUES (NULL, 'att_fraction',  'Spatial Fraction',  500,  TRUE, TRUE, TRUE, FALSE, FALSE);</v>
      </c>
      <c r="O216" s="4" t="str">
        <f t="shared" si="15"/>
        <v xml:space="preserve">INSERT INTO attribute_values (attribute_id, tag, name, details) VALUES ((SELECT id FROM attributes WHERE tag = 'att_fraction' LIMIT 1),  'att_fraction:12k',  '12k',  '12k Spatial Fraction'); </v>
      </c>
    </row>
    <row r="217" spans="1:15">
      <c r="A217" s="8" t="b">
        <f>FALSE()</f>
        <v>0</v>
      </c>
      <c r="B217" s="8"/>
      <c r="C217" s="4" t="s">
        <v>1122</v>
      </c>
      <c r="D217" s="4" t="s">
        <v>1122</v>
      </c>
      <c r="E217" s="4" t="s">
        <v>13</v>
      </c>
      <c r="F217" s="4" t="s">
        <v>158</v>
      </c>
      <c r="G217" s="4" t="s">
        <v>2458</v>
      </c>
      <c r="H217" s="4" t="str">
        <f t="shared" si="12"/>
        <v>att_fraction</v>
      </c>
      <c r="I217" s="4" t="s">
        <v>1122</v>
      </c>
      <c r="J217" s="4" t="str">
        <f t="shared" si="13"/>
        <v>att_fraction:24k</v>
      </c>
      <c r="K217" s="7" t="s">
        <v>17</v>
      </c>
      <c r="L217" s="4" t="s">
        <v>2462</v>
      </c>
      <c r="M217" s="4" t="s">
        <v>1074</v>
      </c>
      <c r="N217" s="4" t="str">
        <f t="shared" si="14"/>
        <v>INSERT INTO attributes (parent_id, tag, name, priority, allow_as_filter, allow_for_dataset, allow_for_measurement, allow_for_users, allow_for_qc) VALUES (NULL, 'att_fraction',  'Spatial Fraction',  500,  TRUE, TRUE, TRUE, FALSE, FALSE);</v>
      </c>
      <c r="O217" s="4" t="str">
        <f t="shared" si="15"/>
        <v xml:space="preserve">INSERT INTO attribute_values (attribute_id, tag, name, details) VALUES ((SELECT id FROM attributes WHERE tag = 'att_fraction' LIMIT 1),  'att_fraction:24k',  '24k',  '24k Spatial Fraction'); </v>
      </c>
    </row>
    <row r="218" spans="1:15">
      <c r="A218" s="8" t="b">
        <f>FALSE()</f>
        <v>0</v>
      </c>
      <c r="B218" s="8"/>
      <c r="C218" s="4" t="s">
        <v>1124</v>
      </c>
      <c r="D218" s="4" t="s">
        <v>1124</v>
      </c>
      <c r="E218" s="4" t="s">
        <v>13</v>
      </c>
      <c r="F218" s="4" t="s">
        <v>158</v>
      </c>
      <c r="G218" s="4" t="s">
        <v>2458</v>
      </c>
      <c r="H218" s="4" t="str">
        <f t="shared" si="12"/>
        <v>att_fraction</v>
      </c>
      <c r="I218" s="4" t="s">
        <v>1124</v>
      </c>
      <c r="J218" s="4" t="str">
        <f t="shared" si="13"/>
        <v>att_fraction:79k</v>
      </c>
      <c r="K218" s="7" t="s">
        <v>17</v>
      </c>
      <c r="L218" s="4" t="s">
        <v>2463</v>
      </c>
      <c r="M218" s="4" t="s">
        <v>1074</v>
      </c>
      <c r="N218" s="4" t="str">
        <f t="shared" si="14"/>
        <v>INSERT INTO attributes (parent_id, tag, name, priority, allow_as_filter, allow_for_dataset, allow_for_measurement, allow_for_users, allow_for_qc) VALUES (NULL, 'att_fraction',  'Spatial Fraction',  500,  TRUE, TRUE, TRUE, FALSE, FALSE);</v>
      </c>
      <c r="O218" s="4" t="str">
        <f t="shared" si="15"/>
        <v xml:space="preserve">INSERT INTO attribute_values (attribute_id, tag, name, details) VALUES ((SELECT id FROM attributes WHERE tag = 'att_fraction' LIMIT 1),  'att_fraction:79k',  '79k',  '79k Spatial Fraction'); </v>
      </c>
    </row>
    <row r="219" spans="1:15">
      <c r="A219" s="8" t="b">
        <f>FALSE()</f>
        <v>0</v>
      </c>
      <c r="B219" s="8"/>
      <c r="C219" s="4" t="s">
        <v>1130</v>
      </c>
      <c r="D219" s="4" t="s">
        <v>1131</v>
      </c>
      <c r="E219" s="4" t="s">
        <v>13</v>
      </c>
      <c r="F219" s="4" t="s">
        <v>158</v>
      </c>
      <c r="G219" s="4" t="s">
        <v>2458</v>
      </c>
      <c r="H219" s="4" t="str">
        <f t="shared" si="12"/>
        <v>att_fraction</v>
      </c>
      <c r="I219" s="4" t="s">
        <v>1130</v>
      </c>
      <c r="J219" s="4" t="str">
        <f t="shared" si="13"/>
        <v>att_fraction:cytosolic</v>
      </c>
      <c r="K219" s="7" t="s">
        <v>17</v>
      </c>
      <c r="L219" s="4" t="s">
        <v>1132</v>
      </c>
      <c r="M219" s="4" t="s">
        <v>1074</v>
      </c>
      <c r="N219" s="4" t="str">
        <f t="shared" si="14"/>
        <v>INSERT INTO attributes (parent_id, tag, name, priority, allow_as_filter, allow_for_dataset, allow_for_measurement, allow_for_users, allow_for_qc) VALUES (NULL, 'att_fraction',  'Spatial Fraction',  500,  TRUE, TRUE, TRUE, FALSE, FALSE);</v>
      </c>
      <c r="O219" s="4" t="str">
        <f t="shared" si="15"/>
        <v xml:space="preserve">INSERT INTO attribute_values (attribute_id, tag, name, details) VALUES ((SELECT id FROM attributes WHERE tag = 'att_fraction' LIMIT 1),  'att_fraction:cytosolic',  'Cytosolic',  'Cytosolic Spatial Fraction'); </v>
      </c>
    </row>
    <row r="220" spans="1:15">
      <c r="A220" s="8" t="b">
        <f>FALSE()</f>
        <v>0</v>
      </c>
      <c r="B220" s="8"/>
      <c r="C220" s="4" t="s">
        <v>1133</v>
      </c>
      <c r="D220" s="4" t="s">
        <v>1134</v>
      </c>
      <c r="E220" s="4" t="s">
        <v>13</v>
      </c>
      <c r="F220" s="4" t="s">
        <v>158</v>
      </c>
      <c r="G220" s="4" t="s">
        <v>2458</v>
      </c>
      <c r="H220" s="4" t="str">
        <f t="shared" si="12"/>
        <v>att_fraction</v>
      </c>
      <c r="I220" s="4" t="s">
        <v>1133</v>
      </c>
      <c r="J220" s="4" t="str">
        <f t="shared" si="13"/>
        <v>att_fraction:total</v>
      </c>
      <c r="K220" s="7" t="s">
        <v>17</v>
      </c>
      <c r="L220" s="4" t="s">
        <v>1135</v>
      </c>
      <c r="M220" s="4" t="s">
        <v>1074</v>
      </c>
      <c r="N220" s="4" t="str">
        <f t="shared" si="14"/>
        <v>INSERT INTO attributes (parent_id, tag, name, priority, allow_as_filter, allow_for_dataset, allow_for_measurement, allow_for_users, allow_for_qc) VALUES (NULL, 'att_fraction',  'Spatial Fraction',  500,  TRUE, TRUE, TRUE, FALSE, FALSE);</v>
      </c>
      <c r="O220" s="4" t="str">
        <f t="shared" si="15"/>
        <v xml:space="preserve">INSERT INTO attribute_values (attribute_id, tag, name, details) VALUES ((SELECT id FROM attributes WHERE tag = 'att_fraction' LIMIT 1),  'att_fraction:total',  'Total',  'Total Spatial Fraction'); </v>
      </c>
    </row>
    <row r="221" spans="1:15">
      <c r="A221" s="8" t="b">
        <f>FALSE()</f>
        <v>0</v>
      </c>
      <c r="B221" s="8"/>
      <c r="C221" s="4" t="s">
        <v>2464</v>
      </c>
      <c r="D221" s="4" t="s">
        <v>1128</v>
      </c>
      <c r="E221" s="4" t="s">
        <v>13</v>
      </c>
      <c r="F221" s="4" t="s">
        <v>158</v>
      </c>
      <c r="G221" s="4" t="s">
        <v>2458</v>
      </c>
      <c r="H221" s="4" t="str">
        <f t="shared" si="12"/>
        <v>att_fraction</v>
      </c>
      <c r="I221" s="4" t="s">
        <v>1126</v>
      </c>
      <c r="J221" s="4" t="str">
        <f t="shared" si="13"/>
        <v>att_fraction:crude_mito</v>
      </c>
      <c r="K221" s="7" t="s">
        <v>17</v>
      </c>
      <c r="L221" s="4" t="s">
        <v>1129</v>
      </c>
      <c r="M221" s="4" t="s">
        <v>1074</v>
      </c>
      <c r="N221" s="4" t="str">
        <f t="shared" si="14"/>
        <v>INSERT INTO attributes (parent_id, tag, name, priority, allow_as_filter, allow_for_dataset, allow_for_measurement, allow_for_users, allow_for_qc) VALUES (NULL, 'att_fraction',  'Spatial Fraction',  500,  TRUE, TRUE, TRUE, FALSE, FALSE);</v>
      </c>
      <c r="O221" s="4" t="str">
        <f t="shared" si="15"/>
        <v xml:space="preserve">INSERT INTO attribute_values (attribute_id, tag, name, details) VALUES ((SELECT id FROM attributes WHERE tag = 'att_fraction' LIMIT 1),  'att_fraction:crude_mito',  'Crude Mito',  'Crude mitochondrial fraction'); </v>
      </c>
    </row>
    <row r="222" spans="1:15">
      <c r="A222" s="8"/>
      <c r="B222" s="8"/>
      <c r="K222" s="7"/>
    </row>
    <row r="223" spans="1:15">
      <c r="A223" s="8"/>
      <c r="B223" s="8"/>
      <c r="C223" s="4" t="s">
        <v>2465</v>
      </c>
      <c r="D223" s="4" t="s">
        <v>1976</v>
      </c>
      <c r="F223" s="4" t="s">
        <v>135</v>
      </c>
      <c r="G223" s="4" t="s">
        <v>2466</v>
      </c>
      <c r="H223" s="4" t="str">
        <f>"att_"&amp;G223</f>
        <v>att_offline_fractionation</v>
      </c>
      <c r="I223" s="4" t="s">
        <v>1975</v>
      </c>
      <c r="J223" s="4" t="str">
        <f>H223&amp;":"&amp;I223</f>
        <v>att_offline_fractionation:sdspage</v>
      </c>
      <c r="K223" s="7"/>
      <c r="L223" s="4" t="s">
        <v>1977</v>
      </c>
    </row>
    <row r="224" spans="1:15">
      <c r="A224" s="8"/>
      <c r="B224" s="8"/>
      <c r="C224" s="4" t="s">
        <v>2465</v>
      </c>
      <c r="D224" s="4" t="s">
        <v>1964</v>
      </c>
      <c r="F224" s="4" t="s">
        <v>135</v>
      </c>
      <c r="G224" s="4" t="s">
        <v>2466</v>
      </c>
      <c r="H224" s="4" t="str">
        <f>"att_"&amp;G224</f>
        <v>att_offline_fractionation</v>
      </c>
      <c r="I224" s="4" t="s">
        <v>1963</v>
      </c>
      <c r="J224" s="4" t="str">
        <f>H224&amp;":"&amp;I224</f>
        <v>att_offline_fractionation:highph_hplc</v>
      </c>
      <c r="K224" s="7"/>
      <c r="L224" s="4" t="s">
        <v>1965</v>
      </c>
    </row>
    <row r="225" spans="1:15">
      <c r="A225" s="8"/>
      <c r="B225" s="8"/>
      <c r="C225" s="4" t="s">
        <v>2465</v>
      </c>
      <c r="D225" s="4" t="s">
        <v>1967</v>
      </c>
      <c r="F225" s="4" t="s">
        <v>135</v>
      </c>
      <c r="G225" s="4" t="s">
        <v>2466</v>
      </c>
      <c r="H225" s="4" t="str">
        <f>"att_"&amp;G225</f>
        <v>att_offline_fractionation</v>
      </c>
      <c r="I225" s="4" t="s">
        <v>1966</v>
      </c>
      <c r="J225" s="4" t="str">
        <f>H225&amp;":"&amp;I225</f>
        <v>att_offline_fractionation:highph_tip</v>
      </c>
      <c r="K225" s="7"/>
      <c r="L225" s="4" t="s">
        <v>1968</v>
      </c>
    </row>
    <row r="226" spans="1:15">
      <c r="A226" s="8"/>
      <c r="B226" s="8"/>
      <c r="C226" s="4" t="s">
        <v>2465</v>
      </c>
      <c r="D226" s="4" t="s">
        <v>1973</v>
      </c>
      <c r="F226" s="4" t="s">
        <v>135</v>
      </c>
      <c r="G226" s="4" t="s">
        <v>2466</v>
      </c>
      <c r="H226" s="4" t="str">
        <f>"att_"&amp;G226</f>
        <v>att_offline_fractionation</v>
      </c>
      <c r="I226" s="4" t="s">
        <v>1972</v>
      </c>
      <c r="J226" s="4" t="str">
        <f>H226&amp;":"&amp;I226</f>
        <v>att_offline_fractionation:scx</v>
      </c>
      <c r="K226" s="7"/>
      <c r="L226" s="4" t="s">
        <v>1974</v>
      </c>
    </row>
    <row r="227" spans="1:15">
      <c r="A227" s="8"/>
      <c r="B227" s="8"/>
      <c r="C227" s="4" t="s">
        <v>2465</v>
      </c>
      <c r="D227" s="4" t="s">
        <v>1970</v>
      </c>
      <c r="F227" s="4" t="s">
        <v>135</v>
      </c>
      <c r="G227" s="4" t="s">
        <v>2466</v>
      </c>
      <c r="H227" s="4" t="str">
        <f>"att_"&amp;G227</f>
        <v>att_offline_fractionation</v>
      </c>
      <c r="I227" s="4" t="s">
        <v>1969</v>
      </c>
      <c r="J227" s="4" t="str">
        <f>H227&amp;":"&amp;I227</f>
        <v>att_offline_fractionation:sax</v>
      </c>
      <c r="K227" s="7"/>
      <c r="L227" s="4" t="s">
        <v>1971</v>
      </c>
    </row>
    <row r="228" spans="1:15">
      <c r="A228" s="8"/>
      <c r="B228" s="8"/>
      <c r="K228" s="7"/>
    </row>
    <row r="229" spans="1:15">
      <c r="A229" s="8"/>
      <c r="B229" s="8"/>
      <c r="K229" s="7"/>
    </row>
    <row r="230" spans="1:15">
      <c r="A230" s="8" t="b">
        <f>TRUE()</f>
        <v>1</v>
      </c>
      <c r="C230" s="4" t="s">
        <v>1753</v>
      </c>
      <c r="D230" s="4" t="s">
        <v>1754</v>
      </c>
      <c r="E230" s="4" t="s">
        <v>13</v>
      </c>
      <c r="F230" s="4" t="s">
        <v>2467</v>
      </c>
      <c r="G230" s="4" t="s">
        <v>2468</v>
      </c>
      <c r="H230" s="4" t="str">
        <f t="shared" ref="H230:H248" si="16">"att_"&amp;G230</f>
        <v>att_instrument</v>
      </c>
      <c r="I230" s="4" t="s">
        <v>1753</v>
      </c>
      <c r="J230" s="4" t="str">
        <f t="shared" ref="J230:J248" si="17">H230&amp;":"&amp;I230</f>
        <v>att_instrument:e1</v>
      </c>
      <c r="K230" s="7" t="s">
        <v>17</v>
      </c>
      <c r="L230" s="4" t="s">
        <v>1755</v>
      </c>
      <c r="M230" s="4" t="s">
        <v>13</v>
      </c>
      <c r="N230" s="4"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4"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c r="A231" s="8" t="b">
        <f>TRUE()</f>
        <v>1</v>
      </c>
      <c r="C231" s="4" t="s">
        <v>1756</v>
      </c>
      <c r="D231" s="4" t="s">
        <v>1757</v>
      </c>
      <c r="E231" s="4" t="s">
        <v>13</v>
      </c>
      <c r="F231" s="4" t="s">
        <v>2467</v>
      </c>
      <c r="G231" s="4" t="s">
        <v>2468</v>
      </c>
      <c r="H231" s="4" t="str">
        <f t="shared" si="16"/>
        <v>att_instrument</v>
      </c>
      <c r="I231" s="4" t="s">
        <v>1756</v>
      </c>
      <c r="J231" s="4" t="str">
        <f t="shared" si="17"/>
        <v>att_instrument:e2</v>
      </c>
      <c r="K231" s="7" t="s">
        <v>17</v>
      </c>
      <c r="L231" s="4" t="s">
        <v>1758</v>
      </c>
      <c r="M231" s="4" t="s">
        <v>13</v>
      </c>
      <c r="N231" s="4" t="str">
        <f t="shared" si="18"/>
        <v>INSERT INTO attributes (parent_id, tag, name, priority, allow_as_filter, allow_for_dataset, allow_for_measurement, allow_for_users, allow_for_qc) VALUES (NULL, 'att_instrument',  'MS Instrument',  500,  TRUE, TRUE, TRUE, FALSE, FALSE);</v>
      </c>
      <c r="O231" s="4" t="str">
        <f t="shared" si="19"/>
        <v xml:space="preserve">INSERT INTO attribute_values (attribute_id, tag, name, details) VALUES ((SELECT id FROM attributes WHERE tag = 'att_instrument' LIMIT 1),  'att_instrument:e2',  'Boris (E2)',  'Boris'); </v>
      </c>
    </row>
    <row r="232" spans="1:15">
      <c r="A232" s="8" t="b">
        <f>TRUE()</f>
        <v>1</v>
      </c>
      <c r="C232" s="4" t="s">
        <v>1761</v>
      </c>
      <c r="D232" s="4" t="s">
        <v>1762</v>
      </c>
      <c r="E232" s="4" t="s">
        <v>13</v>
      </c>
      <c r="F232" s="4" t="s">
        <v>2467</v>
      </c>
      <c r="G232" s="4" t="s">
        <v>2468</v>
      </c>
      <c r="H232" s="4" t="str">
        <f t="shared" si="16"/>
        <v>att_instrument</v>
      </c>
      <c r="I232" s="4" t="s">
        <v>1761</v>
      </c>
      <c r="J232" s="4" t="str">
        <f t="shared" si="17"/>
        <v>att_instrument:ignarius</v>
      </c>
      <c r="K232" s="7" t="s">
        <v>17</v>
      </c>
      <c r="L232" s="4" t="s">
        <v>1763</v>
      </c>
      <c r="M232" s="4" t="s">
        <v>13</v>
      </c>
      <c r="N232" s="4" t="str">
        <f t="shared" si="18"/>
        <v>INSERT INTO attributes (parent_id, tag, name, priority, allow_as_filter, allow_for_dataset, allow_for_measurement, allow_for_users, allow_for_qc) VALUES (NULL, 'att_instrument',  'MS Instrument',  500,  TRUE, TRUE, TRUE, FALSE, FALSE);</v>
      </c>
      <c r="O232" s="4" t="str">
        <f t="shared" si="19"/>
        <v xml:space="preserve">INSERT INTO attribute_values (attribute_id, tag, name, details) VALUES ((SELECT id FROM attributes WHERE tag = 'att_instrument' LIMIT 1),  'att_instrument:ignarius',  'not known (yet)',  'unkown instrument / not known yet'); </v>
      </c>
    </row>
    <row r="233" spans="1:15">
      <c r="A233" s="8" t="b">
        <f>TRUE()</f>
        <v>1</v>
      </c>
      <c r="C233" s="4" t="s">
        <v>2469</v>
      </c>
      <c r="D233" s="4" t="s">
        <v>1765</v>
      </c>
      <c r="E233" s="4" t="s">
        <v>13</v>
      </c>
      <c r="F233" s="4" t="s">
        <v>2467</v>
      </c>
      <c r="G233" s="4" t="s">
        <v>2468</v>
      </c>
      <c r="H233" s="4" t="str">
        <f t="shared" si="16"/>
        <v>att_instrument</v>
      </c>
      <c r="I233" s="4" t="s">
        <v>2470</v>
      </c>
      <c r="J233" s="4" t="str">
        <f t="shared" si="17"/>
        <v>att_instrument:t</v>
      </c>
      <c r="K233" s="7" t="s">
        <v>17</v>
      </c>
      <c r="L233" s="4" t="s">
        <v>1766</v>
      </c>
      <c r="M233" s="4" t="s">
        <v>13</v>
      </c>
      <c r="N233" s="4" t="str">
        <f t="shared" si="18"/>
        <v>INSERT INTO attributes (parent_id, tag, name, priority, allow_as_filter, allow_for_dataset, allow_for_measurement, allow_for_users, allow_for_qc) VALUES (NULL, 'att_instrument',  'MS Instrument',  500,  TRUE, TRUE, TRUE, FALSE, FALSE);</v>
      </c>
      <c r="O233" s="4" t="str">
        <f t="shared" si="19"/>
        <v xml:space="preserve">INSERT INTO attribute_values (attribute_id, tag, name, details) VALUES ((SELECT id FROM attributes WHERE tag = 'att_instrument' LIMIT 1),  'att_instrument:t',  'TimsTOF (KrisTof)',  'TimsTOF'); </v>
      </c>
    </row>
    <row r="234" spans="1:15" s="10" customFormat="1">
      <c r="A234" s="9" t="b">
        <f>FALSE()</f>
        <v>0</v>
      </c>
      <c r="B234" s="9"/>
      <c r="C234" s="10" t="s">
        <v>2471</v>
      </c>
      <c r="D234" s="10" t="s">
        <v>2472</v>
      </c>
      <c r="E234" s="10" t="s">
        <v>13</v>
      </c>
      <c r="F234" s="10" t="s">
        <v>2473</v>
      </c>
      <c r="G234" s="10" t="s">
        <v>2474</v>
      </c>
      <c r="H234" s="10" t="str">
        <f t="shared" si="16"/>
        <v>att_knockout</v>
      </c>
      <c r="I234" s="10" t="s">
        <v>2471</v>
      </c>
      <c r="J234" s="10" t="str">
        <f t="shared" si="17"/>
        <v>att_knockout:casp1_dko</v>
      </c>
      <c r="K234" s="11" t="s">
        <v>17</v>
      </c>
      <c r="L234" s="10" t="s">
        <v>2475</v>
      </c>
      <c r="M234" s="10" t="s">
        <v>13</v>
      </c>
      <c r="N234" s="10" t="str">
        <f t="shared" si="18"/>
        <v>INSERT INTO attributes (parent_id, tag, name, priority, allow_as_filter, allow_for_dataset, allow_for_measurement, allow_for_users, allow_for_qc) VALUES (NULL, 'att_knockout',  'Gene Knockout',  500,  TRUE, TRUE, TRUE, FALSE, FALSE);</v>
      </c>
      <c r="O234" s="10" t="str">
        <f t="shared" si="19"/>
        <v xml:space="preserve">INSERT INTO attribute_values (attribute_id, tag, name, details) VALUES ((SELECT id FROM attributes WHERE tag = 'att_knockout' LIMIT 1),  'att_knockout:casp1_dko',  'Casp1 dKO',  'Casp1 −/−'); </v>
      </c>
    </row>
    <row r="235" spans="1:15" s="10" customFormat="1">
      <c r="A235" s="9" t="b">
        <f>FALSE()</f>
        <v>0</v>
      </c>
      <c r="B235" s="9"/>
      <c r="C235" s="10" t="s">
        <v>2476</v>
      </c>
      <c r="D235" s="10" t="s">
        <v>2477</v>
      </c>
      <c r="E235" s="10" t="s">
        <v>13</v>
      </c>
      <c r="F235" s="10" t="s">
        <v>2473</v>
      </c>
      <c r="G235" s="10" t="s">
        <v>2474</v>
      </c>
      <c r="H235" s="10" t="str">
        <f t="shared" si="16"/>
        <v>att_knockout</v>
      </c>
      <c r="I235" s="10" t="s">
        <v>2476</v>
      </c>
      <c r="J235" s="10" t="str">
        <f t="shared" si="17"/>
        <v>att_knockout:casp11_dko</v>
      </c>
      <c r="K235" s="11" t="s">
        <v>17</v>
      </c>
      <c r="L235" s="10" t="s">
        <v>2478</v>
      </c>
      <c r="M235" s="10" t="s">
        <v>13</v>
      </c>
      <c r="N235" s="10" t="str">
        <f t="shared" si="18"/>
        <v>INSERT INTO attributes (parent_id, tag, name, priority, allow_as_filter, allow_for_dataset, allow_for_measurement, allow_for_users, allow_for_qc) VALUES (NULL, 'att_knockout',  'Gene Knockout',  500,  TRUE, TRUE, TRUE, FALSE, FALSE);</v>
      </c>
      <c r="O235" s="10" t="str">
        <f t="shared" si="19"/>
        <v xml:space="preserve">INSERT INTO attribute_values (attribute_id, tag, name, details) VALUES ((SELECT id FROM attributes WHERE tag = 'att_knockout' LIMIT 1),  'att_knockout:casp11_dko',  'Casp11 dKO',  'Casp11 −/−'); </v>
      </c>
    </row>
    <row r="236" spans="1:15" s="10" customFormat="1">
      <c r="A236" s="9" t="b">
        <f>FALSE()</f>
        <v>0</v>
      </c>
      <c r="B236" s="9"/>
      <c r="C236" s="10" t="s">
        <v>2479</v>
      </c>
      <c r="D236" s="10" t="s">
        <v>2480</v>
      </c>
      <c r="E236" s="10" t="s">
        <v>13</v>
      </c>
      <c r="F236" s="10" t="s">
        <v>2473</v>
      </c>
      <c r="G236" s="10" t="s">
        <v>2474</v>
      </c>
      <c r="H236" s="10" t="str">
        <f t="shared" si="16"/>
        <v>att_knockout</v>
      </c>
      <c r="I236" s="10" t="s">
        <v>2479</v>
      </c>
      <c r="J236" s="10" t="str">
        <f t="shared" si="17"/>
        <v>att_knockout:gsdmd_dko</v>
      </c>
      <c r="K236" s="11" t="s">
        <v>17</v>
      </c>
      <c r="L236" s="10" t="s">
        <v>2481</v>
      </c>
      <c r="M236" s="10" t="s">
        <v>13</v>
      </c>
      <c r="N236" s="10" t="str">
        <f t="shared" si="18"/>
        <v>INSERT INTO attributes (parent_id, tag, name, priority, allow_as_filter, allow_for_dataset, allow_for_measurement, allow_for_users, allow_for_qc) VALUES (NULL, 'att_knockout',  'Gene Knockout',  500,  TRUE, TRUE, TRUE, FALSE, FALSE);</v>
      </c>
      <c r="O236" s="10" t="str">
        <f t="shared" si="19"/>
        <v xml:space="preserve">INSERT INTO attribute_values (attribute_id, tag, name, details) VALUES ((SELECT id FROM attributes WHERE tag = 'att_knockout' LIMIT 1),  'att_knockout:gsdmd_dko',  'Gsdmd dKO',  'Gsdmd −/−'); </v>
      </c>
    </row>
    <row r="237" spans="1:15" s="10" customFormat="1">
      <c r="A237" s="9" t="b">
        <f>FALSE()</f>
        <v>0</v>
      </c>
      <c r="B237" s="9"/>
      <c r="C237" s="10" t="s">
        <v>2482</v>
      </c>
      <c r="D237" s="10" t="s">
        <v>2483</v>
      </c>
      <c r="E237" s="10" t="s">
        <v>13</v>
      </c>
      <c r="F237" s="10" t="s">
        <v>2473</v>
      </c>
      <c r="G237" s="10" t="s">
        <v>2474</v>
      </c>
      <c r="H237" s="10" t="str">
        <f t="shared" si="16"/>
        <v>att_knockout</v>
      </c>
      <c r="I237" s="10" t="s">
        <v>2484</v>
      </c>
      <c r="J237" s="10" t="str">
        <f t="shared" si="17"/>
        <v>att_knockout:il18r_dko</v>
      </c>
      <c r="K237" s="11" t="s">
        <v>17</v>
      </c>
      <c r="L237" s="10" t="s">
        <v>2485</v>
      </c>
      <c r="M237" s="10" t="s">
        <v>13</v>
      </c>
      <c r="N237" s="10" t="str">
        <f t="shared" si="18"/>
        <v>INSERT INTO attributes (parent_id, tag, name, priority, allow_as_filter, allow_for_dataset, allow_for_measurement, allow_for_users, allow_for_qc) VALUES (NULL, 'att_knockout',  'Gene Knockout',  500,  TRUE, TRUE, TRUE, FALSE, FALSE);</v>
      </c>
      <c r="O237" s="10" t="str">
        <f t="shared" si="19"/>
        <v xml:space="preserve">INSERT INTO attribute_values (attribute_id, tag, name, details) VALUES ((SELECT id FROM attributes WHERE tag = 'att_knockout' LIMIT 1),  'att_knockout:il18r_dko',  'Il18r dKO',  'Il18r −/−'); </v>
      </c>
    </row>
    <row r="238" spans="1:15" s="10" customFormat="1">
      <c r="A238" s="9" t="b">
        <f>FALSE()</f>
        <v>0</v>
      </c>
      <c r="B238" s="9"/>
      <c r="C238" s="10" t="s">
        <v>2486</v>
      </c>
      <c r="D238" s="10" t="s">
        <v>2487</v>
      </c>
      <c r="E238" s="10" t="s">
        <v>13</v>
      </c>
      <c r="F238" s="10" t="s">
        <v>2473</v>
      </c>
      <c r="G238" s="10" t="s">
        <v>2474</v>
      </c>
      <c r="H238" s="10" t="str">
        <f t="shared" si="16"/>
        <v>att_knockout</v>
      </c>
      <c r="I238" s="10" t="s">
        <v>2488</v>
      </c>
      <c r="J238" s="10" t="str">
        <f t="shared" si="17"/>
        <v>att_knockout:il1r_dko</v>
      </c>
      <c r="K238" s="11" t="s">
        <v>17</v>
      </c>
      <c r="L238" s="10" t="s">
        <v>2489</v>
      </c>
      <c r="M238" s="10" t="s">
        <v>13</v>
      </c>
      <c r="N238" s="10" t="str">
        <f t="shared" si="18"/>
        <v>INSERT INTO attributes (parent_id, tag, name, priority, allow_as_filter, allow_for_dataset, allow_for_measurement, allow_for_users, allow_for_qc) VALUES (NULL, 'att_knockout',  'Gene Knockout',  500,  TRUE, TRUE, TRUE, FALSE, FALSE);</v>
      </c>
      <c r="O238" s="10" t="str">
        <f t="shared" si="19"/>
        <v xml:space="preserve">INSERT INTO attribute_values (attribute_id, tag, name, details) VALUES ((SELECT id FROM attributes WHERE tag = 'att_knockout' LIMIT 1),  'att_knockout:il1r_dko',  'Il1r dKO',  'Il1r −/−'); </v>
      </c>
    </row>
    <row r="239" spans="1:15" s="10" customFormat="1">
      <c r="A239" s="9" t="b">
        <f>FALSE()</f>
        <v>0</v>
      </c>
      <c r="B239" s="9"/>
      <c r="C239" s="10" t="s">
        <v>2490</v>
      </c>
      <c r="D239" s="10" t="s">
        <v>2491</v>
      </c>
      <c r="E239" s="10" t="s">
        <v>13</v>
      </c>
      <c r="F239" s="10" t="s">
        <v>2473</v>
      </c>
      <c r="G239" s="10" t="s">
        <v>2474</v>
      </c>
      <c r="H239" s="10" t="str">
        <f t="shared" si="16"/>
        <v>att_knockout</v>
      </c>
      <c r="I239" s="10" t="s">
        <v>2490</v>
      </c>
      <c r="J239" s="10" t="str">
        <f t="shared" si="17"/>
        <v>att_knockout:tlr4_dko</v>
      </c>
      <c r="K239" s="11" t="s">
        <v>17</v>
      </c>
      <c r="L239" s="10" t="s">
        <v>2492</v>
      </c>
      <c r="M239" s="10" t="s">
        <v>13</v>
      </c>
      <c r="N239" s="10" t="str">
        <f t="shared" si="18"/>
        <v>INSERT INTO attributes (parent_id, tag, name, priority, allow_as_filter, allow_for_dataset, allow_for_measurement, allow_for_users, allow_for_qc) VALUES (NULL, 'att_knockout',  'Gene Knockout',  500,  TRUE, TRUE, TRUE, FALSE, FALSE);</v>
      </c>
      <c r="O239" s="10" t="str">
        <f t="shared" si="19"/>
        <v xml:space="preserve">INSERT INTO attribute_values (attribute_id, tag, name, details) VALUES ((SELECT id FROM attributes WHERE tag = 'att_knockout' LIMIT 1),  'att_knockout:tlr4_dko',  'Tlr4 dKO',  'Tlr4 −/−'); </v>
      </c>
    </row>
    <row r="240" spans="1:15">
      <c r="A240" s="7" t="s">
        <v>17</v>
      </c>
      <c r="B240" s="7"/>
      <c r="C240" s="4" t="s">
        <v>1205</v>
      </c>
      <c r="D240" s="4" t="s">
        <v>1206</v>
      </c>
      <c r="E240" s="4" t="s">
        <v>13</v>
      </c>
      <c r="F240" s="4" t="s">
        <v>103</v>
      </c>
      <c r="G240" s="4" t="s">
        <v>2493</v>
      </c>
      <c r="H240" s="4" t="str">
        <f t="shared" si="16"/>
        <v>att_lc_system</v>
      </c>
      <c r="I240" s="4" t="s">
        <v>1205</v>
      </c>
      <c r="J240" s="4" t="str">
        <f t="shared" si="17"/>
        <v>att_lc_system:easylc1</v>
      </c>
      <c r="K240" s="7" t="s">
        <v>17</v>
      </c>
      <c r="L240" s="4" t="s">
        <v>1206</v>
      </c>
      <c r="M240" s="4" t="s">
        <v>13</v>
      </c>
      <c r="N240" s="4" t="str">
        <f t="shared" si="18"/>
        <v>INSERT INTO attributes (parent_id, tag, name, priority, allow_as_filter, allow_for_dataset, allow_for_measurement, allow_for_users, allow_for_qc) VALUES (NULL, 'att_lc_system',  'LC System',  500,  TRUE, TRUE, TRUE, FALSE, FALSE);</v>
      </c>
      <c r="O240" s="4" t="str">
        <f t="shared" si="19"/>
        <v xml:space="preserve">INSERT INTO attribute_values (attribute_id, tag, name, details) VALUES ((SELECT id FROM attributes WHERE tag = 'att_lc_system' LIMIT 1),  'att_lc_system:easylc1',  'Easy LC1',  'Easy LC1'); </v>
      </c>
    </row>
    <row r="241" spans="1:15">
      <c r="A241" s="7" t="s">
        <v>17</v>
      </c>
      <c r="B241" s="7"/>
      <c r="C241" s="4" t="s">
        <v>1207</v>
      </c>
      <c r="D241" s="4" t="s">
        <v>1208</v>
      </c>
      <c r="E241" s="4" t="s">
        <v>13</v>
      </c>
      <c r="F241" s="4" t="s">
        <v>103</v>
      </c>
      <c r="G241" s="4" t="s">
        <v>2493</v>
      </c>
      <c r="H241" s="4" t="str">
        <f t="shared" si="16"/>
        <v>att_lc_system</v>
      </c>
      <c r="I241" s="4" t="s">
        <v>1207</v>
      </c>
      <c r="J241" s="4" t="str">
        <f t="shared" si="17"/>
        <v>att_lc_system:easylc2</v>
      </c>
      <c r="K241" s="7" t="s">
        <v>17</v>
      </c>
      <c r="L241" s="4" t="s">
        <v>1208</v>
      </c>
      <c r="M241" s="4" t="s">
        <v>13</v>
      </c>
      <c r="N241" s="4" t="str">
        <f t="shared" si="18"/>
        <v>INSERT INTO attributes (parent_id, tag, name, priority, allow_as_filter, allow_for_dataset, allow_for_measurement, allow_for_users, allow_for_qc) VALUES (NULL, 'att_lc_system',  'LC System',  500,  TRUE, TRUE, TRUE, FALSE, FALSE);</v>
      </c>
      <c r="O241" s="4" t="str">
        <f t="shared" si="19"/>
        <v xml:space="preserve">INSERT INTO attribute_values (attribute_id, tag, name, details) VALUES ((SELECT id FROM attributes WHERE tag = 'att_lc_system' LIMIT 1),  'att_lc_system:easylc2',  'Easy LC2',  'Easy LC2'); </v>
      </c>
    </row>
    <row r="242" spans="1:15">
      <c r="A242" s="7" t="s">
        <v>17</v>
      </c>
      <c r="B242" s="7"/>
      <c r="C242" s="4" t="s">
        <v>1209</v>
      </c>
      <c r="D242" s="4" t="s">
        <v>1210</v>
      </c>
      <c r="E242" s="4" t="s">
        <v>13</v>
      </c>
      <c r="F242" s="4" t="s">
        <v>103</v>
      </c>
      <c r="G242" s="4" t="s">
        <v>2493</v>
      </c>
      <c r="H242" s="4" t="str">
        <f t="shared" si="16"/>
        <v>att_lc_system</v>
      </c>
      <c r="I242" s="4" t="s">
        <v>1209</v>
      </c>
      <c r="J242" s="4" t="str">
        <f t="shared" si="17"/>
        <v>att_lc_system:evosep1</v>
      </c>
      <c r="K242" s="7" t="s">
        <v>17</v>
      </c>
      <c r="L242" s="4" t="s">
        <v>1211</v>
      </c>
      <c r="M242" s="4" t="s">
        <v>13</v>
      </c>
      <c r="N242" s="4" t="str">
        <f t="shared" si="18"/>
        <v>INSERT INTO attributes (parent_id, tag, name, priority, allow_as_filter, allow_for_dataset, allow_for_measurement, allow_for_users, allow_for_qc) VALUES (NULL, 'att_lc_system',  'LC System',  500,  TRUE, TRUE, TRUE, FALSE, FALSE);</v>
      </c>
      <c r="O242" s="4" t="str">
        <f t="shared" si="19"/>
        <v xml:space="preserve">INSERT INTO attribute_values (attribute_id, tag, name, details) VALUES ((SELECT id FROM attributes WHERE tag = 'att_lc_system' LIMIT 1),  'att_lc_system:evosep1',  'Evosep1',  'Evosep 1'); </v>
      </c>
    </row>
    <row r="243" spans="1:15">
      <c r="A243" s="7" t="s">
        <v>17</v>
      </c>
      <c r="B243" s="7"/>
      <c r="C243" s="4" t="s">
        <v>1212</v>
      </c>
      <c r="D243" s="4" t="s">
        <v>1213</v>
      </c>
      <c r="E243" s="4" t="s">
        <v>13</v>
      </c>
      <c r="F243" s="4" t="s">
        <v>103</v>
      </c>
      <c r="G243" s="4" t="s">
        <v>2493</v>
      </c>
      <c r="H243" s="4" t="str">
        <f t="shared" si="16"/>
        <v>att_lc_system</v>
      </c>
      <c r="I243" s="4" t="s">
        <v>1212</v>
      </c>
      <c r="J243" s="4" t="str">
        <f t="shared" si="17"/>
        <v>att_lc_system:vanquishneo1</v>
      </c>
      <c r="K243" s="7" t="s">
        <v>17</v>
      </c>
      <c r="L243" s="4" t="s">
        <v>1213</v>
      </c>
      <c r="M243" s="4" t="s">
        <v>13</v>
      </c>
      <c r="N243" s="4" t="str">
        <f t="shared" si="18"/>
        <v>INSERT INTO attributes (parent_id, tag, name, priority, allow_as_filter, allow_for_dataset, allow_for_measurement, allow_for_users, allow_for_qc) VALUES (NULL, 'att_lc_system',  'LC System',  500,  TRUE, TRUE, TRUE, FALSE, FALSE);</v>
      </c>
      <c r="O243" s="4" t="str">
        <f t="shared" si="19"/>
        <v xml:space="preserve">INSERT INTO attribute_values (attribute_id, tag, name, details) VALUES ((SELECT id FROM attributes WHERE tag = 'att_lc_system' LIMIT 1),  'att_lc_system:vanquishneo1',  'Vanquish Neo1',  'Vanquish Neo1'); </v>
      </c>
    </row>
    <row r="244" spans="1:15">
      <c r="A244" s="8" t="b">
        <f>FALSE()</f>
        <v>0</v>
      </c>
      <c r="B244" s="8"/>
      <c r="C244" s="4" t="s">
        <v>1707</v>
      </c>
      <c r="D244" s="4" t="s">
        <v>1709</v>
      </c>
      <c r="E244" s="4" t="s">
        <v>13</v>
      </c>
      <c r="F244" s="4" t="s">
        <v>2494</v>
      </c>
      <c r="G244" s="4" t="s">
        <v>2495</v>
      </c>
      <c r="H244" s="4" t="str">
        <f t="shared" si="16"/>
        <v>att_mockup</v>
      </c>
      <c r="I244" s="4" t="s">
        <v>1707</v>
      </c>
      <c r="J244" s="4" t="str">
        <f t="shared" si="17"/>
        <v>att_mockup:arbitrary</v>
      </c>
      <c r="K244" s="7" t="s">
        <v>17</v>
      </c>
      <c r="L244" s="4" t="s">
        <v>1710</v>
      </c>
      <c r="M244" s="4" t="s">
        <v>13</v>
      </c>
      <c r="N244" s="4" t="str">
        <f t="shared" si="18"/>
        <v>INSERT INTO attributes (parent_id, tag, name, priority, allow_as_filter, allow_for_dataset, allow_for_measurement, allow_for_users, allow_for_qc) VALUES (NULL, 'att_mockup',  'Mockup',  500,  TRUE, TRUE, TRUE, FALSE, FALSE);</v>
      </c>
      <c r="O244" s="4" t="str">
        <f t="shared" si="19"/>
        <v xml:space="preserve">INSERT INTO attribute_values (attribute_id, tag, name, details) VALUES ((SELECT id FROM attributes WHERE tag = 'att_mockup' LIMIT 1),  'att_mockup:arbitrary',  'Arbitrary',  'Mock categorie that can be used'); </v>
      </c>
    </row>
    <row r="245" spans="1:15">
      <c r="A245" s="8" t="b">
        <f>FALSE()</f>
        <v>0</v>
      </c>
      <c r="B245" s="8"/>
      <c r="C245" s="4" t="s">
        <v>1711</v>
      </c>
      <c r="D245" s="4" t="s">
        <v>1712</v>
      </c>
      <c r="E245" s="4" t="s">
        <v>13</v>
      </c>
      <c r="F245" s="4" t="s">
        <v>2494</v>
      </c>
      <c r="G245" s="4" t="s">
        <v>2495</v>
      </c>
      <c r="H245" s="4" t="str">
        <f t="shared" si="16"/>
        <v>att_mockup</v>
      </c>
      <c r="I245" s="4" t="s">
        <v>1711</v>
      </c>
      <c r="J245" s="4" t="str">
        <f t="shared" si="17"/>
        <v>att_mockup:random</v>
      </c>
      <c r="K245" s="7" t="s">
        <v>17</v>
      </c>
      <c r="L245" s="4" t="s">
        <v>1710</v>
      </c>
      <c r="M245" s="4" t="s">
        <v>13</v>
      </c>
      <c r="N245" s="4" t="str">
        <f t="shared" si="18"/>
        <v>INSERT INTO attributes (parent_id, tag, name, priority, allow_as_filter, allow_for_dataset, allow_for_measurement, allow_for_users, allow_for_qc) VALUES (NULL, 'att_mockup',  'Mockup',  500,  TRUE, TRUE, TRUE, FALSE, FALSE);</v>
      </c>
      <c r="O245" s="4" t="str">
        <f t="shared" si="19"/>
        <v xml:space="preserve">INSERT INTO attribute_values (attribute_id, tag, name, details) VALUES ((SELECT id FROM attributes WHERE tag = 'att_mockup' LIMIT 1),  'att_mockup:random',  'Random',  'Mock categorie that can be used'); </v>
      </c>
    </row>
    <row r="246" spans="1:15">
      <c r="A246" s="8" t="b">
        <f>FALSE()</f>
        <v>0</v>
      </c>
      <c r="B246" s="8"/>
      <c r="C246" s="4" t="s">
        <v>2496</v>
      </c>
      <c r="D246" s="4" t="s">
        <v>1714</v>
      </c>
      <c r="E246" s="4" t="s">
        <v>13</v>
      </c>
      <c r="F246" s="4" t="s">
        <v>115</v>
      </c>
      <c r="G246" s="4" t="s">
        <v>2497</v>
      </c>
      <c r="H246" s="4" t="str">
        <f t="shared" si="16"/>
        <v>att_model</v>
      </c>
      <c r="I246" s="4" t="s">
        <v>1713</v>
      </c>
      <c r="J246" s="4" t="str">
        <f t="shared" si="17"/>
        <v>att_model:in_vitro</v>
      </c>
      <c r="K246" s="7" t="s">
        <v>17</v>
      </c>
      <c r="L246" s="4" t="s">
        <v>1715</v>
      </c>
      <c r="M246" s="4" t="s">
        <v>13</v>
      </c>
      <c r="N246" s="4" t="str">
        <f t="shared" si="18"/>
        <v>INSERT INTO attributes (parent_id, tag, name, priority, allow_as_filter, allow_for_dataset, allow_for_measurement, allow_for_users, allow_for_qc) VALUES (NULL, 'att_model',  'Model',  500,  TRUE, TRUE, TRUE, FALSE, FALSE);</v>
      </c>
      <c r="O246" s="4" t="str">
        <f t="shared" si="19"/>
        <v xml:space="preserve">INSERT INTO attribute_values (attribute_id, tag, name, details) VALUES ((SELECT id FROM attributes WHERE tag = 'att_model' LIMIT 1),  'att_model:in_vitro',  'In vitro',  'in the glass'); </v>
      </c>
    </row>
    <row r="247" spans="1:15">
      <c r="A247" s="8" t="b">
        <f>FALSE()</f>
        <v>0</v>
      </c>
      <c r="B247" s="8"/>
      <c r="C247" s="4" t="s">
        <v>2498</v>
      </c>
      <c r="D247" s="4" t="s">
        <v>1717</v>
      </c>
      <c r="E247" s="4" t="s">
        <v>13</v>
      </c>
      <c r="F247" s="4" t="s">
        <v>115</v>
      </c>
      <c r="G247" s="4" t="s">
        <v>2497</v>
      </c>
      <c r="H247" s="4" t="str">
        <f t="shared" si="16"/>
        <v>att_model</v>
      </c>
      <c r="I247" s="4" t="s">
        <v>1716</v>
      </c>
      <c r="J247" s="4" t="str">
        <f t="shared" si="17"/>
        <v>att_model:in_vivo</v>
      </c>
      <c r="K247" s="7" t="s">
        <v>17</v>
      </c>
      <c r="L247" s="4" t="s">
        <v>1718</v>
      </c>
      <c r="M247" s="4" t="s">
        <v>13</v>
      </c>
      <c r="N247" s="4" t="str">
        <f t="shared" si="18"/>
        <v>INSERT INTO attributes (parent_id, tag, name, priority, allow_as_filter, allow_for_dataset, allow_for_measurement, allow_for_users, allow_for_qc) VALUES (NULL, 'att_model',  'Model',  500,  TRUE, TRUE, TRUE, FALSE, FALSE);</v>
      </c>
      <c r="O247" s="4" t="str">
        <f t="shared" si="19"/>
        <v xml:space="preserve">INSERT INTO attribute_values (attribute_id, tag, name, details) VALUES ((SELECT id FROM attributes WHERE tag = 'att_model' LIMIT 1),  'att_model:in_vivo',  'In vivo',  'within the living'); </v>
      </c>
    </row>
    <row r="248" spans="1:15">
      <c r="A248" s="8" t="b">
        <f>FALSE()</f>
        <v>0</v>
      </c>
      <c r="B248" s="8"/>
      <c r="C248" s="4" t="s">
        <v>1719</v>
      </c>
      <c r="D248" s="4" t="s">
        <v>1719</v>
      </c>
      <c r="E248" s="4" t="s">
        <v>13</v>
      </c>
      <c r="F248" s="4" t="s">
        <v>115</v>
      </c>
      <c r="G248" s="4" t="s">
        <v>2497</v>
      </c>
      <c r="H248" s="4" t="str">
        <f t="shared" si="16"/>
        <v>att_model</v>
      </c>
      <c r="I248" s="4" t="s">
        <v>1719</v>
      </c>
      <c r="J248" s="4" t="str">
        <f t="shared" si="17"/>
        <v>att_model:xenografts</v>
      </c>
      <c r="K248" s="7" t="s">
        <v>17</v>
      </c>
      <c r="L248" s="4" t="s">
        <v>1720</v>
      </c>
      <c r="M248" s="4" t="s">
        <v>13</v>
      </c>
      <c r="N248" s="4" t="str">
        <f t="shared" si="18"/>
        <v>INSERT INTO attributes (parent_id, tag, name, priority, allow_as_filter, allow_for_dataset, allow_for_measurement, allow_for_users, allow_for_qc) VALUES (NULL, 'att_model',  'Model',  500,  TRUE, TRUE, TRUE, FALSE, FALSE);</v>
      </c>
      <c r="O248" s="4" t="str">
        <f t="shared" si="19"/>
        <v xml:space="preserve">INSERT INTO attribute_values (attribute_id, tag, name, details) VALUES ((SELECT id FROM attributes WHERE tag = 'att_model' LIMIT 1),  'att_model:xenografts',  'xenografts',  'Tissue or cells implanted into a model animal'); </v>
      </c>
    </row>
    <row r="249" spans="1:15">
      <c r="A249" s="8"/>
      <c r="B249" s="8"/>
      <c r="K249" s="7"/>
    </row>
    <row r="250" spans="1:15">
      <c r="A250" s="8"/>
      <c r="B250" s="8"/>
      <c r="C250" s="4" t="s">
        <v>2499</v>
      </c>
      <c r="D250" s="4" t="s">
        <v>615</v>
      </c>
      <c r="F250" s="4" t="s">
        <v>50</v>
      </c>
      <c r="G250" s="4" t="s">
        <v>2500</v>
      </c>
      <c r="H250" s="4" t="str">
        <f t="shared" ref="H250:H255" si="20">"att_"&amp;G250</f>
        <v>att_column_type</v>
      </c>
      <c r="I250" s="4" t="s">
        <v>614</v>
      </c>
      <c r="J250" s="4" t="str">
        <f t="shared" ref="J250:J255" si="21">H250&amp;":"&amp;I250</f>
        <v>att_column_type:aurora</v>
      </c>
      <c r="K250" s="7"/>
      <c r="L250" s="4" t="s">
        <v>616</v>
      </c>
      <c r="N250" s="4"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c r="A251" s="8"/>
      <c r="B251" s="8"/>
      <c r="C251" s="4" t="s">
        <v>2501</v>
      </c>
      <c r="D251" s="4" t="s">
        <v>621</v>
      </c>
      <c r="F251" s="4" t="s">
        <v>50</v>
      </c>
      <c r="G251" s="4" t="s">
        <v>2500</v>
      </c>
      <c r="H251" s="4" t="str">
        <f t="shared" si="20"/>
        <v>att_column_type</v>
      </c>
      <c r="I251" s="4" t="s">
        <v>620</v>
      </c>
      <c r="J251" s="4" t="str">
        <f t="shared" si="21"/>
        <v>att_column_type:inhouse</v>
      </c>
      <c r="K251" s="7"/>
      <c r="L251" s="4" t="s">
        <v>622</v>
      </c>
      <c r="N251" s="4"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c r="B252" s="8"/>
      <c r="C252" s="4" t="s">
        <v>2502</v>
      </c>
      <c r="D252" s="4" t="s">
        <v>618</v>
      </c>
      <c r="F252" s="4" t="s">
        <v>50</v>
      </c>
      <c r="G252" s="4" t="s">
        <v>2500</v>
      </c>
      <c r="H252" s="4" t="str">
        <f t="shared" si="20"/>
        <v>att_column_type</v>
      </c>
      <c r="I252" s="4" t="s">
        <v>617</v>
      </c>
      <c r="J252" s="4" t="str">
        <f t="shared" si="21"/>
        <v>att_column_type:easyspray</v>
      </c>
      <c r="K252" s="7"/>
      <c r="L252" s="4" t="s">
        <v>619</v>
      </c>
    </row>
    <row r="253" spans="1:15">
      <c r="A253" s="8"/>
      <c r="B253" s="8"/>
      <c r="C253" s="4" t="s">
        <v>2503</v>
      </c>
      <c r="D253" s="4" t="s">
        <v>630</v>
      </c>
      <c r="F253" s="4" t="s">
        <v>50</v>
      </c>
      <c r="G253" s="4" t="s">
        <v>2500</v>
      </c>
      <c r="H253" s="4" t="str">
        <f t="shared" si="20"/>
        <v>att_column_type</v>
      </c>
      <c r="I253" s="4" t="s">
        <v>629</v>
      </c>
      <c r="J253" s="4" t="str">
        <f t="shared" si="21"/>
        <v>att_column_type:upac_neo</v>
      </c>
      <c r="K253" s="7"/>
      <c r="L253" s="4" t="s">
        <v>631</v>
      </c>
    </row>
    <row r="254" spans="1:15">
      <c r="A254" s="8"/>
      <c r="B254" s="8"/>
      <c r="C254" s="4" t="s">
        <v>2504</v>
      </c>
      <c r="D254" s="12" t="s">
        <v>624</v>
      </c>
      <c r="F254" s="4" t="s">
        <v>50</v>
      </c>
      <c r="G254" s="4" t="s">
        <v>2500</v>
      </c>
      <c r="H254" s="4" t="str">
        <f t="shared" si="20"/>
        <v>att_column_type</v>
      </c>
      <c r="I254" s="4" t="s">
        <v>623</v>
      </c>
      <c r="J254" s="4" t="str">
        <f t="shared" si="21"/>
        <v>att_column_type:upac_doubleviper</v>
      </c>
      <c r="K254" s="7"/>
      <c r="L254" s="4" t="s">
        <v>625</v>
      </c>
    </row>
    <row r="255" spans="1:15">
      <c r="A255" s="8"/>
      <c r="B255" s="8"/>
      <c r="C255" s="4" t="s">
        <v>2503</v>
      </c>
      <c r="D255" s="12" t="s">
        <v>627</v>
      </c>
      <c r="F255" s="4" t="s">
        <v>50</v>
      </c>
      <c r="G255" s="4" t="s">
        <v>2500</v>
      </c>
      <c r="H255" s="4" t="str">
        <f t="shared" si="20"/>
        <v>att_column_type</v>
      </c>
      <c r="I255" s="4" t="s">
        <v>626</v>
      </c>
      <c r="J255" s="4" t="str">
        <f t="shared" si="21"/>
        <v>att_column_type:upac_low_loadneo</v>
      </c>
      <c r="K255" s="7"/>
      <c r="L255" s="4" t="s">
        <v>628</v>
      </c>
    </row>
    <row r="256" spans="1:15">
      <c r="A256" s="8"/>
      <c r="B256" s="8"/>
      <c r="D256" s="12"/>
      <c r="K256" s="7"/>
    </row>
    <row r="257" spans="1:15">
      <c r="A257" s="7" t="s">
        <v>17</v>
      </c>
      <c r="B257" s="7"/>
      <c r="C257" s="4" t="s">
        <v>2505</v>
      </c>
      <c r="D257" s="4" t="s">
        <v>2506</v>
      </c>
      <c r="E257" s="4" t="s">
        <v>13</v>
      </c>
      <c r="F257" s="4" t="s">
        <v>2507</v>
      </c>
      <c r="G257" s="4" t="s">
        <v>2508</v>
      </c>
      <c r="H257" s="4" t="str">
        <f t="shared" ref="H257:H262" si="22">"att_"&amp;G257</f>
        <v>att_mslc_column_configuration</v>
      </c>
      <c r="I257" s="4" t="s">
        <v>607</v>
      </c>
      <c r="J257" s="4" t="str">
        <f t="shared" ref="J257:J262" si="23">H257&amp;":"&amp;I257</f>
        <v>att_mslc_column_configuration:15cm</v>
      </c>
      <c r="K257" s="7" t="s">
        <v>17</v>
      </c>
      <c r="L257" s="4" t="s">
        <v>2509</v>
      </c>
      <c r="M257" s="4" t="s">
        <v>13</v>
      </c>
      <c r="N257" s="4"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4"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c r="A258" s="7" t="s">
        <v>17</v>
      </c>
      <c r="B258" s="7"/>
      <c r="C258" s="4" t="s">
        <v>2510</v>
      </c>
      <c r="D258" s="4" t="s">
        <v>2511</v>
      </c>
      <c r="E258" s="4" t="s">
        <v>13</v>
      </c>
      <c r="F258" s="4" t="s">
        <v>2507</v>
      </c>
      <c r="G258" s="4" t="s">
        <v>2508</v>
      </c>
      <c r="H258" s="4" t="str">
        <f t="shared" si="22"/>
        <v>att_mslc_column_configuration</v>
      </c>
      <c r="I258" s="4" t="s">
        <v>2512</v>
      </c>
      <c r="J258" s="4" t="str">
        <f t="shared" si="23"/>
        <v>att_mslc_column_configuration:25cm</v>
      </c>
      <c r="K258" s="7" t="s">
        <v>17</v>
      </c>
      <c r="L258" s="4" t="s">
        <v>2513</v>
      </c>
      <c r="M258" s="4" t="s">
        <v>13</v>
      </c>
      <c r="N258" s="4" t="str">
        <f t="shared" si="24"/>
        <v>INSERT INTO attributes (parent_id, tag, name, priority, allow_as_filter, allow_for_dataset, allow_for_measurement, allow_for_users, allow_for_qc) VALUES (NULL, 'att_mslc_column_configuration',  'LC Column Configuration',  500,  TRUE, TRUE, TRUE, FALSE, FALSE);</v>
      </c>
      <c r="O258" s="4" t="str">
        <f t="shared" si="25"/>
        <v xml:space="preserve">INSERT INTO attribute_values (attribute_id, tag, name, details) VALUES ((SELECT id FROM attributes WHERE tag = 'att_mslc_column_configuration' LIMIT 1),  'att_mslc_column_configuration:25cm',  'Auroa 25 cm',  'Auroa 25 cm MS Column'); </v>
      </c>
    </row>
    <row r="259" spans="1:15">
      <c r="A259" s="7" t="s">
        <v>17</v>
      </c>
      <c r="B259" s="7"/>
      <c r="C259" s="4" t="s">
        <v>2514</v>
      </c>
      <c r="D259" s="4" t="s">
        <v>2515</v>
      </c>
      <c r="E259" s="4" t="s">
        <v>13</v>
      </c>
      <c r="F259" s="4" t="s">
        <v>2507</v>
      </c>
      <c r="G259" s="4" t="s">
        <v>2508</v>
      </c>
      <c r="H259" s="4" t="str">
        <f t="shared" si="22"/>
        <v>att_mslc_column_configuration</v>
      </c>
      <c r="I259" s="4" t="s">
        <v>608</v>
      </c>
      <c r="J259" s="4" t="str">
        <f t="shared" si="23"/>
        <v>att_mslc_column_configuration:30cm</v>
      </c>
      <c r="K259" s="7" t="s">
        <v>17</v>
      </c>
      <c r="L259" s="4" t="s">
        <v>2516</v>
      </c>
      <c r="M259" s="4" t="s">
        <v>13</v>
      </c>
      <c r="N259" s="4" t="str">
        <f t="shared" si="24"/>
        <v>INSERT INTO attributes (parent_id, tag, name, priority, allow_as_filter, allow_for_dataset, allow_for_measurement, allow_for_users, allow_for_qc) VALUES (NULL, 'att_mslc_column_configuration',  'LC Column Configuration',  500,  TRUE, TRUE, TRUE, FALSE, FALSE);</v>
      </c>
      <c r="O259" s="4" t="str">
        <f t="shared" si="25"/>
        <v xml:space="preserve">INSERT INTO attribute_values (attribute_id, tag, name, details) VALUES ((SELECT id FROM attributes WHERE tag = 'att_mslc_column_configuration' LIMIT 1),  'att_mslc_column_configuration:30cm',  'Auroa 30 cm',  'Auroa 30 cm MS Column'); </v>
      </c>
    </row>
    <row r="260" spans="1:15">
      <c r="A260" s="7" t="s">
        <v>17</v>
      </c>
      <c r="B260" s="7"/>
      <c r="C260" s="4" t="s">
        <v>2517</v>
      </c>
      <c r="D260" s="4" t="s">
        <v>2518</v>
      </c>
      <c r="E260" s="4" t="s">
        <v>13</v>
      </c>
      <c r="F260" s="4" t="s">
        <v>2507</v>
      </c>
      <c r="G260" s="4" t="s">
        <v>2508</v>
      </c>
      <c r="H260" s="4" t="str">
        <f t="shared" si="22"/>
        <v>att_mslc_column_configuration</v>
      </c>
      <c r="I260" s="4" t="s">
        <v>609</v>
      </c>
      <c r="J260" s="4" t="str">
        <f t="shared" si="23"/>
        <v>att_mslc_column_configuration:50cm</v>
      </c>
      <c r="K260" s="7" t="s">
        <v>17</v>
      </c>
      <c r="L260" s="4" t="s">
        <v>2519</v>
      </c>
      <c r="M260" s="4" t="s">
        <v>13</v>
      </c>
      <c r="N260" s="4" t="str">
        <f t="shared" si="24"/>
        <v>INSERT INTO attributes (parent_id, tag, name, priority, allow_as_filter, allow_for_dataset, allow_for_measurement, allow_for_users, allow_for_qc) VALUES (NULL, 'att_mslc_column_configuration',  'LC Column Configuration',  500,  TRUE, TRUE, TRUE, FALSE, FALSE);</v>
      </c>
      <c r="O260" s="4" t="str">
        <f t="shared" si="25"/>
        <v xml:space="preserve">INSERT INTO attribute_values (attribute_id, tag, name, details) VALUES ((SELECT id FROM attributes WHERE tag = 'att_mslc_column_configuration' LIMIT 1),  'att_mslc_column_configuration:50cm',  'Auroa 50 cm',  'Auroa 50 cm MS Column'); </v>
      </c>
    </row>
    <row r="261" spans="1:15">
      <c r="A261" s="7" t="s">
        <v>17</v>
      </c>
      <c r="B261" s="8"/>
      <c r="C261" s="4" t="s">
        <v>2520</v>
      </c>
      <c r="D261" s="4" t="s">
        <v>2521</v>
      </c>
      <c r="E261" s="4" t="s">
        <v>13</v>
      </c>
      <c r="F261" s="4" t="s">
        <v>2507</v>
      </c>
      <c r="G261" s="4" t="s">
        <v>2508</v>
      </c>
      <c r="H261" s="4" t="str">
        <f t="shared" si="22"/>
        <v>att_mslc_column_configuration</v>
      </c>
      <c r="I261" s="4" t="s">
        <v>2520</v>
      </c>
      <c r="J261" s="4" t="str">
        <f t="shared" si="23"/>
        <v>att_mslc_column_configuration:column_inhouse</v>
      </c>
      <c r="K261" s="7" t="s">
        <v>17</v>
      </c>
      <c r="L261" s="4" t="s">
        <v>2522</v>
      </c>
      <c r="M261" s="4" t="s">
        <v>13</v>
      </c>
      <c r="N261" s="4" t="str">
        <f t="shared" si="24"/>
        <v>INSERT INTO attributes (parent_id, tag, name, priority, allow_as_filter, allow_for_dataset, allow_for_measurement, allow_for_users, allow_for_qc) VALUES (NULL, 'att_mslc_column_configuration',  'LC Column Configuration',  500,  TRUE, TRUE, TRUE, FALSE, FALSE);</v>
      </c>
      <c r="O261" s="4" t="str">
        <f t="shared" si="25"/>
        <v xml:space="preserve">INSERT INTO attribute_values (attribute_id, tag, name, details) VALUES ((SELECT id FROM attributes WHERE tag = 'att_mslc_column_configuration' LIMIT 1),  'att_mslc_column_configuration:column_inhouse',  'In-house',  'In-House Column'); </v>
      </c>
    </row>
    <row r="262" spans="1:15">
      <c r="A262" s="7" t="s">
        <v>17</v>
      </c>
      <c r="B262" s="8"/>
      <c r="C262" s="4" t="s">
        <v>2523</v>
      </c>
      <c r="D262" s="4" t="s">
        <v>2524</v>
      </c>
      <c r="E262" s="4" t="s">
        <v>13</v>
      </c>
      <c r="F262" s="4" t="s">
        <v>2507</v>
      </c>
      <c r="G262" s="4" t="s">
        <v>2508</v>
      </c>
      <c r="H262" s="4" t="str">
        <f t="shared" si="22"/>
        <v>att_mslc_column_configuration</v>
      </c>
      <c r="I262" s="4" t="s">
        <v>2523</v>
      </c>
      <c r="J262" s="4" t="str">
        <f t="shared" si="23"/>
        <v>att_mslc_column_configuration:trap</v>
      </c>
      <c r="K262" s="7" t="s">
        <v>17</v>
      </c>
      <c r="L262" s="4" t="s">
        <v>2525</v>
      </c>
      <c r="M262" s="4" t="s">
        <v>13</v>
      </c>
      <c r="N262" s="4" t="str">
        <f t="shared" si="24"/>
        <v>INSERT INTO attributes (parent_id, tag, name, priority, allow_as_filter, allow_for_dataset, allow_for_measurement, allow_for_users, allow_for_qc) VALUES (NULL, 'att_mslc_column_configuration',  'LC Column Configuration',  500,  TRUE, TRUE, TRUE, FALSE, FALSE);</v>
      </c>
      <c r="O262" s="4" t="str">
        <f t="shared" si="25"/>
        <v xml:space="preserve">INSERT INTO attribute_values (attribute_id, tag, name, details) VALUES ((SELECT id FROM attributes WHERE tag = 'att_mslc_column_configuration' LIMIT 1),  'att_mslc_column_configuration:trap',  'Trap',  'MS-Setting: Trap'); </v>
      </c>
    </row>
    <row r="263" spans="1:15">
      <c r="A263" s="7"/>
      <c r="B263" s="8"/>
      <c r="K263" s="7"/>
    </row>
    <row r="264" spans="1:15" s="10" customFormat="1">
      <c r="A264" s="11" t="s">
        <v>15</v>
      </c>
      <c r="B264" s="9"/>
      <c r="C264" s="10" t="s">
        <v>1739</v>
      </c>
      <c r="D264" s="10" t="s">
        <v>1740</v>
      </c>
      <c r="E264" s="10" t="s">
        <v>13</v>
      </c>
      <c r="G264" s="10" t="s">
        <v>2526</v>
      </c>
      <c r="H264" s="10" t="str">
        <f>"att_"&amp;G264</f>
        <v>att_ms_interface</v>
      </c>
      <c r="I264" s="10" t="s">
        <v>1739</v>
      </c>
      <c r="J264" s="10" t="str">
        <f>H264&amp;":"&amp;I264</f>
        <v>att_ms_interface:faims</v>
      </c>
      <c r="K264" s="11" t="s">
        <v>17</v>
      </c>
      <c r="L264" s="10" t="s">
        <v>1741</v>
      </c>
      <c r="M264" s="10" t="s">
        <v>13</v>
      </c>
      <c r="N264" s="10"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0"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0" customFormat="1">
      <c r="A265" s="11"/>
      <c r="B265" s="9"/>
      <c r="C265" s="10" t="s">
        <v>2527</v>
      </c>
      <c r="D265" s="10" t="s">
        <v>1751</v>
      </c>
      <c r="F265" s="10" t="s">
        <v>118</v>
      </c>
      <c r="G265" s="10" t="s">
        <v>2528</v>
      </c>
      <c r="H265" s="10" t="str">
        <f>"att_"&amp;G265</f>
        <v>att_ms_ionsource</v>
      </c>
      <c r="I265" s="10" t="s">
        <v>1750</v>
      </c>
      <c r="J265" s="10" t="str">
        <f>H265&amp;":"&amp;I265</f>
        <v>att_ms_ionsource:ion_max</v>
      </c>
      <c r="K265" s="11"/>
      <c r="L265" s="10" t="s">
        <v>1752</v>
      </c>
    </row>
    <row r="266" spans="1:15">
      <c r="A266" s="7"/>
      <c r="B266" s="8"/>
      <c r="C266" s="10" t="s">
        <v>2527</v>
      </c>
      <c r="D266" s="4" t="s">
        <v>1745</v>
      </c>
      <c r="F266" s="4" t="s">
        <v>118</v>
      </c>
      <c r="G266" s="10" t="s">
        <v>2528</v>
      </c>
      <c r="H266" s="10" t="str">
        <f>"att_"&amp;G266</f>
        <v>att_ms_ionsource</v>
      </c>
      <c r="I266" s="10" t="s">
        <v>1744</v>
      </c>
      <c r="J266" s="10" t="str">
        <f>H266&amp;":"&amp;I266</f>
        <v>att_ms_ionsource:easy_spray</v>
      </c>
      <c r="K266" s="7"/>
      <c r="L266" s="4" t="s">
        <v>1746</v>
      </c>
    </row>
    <row r="267" spans="1:15">
      <c r="A267" s="7"/>
      <c r="B267" s="8"/>
      <c r="C267" s="10" t="s">
        <v>2527</v>
      </c>
      <c r="D267" s="4" t="s">
        <v>1748</v>
      </c>
      <c r="F267" s="4" t="s">
        <v>118</v>
      </c>
      <c r="G267" s="10" t="s">
        <v>2528</v>
      </c>
      <c r="H267" s="10" t="str">
        <f>"att_"&amp;G267</f>
        <v>att_ms_ionsource</v>
      </c>
      <c r="I267" s="10" t="s">
        <v>1747</v>
      </c>
      <c r="J267" s="10" t="str">
        <f>H267&amp;":"&amp;I267</f>
        <v>att_ms_ionsource:flex</v>
      </c>
      <c r="K267" s="7"/>
      <c r="L267" s="4" t="s">
        <v>1749</v>
      </c>
    </row>
    <row r="268" spans="1:15">
      <c r="A268" s="7"/>
      <c r="B268" s="8"/>
      <c r="I268" s="10"/>
      <c r="J268" s="10"/>
      <c r="K268" s="7"/>
    </row>
    <row r="269" spans="1:15">
      <c r="A269" s="8" t="b">
        <f>FALSE()</f>
        <v>0</v>
      </c>
      <c r="B269" s="8"/>
      <c r="C269" s="4" t="s">
        <v>1981</v>
      </c>
      <c r="D269" s="4" t="s">
        <v>1982</v>
      </c>
      <c r="E269" s="4" t="s">
        <v>13</v>
      </c>
      <c r="F269" s="4" t="s">
        <v>138</v>
      </c>
      <c r="G269" s="4" t="s">
        <v>2529</v>
      </c>
      <c r="H269" s="4" t="str">
        <f t="shared" ref="H269:H300" si="26">"att_"&amp;G269</f>
        <v>att_organ</v>
      </c>
      <c r="I269" s="4" t="s">
        <v>1981</v>
      </c>
      <c r="J269" s="4" t="str">
        <f t="shared" ref="J269:J300" si="27">H269&amp;":"&amp;I269</f>
        <v>att_organ:appendix</v>
      </c>
      <c r="K269" s="7" t="s">
        <v>17</v>
      </c>
      <c r="L269" s="4" t="s">
        <v>1982</v>
      </c>
      <c r="M269" s="4" t="s">
        <v>13</v>
      </c>
      <c r="N269" s="4"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4"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c r="A270" s="8" t="b">
        <f>FALSE()</f>
        <v>0</v>
      </c>
      <c r="B270" s="8"/>
      <c r="C270" s="4" t="s">
        <v>1983</v>
      </c>
      <c r="D270" s="4" t="s">
        <v>1984</v>
      </c>
      <c r="E270" s="4" t="s">
        <v>13</v>
      </c>
      <c r="F270" s="4" t="s">
        <v>138</v>
      </c>
      <c r="G270" s="4" t="s">
        <v>2529</v>
      </c>
      <c r="H270" s="4" t="str">
        <f t="shared" si="26"/>
        <v>att_organ</v>
      </c>
      <c r="I270" s="4" t="s">
        <v>1983</v>
      </c>
      <c r="J270" s="4" t="str">
        <f t="shared" si="27"/>
        <v>att_organ:arteries</v>
      </c>
      <c r="K270" s="7" t="s">
        <v>17</v>
      </c>
      <c r="L270" s="4" t="s">
        <v>1984</v>
      </c>
      <c r="M270" s="4" t="s">
        <v>13</v>
      </c>
      <c r="N270" s="4" t="str">
        <f t="shared" si="28"/>
        <v>INSERT INTO attributes (parent_id, tag, name, priority, allow_as_filter, allow_for_dataset, allow_for_measurement, allow_for_users, allow_for_qc) VALUES (NULL, 'att_organ',  'Organ',  500,  TRUE, TRUE, TRUE, FALSE, FALSE);</v>
      </c>
      <c r="O270" s="4" t="str">
        <f t="shared" si="29"/>
        <v xml:space="preserve">INSERT INTO attribute_values (attribute_id, tag, name, details) VALUES ((SELECT id FROM attributes WHERE tag = 'att_organ' LIMIT 1),  'att_organ:arteries',  'Arteries',  'Arteries'); </v>
      </c>
    </row>
    <row r="271" spans="1:15">
      <c r="A271" s="8" t="b">
        <f>FALSE()</f>
        <v>0</v>
      </c>
      <c r="B271" s="8"/>
      <c r="C271" s="4" t="s">
        <v>1985</v>
      </c>
      <c r="D271" s="4" t="s">
        <v>1986</v>
      </c>
      <c r="E271" s="4" t="s">
        <v>13</v>
      </c>
      <c r="F271" s="4" t="s">
        <v>138</v>
      </c>
      <c r="G271" s="4" t="s">
        <v>2529</v>
      </c>
      <c r="H271" s="4" t="str">
        <f t="shared" si="26"/>
        <v>att_organ</v>
      </c>
      <c r="I271" s="4" t="s">
        <v>1985</v>
      </c>
      <c r="J271" s="4" t="str">
        <f t="shared" si="27"/>
        <v>att_organ:bladder</v>
      </c>
      <c r="K271" s="7" t="s">
        <v>17</v>
      </c>
      <c r="L271" s="4" t="s">
        <v>1986</v>
      </c>
      <c r="M271" s="4" t="s">
        <v>13</v>
      </c>
      <c r="N271" s="4" t="str">
        <f t="shared" si="28"/>
        <v>INSERT INTO attributes (parent_id, tag, name, priority, allow_as_filter, allow_for_dataset, allow_for_measurement, allow_for_users, allow_for_qc) VALUES (NULL, 'att_organ',  'Organ',  500,  TRUE, TRUE, TRUE, FALSE, FALSE);</v>
      </c>
      <c r="O271" s="4" t="str">
        <f t="shared" si="29"/>
        <v xml:space="preserve">INSERT INTO attribute_values (attribute_id, tag, name, details) VALUES ((SELECT id FROM attributes WHERE tag = 'att_organ' LIMIT 1),  'att_organ:bladder',  'Bladder',  'Bladder'); </v>
      </c>
    </row>
    <row r="272" spans="1:15">
      <c r="A272" s="8" t="b">
        <f>FALSE()</f>
        <v>0</v>
      </c>
      <c r="B272" s="8"/>
      <c r="C272" s="4" t="s">
        <v>1987</v>
      </c>
      <c r="D272" s="4" t="s">
        <v>1988</v>
      </c>
      <c r="E272" s="4" t="s">
        <v>13</v>
      </c>
      <c r="F272" s="4" t="s">
        <v>138</v>
      </c>
      <c r="G272" s="4" t="s">
        <v>2529</v>
      </c>
      <c r="H272" s="4" t="str">
        <f t="shared" si="26"/>
        <v>att_organ</v>
      </c>
      <c r="I272" s="4" t="s">
        <v>1987</v>
      </c>
      <c r="J272" s="4" t="str">
        <f t="shared" si="27"/>
        <v>att_organ:bone_marrow</v>
      </c>
      <c r="K272" s="7" t="s">
        <v>17</v>
      </c>
      <c r="L272" s="4" t="s">
        <v>1988</v>
      </c>
      <c r="M272" s="4" t="s">
        <v>13</v>
      </c>
      <c r="N272" s="4" t="str">
        <f t="shared" si="28"/>
        <v>INSERT INTO attributes (parent_id, tag, name, priority, allow_as_filter, allow_for_dataset, allow_for_measurement, allow_for_users, allow_for_qc) VALUES (NULL, 'att_organ',  'Organ',  500,  TRUE, TRUE, TRUE, FALSE, FALSE);</v>
      </c>
      <c r="O272" s="4" t="str">
        <f t="shared" si="29"/>
        <v xml:space="preserve">INSERT INTO attribute_values (attribute_id, tag, name, details) VALUES ((SELECT id FROM attributes WHERE tag = 'att_organ' LIMIT 1),  'att_organ:bone_marrow',  'Bone_Marrow',  'Bone_Marrow'); </v>
      </c>
    </row>
    <row r="273" spans="1:15">
      <c r="A273" s="8" t="b">
        <f>FALSE()</f>
        <v>0</v>
      </c>
      <c r="B273" s="8"/>
      <c r="C273" s="4" t="s">
        <v>1989</v>
      </c>
      <c r="D273" s="4" t="s">
        <v>1990</v>
      </c>
      <c r="E273" s="4" t="s">
        <v>13</v>
      </c>
      <c r="F273" s="4" t="s">
        <v>138</v>
      </c>
      <c r="G273" s="4" t="s">
        <v>2529</v>
      </c>
      <c r="H273" s="4" t="str">
        <f t="shared" si="26"/>
        <v>att_organ</v>
      </c>
      <c r="I273" s="4" t="s">
        <v>1989</v>
      </c>
      <c r="J273" s="4" t="str">
        <f t="shared" si="27"/>
        <v>att_organ:brain</v>
      </c>
      <c r="K273" s="7" t="s">
        <v>17</v>
      </c>
      <c r="L273" s="4" t="s">
        <v>1990</v>
      </c>
      <c r="M273" s="4" t="s">
        <v>13</v>
      </c>
      <c r="N273" s="4" t="str">
        <f t="shared" si="28"/>
        <v>INSERT INTO attributes (parent_id, tag, name, priority, allow_as_filter, allow_for_dataset, allow_for_measurement, allow_for_users, allow_for_qc) VALUES (NULL, 'att_organ',  'Organ',  500,  TRUE, TRUE, TRUE, FALSE, FALSE);</v>
      </c>
      <c r="O273" s="4" t="str">
        <f t="shared" si="29"/>
        <v xml:space="preserve">INSERT INTO attribute_values (attribute_id, tag, name, details) VALUES ((SELECT id FROM attributes WHERE tag = 'att_organ' LIMIT 1),  'att_organ:brain',  'Brain',  'Brain'); </v>
      </c>
    </row>
    <row r="274" spans="1:15">
      <c r="A274" s="8" t="b">
        <f>FALSE()</f>
        <v>0</v>
      </c>
      <c r="B274" s="8"/>
      <c r="C274" s="4" t="s">
        <v>1991</v>
      </c>
      <c r="D274" s="4" t="s">
        <v>1992</v>
      </c>
      <c r="E274" s="4" t="s">
        <v>13</v>
      </c>
      <c r="F274" s="4" t="s">
        <v>138</v>
      </c>
      <c r="G274" s="4" t="s">
        <v>2529</v>
      </c>
      <c r="H274" s="4" t="str">
        <f t="shared" si="26"/>
        <v>att_organ</v>
      </c>
      <c r="I274" s="4" t="s">
        <v>1991</v>
      </c>
      <c r="J274" s="4" t="str">
        <f t="shared" si="27"/>
        <v>att_organ:bronchi</v>
      </c>
      <c r="K274" s="7" t="s">
        <v>17</v>
      </c>
      <c r="L274" s="4" t="s">
        <v>1992</v>
      </c>
      <c r="M274" s="4" t="s">
        <v>13</v>
      </c>
      <c r="N274" s="4" t="str">
        <f t="shared" si="28"/>
        <v>INSERT INTO attributes (parent_id, tag, name, priority, allow_as_filter, allow_for_dataset, allow_for_measurement, allow_for_users, allow_for_qc) VALUES (NULL, 'att_organ',  'Organ',  500,  TRUE, TRUE, TRUE, FALSE, FALSE);</v>
      </c>
      <c r="O274" s="4" t="str">
        <f t="shared" si="29"/>
        <v xml:space="preserve">INSERT INTO attribute_values (attribute_id, tag, name, details) VALUES ((SELECT id FROM attributes WHERE tag = 'att_organ' LIMIT 1),  'att_organ:bronchi',  'Bronchi',  'Bronchi'); </v>
      </c>
    </row>
    <row r="275" spans="1:15">
      <c r="A275" s="8" t="b">
        <f>FALSE()</f>
        <v>0</v>
      </c>
      <c r="B275" s="8"/>
      <c r="C275" s="4" t="s">
        <v>1993</v>
      </c>
      <c r="D275" s="4" t="s">
        <v>1994</v>
      </c>
      <c r="E275" s="4" t="s">
        <v>13</v>
      </c>
      <c r="F275" s="4" t="s">
        <v>138</v>
      </c>
      <c r="G275" s="4" t="s">
        <v>2529</v>
      </c>
      <c r="H275" s="4" t="str">
        <f t="shared" si="26"/>
        <v>att_organ</v>
      </c>
      <c r="I275" s="4" t="s">
        <v>1993</v>
      </c>
      <c r="J275" s="4" t="str">
        <f t="shared" si="27"/>
        <v>att_organ:cecum</v>
      </c>
      <c r="K275" s="7" t="s">
        <v>17</v>
      </c>
      <c r="L275" s="4" t="s">
        <v>1994</v>
      </c>
      <c r="M275" s="4" t="s">
        <v>13</v>
      </c>
      <c r="N275" s="4" t="str">
        <f t="shared" si="28"/>
        <v>INSERT INTO attributes (parent_id, tag, name, priority, allow_as_filter, allow_for_dataset, allow_for_measurement, allow_for_users, allow_for_qc) VALUES (NULL, 'att_organ',  'Organ',  500,  TRUE, TRUE, TRUE, FALSE, FALSE);</v>
      </c>
      <c r="O275" s="4" t="str">
        <f t="shared" si="29"/>
        <v xml:space="preserve">INSERT INTO attribute_values (attribute_id, tag, name, details) VALUES ((SELECT id FROM attributes WHERE tag = 'att_organ' LIMIT 1),  'att_organ:cecum',  'Cecum',  'Cecum'); </v>
      </c>
    </row>
    <row r="276" spans="1:15">
      <c r="A276" s="8" t="b">
        <f>FALSE()</f>
        <v>0</v>
      </c>
      <c r="B276" s="8"/>
      <c r="C276" s="4" t="s">
        <v>1995</v>
      </c>
      <c r="D276" s="4" t="s">
        <v>1996</v>
      </c>
      <c r="E276" s="4" t="s">
        <v>13</v>
      </c>
      <c r="F276" s="4" t="s">
        <v>138</v>
      </c>
      <c r="G276" s="4" t="s">
        <v>2529</v>
      </c>
      <c r="H276" s="4" t="str">
        <f t="shared" si="26"/>
        <v>att_organ</v>
      </c>
      <c r="I276" s="4" t="s">
        <v>1995</v>
      </c>
      <c r="J276" s="4" t="str">
        <f t="shared" si="27"/>
        <v>att_organ:cerebellum</v>
      </c>
      <c r="K276" s="7" t="s">
        <v>17</v>
      </c>
      <c r="L276" s="4" t="s">
        <v>1996</v>
      </c>
      <c r="M276" s="4" t="s">
        <v>13</v>
      </c>
      <c r="N276" s="4" t="str">
        <f t="shared" si="28"/>
        <v>INSERT INTO attributes (parent_id, tag, name, priority, allow_as_filter, allow_for_dataset, allow_for_measurement, allow_for_users, allow_for_qc) VALUES (NULL, 'att_organ',  'Organ',  500,  TRUE, TRUE, TRUE, FALSE, FALSE);</v>
      </c>
      <c r="O276" s="4" t="str">
        <f t="shared" si="29"/>
        <v xml:space="preserve">INSERT INTO attribute_values (attribute_id, tag, name, details) VALUES ((SELECT id FROM attributes WHERE tag = 'att_organ' LIMIT 1),  'att_organ:cerebellum',  'Cerebellum',  'Cerebellum'); </v>
      </c>
    </row>
    <row r="277" spans="1:15">
      <c r="A277" s="8" t="b">
        <f>FALSE()</f>
        <v>0</v>
      </c>
      <c r="B277" s="8"/>
      <c r="C277" s="4" t="s">
        <v>1997</v>
      </c>
      <c r="D277" s="4" t="s">
        <v>1998</v>
      </c>
      <c r="E277" s="4" t="s">
        <v>13</v>
      </c>
      <c r="F277" s="4" t="s">
        <v>138</v>
      </c>
      <c r="G277" s="4" t="s">
        <v>2529</v>
      </c>
      <c r="H277" s="4" t="str">
        <f t="shared" si="26"/>
        <v>att_organ</v>
      </c>
      <c r="I277" s="4" t="s">
        <v>1997</v>
      </c>
      <c r="J277" s="4" t="str">
        <f t="shared" si="27"/>
        <v>att_organ:cerebrum</v>
      </c>
      <c r="K277" s="7" t="s">
        <v>17</v>
      </c>
      <c r="L277" s="4" t="s">
        <v>1998</v>
      </c>
      <c r="M277" s="4" t="s">
        <v>13</v>
      </c>
      <c r="N277" s="4" t="str">
        <f t="shared" si="28"/>
        <v>INSERT INTO attributes (parent_id, tag, name, priority, allow_as_filter, allow_for_dataset, allow_for_measurement, allow_for_users, allow_for_qc) VALUES (NULL, 'att_organ',  'Organ',  500,  TRUE, TRUE, TRUE, FALSE, FALSE);</v>
      </c>
      <c r="O277" s="4" t="str">
        <f t="shared" si="29"/>
        <v xml:space="preserve">INSERT INTO attribute_values (attribute_id, tag, name, details) VALUES ((SELECT id FROM attributes WHERE tag = 'att_organ' LIMIT 1),  'att_organ:cerebrum',  'Cerebrum',  'Cerebrum'); </v>
      </c>
    </row>
    <row r="278" spans="1:15">
      <c r="A278" s="8" t="b">
        <f>FALSE()</f>
        <v>0</v>
      </c>
      <c r="B278" s="8"/>
      <c r="C278" s="4" t="s">
        <v>1999</v>
      </c>
      <c r="D278" s="4" t="s">
        <v>2000</v>
      </c>
      <c r="E278" s="4" t="s">
        <v>13</v>
      </c>
      <c r="F278" s="4" t="s">
        <v>138</v>
      </c>
      <c r="G278" s="4" t="s">
        <v>2529</v>
      </c>
      <c r="H278" s="4" t="str">
        <f t="shared" si="26"/>
        <v>att_organ</v>
      </c>
      <c r="I278" s="4" t="s">
        <v>1999</v>
      </c>
      <c r="J278" s="4" t="str">
        <f t="shared" si="27"/>
        <v>att_organ:ear</v>
      </c>
      <c r="K278" s="7" t="s">
        <v>17</v>
      </c>
      <c r="L278" s="4" t="s">
        <v>2000</v>
      </c>
      <c r="M278" s="4" t="s">
        <v>13</v>
      </c>
      <c r="N278" s="4" t="str">
        <f t="shared" si="28"/>
        <v>INSERT INTO attributes (parent_id, tag, name, priority, allow_as_filter, allow_for_dataset, allow_for_measurement, allow_for_users, allow_for_qc) VALUES (NULL, 'att_organ',  'Organ',  500,  TRUE, TRUE, TRUE, FALSE, FALSE);</v>
      </c>
      <c r="O278" s="4" t="str">
        <f t="shared" si="29"/>
        <v xml:space="preserve">INSERT INTO attribute_values (attribute_id, tag, name, details) VALUES ((SELECT id FROM attributes WHERE tag = 'att_organ' LIMIT 1),  'att_organ:ear',  'Ear',  'Ear'); </v>
      </c>
    </row>
    <row r="279" spans="1:15">
      <c r="A279" s="8" t="b">
        <f>FALSE()</f>
        <v>0</v>
      </c>
      <c r="B279" s="8"/>
      <c r="C279" s="4" t="s">
        <v>2001</v>
      </c>
      <c r="D279" s="4" t="s">
        <v>2002</v>
      </c>
      <c r="E279" s="4" t="s">
        <v>13</v>
      </c>
      <c r="F279" s="4" t="s">
        <v>138</v>
      </c>
      <c r="G279" s="4" t="s">
        <v>2529</v>
      </c>
      <c r="H279" s="4" t="str">
        <f t="shared" si="26"/>
        <v>att_organ</v>
      </c>
      <c r="I279" s="4" t="s">
        <v>2001</v>
      </c>
      <c r="J279" s="4" t="str">
        <f t="shared" si="27"/>
        <v>att_organ:esophagus</v>
      </c>
      <c r="K279" s="7" t="s">
        <v>17</v>
      </c>
      <c r="L279" s="4" t="s">
        <v>2002</v>
      </c>
      <c r="M279" s="4" t="s">
        <v>13</v>
      </c>
      <c r="N279" s="4" t="str">
        <f t="shared" si="28"/>
        <v>INSERT INTO attributes (parent_id, tag, name, priority, allow_as_filter, allow_for_dataset, allow_for_measurement, allow_for_users, allow_for_qc) VALUES (NULL, 'att_organ',  'Organ',  500,  TRUE, TRUE, TRUE, FALSE, FALSE);</v>
      </c>
      <c r="O279" s="4" t="str">
        <f t="shared" si="29"/>
        <v xml:space="preserve">INSERT INTO attribute_values (attribute_id, tag, name, details) VALUES ((SELECT id FROM attributes WHERE tag = 'att_organ' LIMIT 1),  'att_organ:esophagus',  'Esophagus',  'Esophagus'); </v>
      </c>
    </row>
    <row r="280" spans="1:15">
      <c r="A280" s="8" t="b">
        <f>FALSE()</f>
        <v>0</v>
      </c>
      <c r="B280" s="8"/>
      <c r="C280" s="4" t="s">
        <v>2003</v>
      </c>
      <c r="D280" s="4" t="s">
        <v>2004</v>
      </c>
      <c r="E280" s="4" t="s">
        <v>13</v>
      </c>
      <c r="F280" s="4" t="s">
        <v>138</v>
      </c>
      <c r="G280" s="4" t="s">
        <v>2529</v>
      </c>
      <c r="H280" s="4" t="str">
        <f t="shared" si="26"/>
        <v>att_organ</v>
      </c>
      <c r="I280" s="4" t="s">
        <v>2003</v>
      </c>
      <c r="J280" s="4" t="str">
        <f t="shared" si="27"/>
        <v>att_organ:eye</v>
      </c>
      <c r="K280" s="7" t="s">
        <v>17</v>
      </c>
      <c r="L280" s="4" t="s">
        <v>2004</v>
      </c>
      <c r="M280" s="4" t="s">
        <v>13</v>
      </c>
      <c r="N280" s="4" t="str">
        <f t="shared" si="28"/>
        <v>INSERT INTO attributes (parent_id, tag, name, priority, allow_as_filter, allow_for_dataset, allow_for_measurement, allow_for_users, allow_for_qc) VALUES (NULL, 'att_organ',  'Organ',  500,  TRUE, TRUE, TRUE, FALSE, FALSE);</v>
      </c>
      <c r="O280" s="4" t="str">
        <f t="shared" si="29"/>
        <v xml:space="preserve">INSERT INTO attribute_values (attribute_id, tag, name, details) VALUES ((SELECT id FROM attributes WHERE tag = 'att_organ' LIMIT 1),  'att_organ:eye',  'Eye',  'Eye'); </v>
      </c>
    </row>
    <row r="281" spans="1:15">
      <c r="A281" s="8" t="b">
        <f>FALSE()</f>
        <v>0</v>
      </c>
      <c r="B281" s="8"/>
      <c r="C281" s="4" t="s">
        <v>2005</v>
      </c>
      <c r="D281" s="4" t="s">
        <v>2006</v>
      </c>
      <c r="E281" s="4" t="s">
        <v>13</v>
      </c>
      <c r="F281" s="4" t="s">
        <v>138</v>
      </c>
      <c r="G281" s="4" t="s">
        <v>2529</v>
      </c>
      <c r="H281" s="4" t="str">
        <f t="shared" si="26"/>
        <v>att_organ</v>
      </c>
      <c r="I281" s="4" t="s">
        <v>2005</v>
      </c>
      <c r="J281" s="4" t="str">
        <f t="shared" si="27"/>
        <v>att_organ:gallbladder</v>
      </c>
      <c r="K281" s="7" t="s">
        <v>17</v>
      </c>
      <c r="L281" s="4" t="s">
        <v>2006</v>
      </c>
      <c r="M281" s="4" t="s">
        <v>13</v>
      </c>
      <c r="N281" s="4" t="str">
        <f t="shared" si="28"/>
        <v>INSERT INTO attributes (parent_id, tag, name, priority, allow_as_filter, allow_for_dataset, allow_for_measurement, allow_for_users, allow_for_qc) VALUES (NULL, 'att_organ',  'Organ',  500,  TRUE, TRUE, TRUE, FALSE, FALSE);</v>
      </c>
      <c r="O281" s="4" t="str">
        <f t="shared" si="29"/>
        <v xml:space="preserve">INSERT INTO attribute_values (attribute_id, tag, name, details) VALUES ((SELECT id FROM attributes WHERE tag = 'att_organ' LIMIT 1),  'att_organ:gallbladder',  'Gallbladder',  'Gallbladder'); </v>
      </c>
    </row>
    <row r="282" spans="1:15">
      <c r="A282" s="8" t="b">
        <f>FALSE()</f>
        <v>0</v>
      </c>
      <c r="B282" s="8"/>
      <c r="C282" s="4" t="s">
        <v>2007</v>
      </c>
      <c r="D282" s="4" t="s">
        <v>2008</v>
      </c>
      <c r="E282" s="4" t="s">
        <v>13</v>
      </c>
      <c r="F282" s="4" t="s">
        <v>138</v>
      </c>
      <c r="G282" s="4" t="s">
        <v>2529</v>
      </c>
      <c r="H282" s="4" t="str">
        <f t="shared" si="26"/>
        <v>att_organ</v>
      </c>
      <c r="I282" s="4" t="s">
        <v>2007</v>
      </c>
      <c r="J282" s="4" t="str">
        <f t="shared" si="27"/>
        <v>att_organ:ganglia</v>
      </c>
      <c r="K282" s="7" t="s">
        <v>17</v>
      </c>
      <c r="L282" s="4" t="s">
        <v>2008</v>
      </c>
      <c r="M282" s="4" t="s">
        <v>13</v>
      </c>
      <c r="N282" s="4" t="str">
        <f t="shared" si="28"/>
        <v>INSERT INTO attributes (parent_id, tag, name, priority, allow_as_filter, allow_for_dataset, allow_for_measurement, allow_for_users, allow_for_qc) VALUES (NULL, 'att_organ',  'Organ',  500,  TRUE, TRUE, TRUE, FALSE, FALSE);</v>
      </c>
      <c r="O282" s="4" t="str">
        <f t="shared" si="29"/>
        <v xml:space="preserve">INSERT INTO attribute_values (attribute_id, tag, name, details) VALUES ((SELECT id FROM attributes WHERE tag = 'att_organ' LIMIT 1),  'att_organ:ganglia',  'Ganglia',  'Ganglia'); </v>
      </c>
    </row>
    <row r="283" spans="1:15">
      <c r="A283" s="8" t="b">
        <f>FALSE()</f>
        <v>0</v>
      </c>
      <c r="B283" s="8"/>
      <c r="C283" s="4" t="s">
        <v>2009</v>
      </c>
      <c r="D283" s="4" t="s">
        <v>2010</v>
      </c>
      <c r="E283" s="4" t="s">
        <v>13</v>
      </c>
      <c r="F283" s="4" t="s">
        <v>138</v>
      </c>
      <c r="G283" s="4" t="s">
        <v>2529</v>
      </c>
      <c r="H283" s="4" t="str">
        <f t="shared" si="26"/>
        <v>att_organ</v>
      </c>
      <c r="I283" s="4" t="s">
        <v>2009</v>
      </c>
      <c r="J283" s="4" t="str">
        <f t="shared" si="27"/>
        <v>att_organ:heart</v>
      </c>
      <c r="K283" s="7" t="s">
        <v>17</v>
      </c>
      <c r="L283" s="4" t="s">
        <v>2010</v>
      </c>
      <c r="M283" s="4" t="s">
        <v>13</v>
      </c>
      <c r="N283" s="4" t="str">
        <f t="shared" si="28"/>
        <v>INSERT INTO attributes (parent_id, tag, name, priority, allow_as_filter, allow_for_dataset, allow_for_measurement, allow_for_users, allow_for_qc) VALUES (NULL, 'att_organ',  'Organ',  500,  TRUE, TRUE, TRUE, FALSE, FALSE);</v>
      </c>
      <c r="O283" s="4" t="str">
        <f t="shared" si="29"/>
        <v xml:space="preserve">INSERT INTO attribute_values (attribute_id, tag, name, details) VALUES ((SELECT id FROM attributes WHERE tag = 'att_organ' LIMIT 1),  'att_organ:heart',  'Heart',  'Heart'); </v>
      </c>
    </row>
    <row r="284" spans="1:15">
      <c r="A284" s="8" t="b">
        <f>FALSE()</f>
        <v>0</v>
      </c>
      <c r="B284" s="8"/>
      <c r="C284" s="4" t="s">
        <v>2011</v>
      </c>
      <c r="D284" s="4" t="s">
        <v>2012</v>
      </c>
      <c r="E284" s="4" t="s">
        <v>13</v>
      </c>
      <c r="F284" s="4" t="s">
        <v>138</v>
      </c>
      <c r="G284" s="4" t="s">
        <v>2529</v>
      </c>
      <c r="H284" s="4" t="str">
        <f t="shared" si="26"/>
        <v>att_organ</v>
      </c>
      <c r="I284" s="4" t="s">
        <v>2011</v>
      </c>
      <c r="J284" s="4" t="str">
        <f t="shared" si="27"/>
        <v>att_organ:hypothalamus</v>
      </c>
      <c r="K284" s="7" t="s">
        <v>17</v>
      </c>
      <c r="L284" s="4" t="s">
        <v>2012</v>
      </c>
      <c r="M284" s="4" t="s">
        <v>13</v>
      </c>
      <c r="N284" s="4" t="str">
        <f t="shared" si="28"/>
        <v>INSERT INTO attributes (parent_id, tag, name, priority, allow_as_filter, allow_for_dataset, allow_for_measurement, allow_for_users, allow_for_qc) VALUES (NULL, 'att_organ',  'Organ',  500,  TRUE, TRUE, TRUE, FALSE, FALSE);</v>
      </c>
      <c r="O284" s="4" t="str">
        <f t="shared" si="29"/>
        <v xml:space="preserve">INSERT INTO attribute_values (attribute_id, tag, name, details) VALUES ((SELECT id FROM attributes WHERE tag = 'att_organ' LIMIT 1),  'att_organ:hypothalamus',  'Hypothalamus',  'Hypothalamus'); </v>
      </c>
    </row>
    <row r="285" spans="1:15">
      <c r="A285" s="8" t="b">
        <f>FALSE()</f>
        <v>0</v>
      </c>
      <c r="B285" s="8"/>
      <c r="C285" s="4" t="s">
        <v>2013</v>
      </c>
      <c r="D285" s="4" t="s">
        <v>2014</v>
      </c>
      <c r="E285" s="4" t="s">
        <v>13</v>
      </c>
      <c r="F285" s="4" t="s">
        <v>138</v>
      </c>
      <c r="G285" s="4" t="s">
        <v>2529</v>
      </c>
      <c r="H285" s="4" t="str">
        <f t="shared" si="26"/>
        <v>att_organ</v>
      </c>
      <c r="I285" s="4" t="s">
        <v>2013</v>
      </c>
      <c r="J285" s="4" t="str">
        <f t="shared" si="27"/>
        <v>att_organ:kidney</v>
      </c>
      <c r="K285" s="7" t="s">
        <v>17</v>
      </c>
      <c r="L285" s="4" t="s">
        <v>2014</v>
      </c>
      <c r="M285" s="4" t="s">
        <v>13</v>
      </c>
      <c r="N285" s="4" t="str">
        <f t="shared" si="28"/>
        <v>INSERT INTO attributes (parent_id, tag, name, priority, allow_as_filter, allow_for_dataset, allow_for_measurement, allow_for_users, allow_for_qc) VALUES (NULL, 'att_organ',  'Organ',  500,  TRUE, TRUE, TRUE, FALSE, FALSE);</v>
      </c>
      <c r="O285" s="4" t="str">
        <f t="shared" si="29"/>
        <v xml:space="preserve">INSERT INTO attribute_values (attribute_id, tag, name, details) VALUES ((SELECT id FROM attributes WHERE tag = 'att_organ' LIMIT 1),  'att_organ:kidney',  'Kidney',  'Kidney'); </v>
      </c>
    </row>
    <row r="286" spans="1:15">
      <c r="A286" s="8" t="b">
        <f>FALSE()</f>
        <v>0</v>
      </c>
      <c r="B286" s="8"/>
      <c r="C286" s="4" t="s">
        <v>2015</v>
      </c>
      <c r="D286" s="4" t="s">
        <v>2017</v>
      </c>
      <c r="E286" s="4" t="s">
        <v>13</v>
      </c>
      <c r="F286" s="4" t="s">
        <v>138</v>
      </c>
      <c r="G286" s="4" t="s">
        <v>2529</v>
      </c>
      <c r="H286" s="4" t="str">
        <f t="shared" si="26"/>
        <v>att_organ</v>
      </c>
      <c r="I286" s="4" t="s">
        <v>2015</v>
      </c>
      <c r="J286" s="4" t="str">
        <f t="shared" si="27"/>
        <v>att_organ:large_intestine</v>
      </c>
      <c r="K286" s="7" t="s">
        <v>17</v>
      </c>
      <c r="L286" s="4" t="s">
        <v>2018</v>
      </c>
      <c r="M286" s="4" t="s">
        <v>13</v>
      </c>
      <c r="N286" s="4" t="str">
        <f t="shared" si="28"/>
        <v>INSERT INTO attributes (parent_id, tag, name, priority, allow_as_filter, allow_for_dataset, allow_for_measurement, allow_for_users, allow_for_qc) VALUES (NULL, 'att_organ',  'Organ',  500,  TRUE, TRUE, TRUE, FALSE, FALSE);</v>
      </c>
      <c r="O286" s="4"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c r="A287" s="8" t="b">
        <f>FALSE()</f>
        <v>0</v>
      </c>
      <c r="B287" s="8"/>
      <c r="C287" s="4" t="s">
        <v>2019</v>
      </c>
      <c r="D287" s="4" t="s">
        <v>2020</v>
      </c>
      <c r="E287" s="4" t="s">
        <v>13</v>
      </c>
      <c r="F287" s="4" t="s">
        <v>138</v>
      </c>
      <c r="G287" s="4" t="s">
        <v>2529</v>
      </c>
      <c r="H287" s="4" t="str">
        <f t="shared" si="26"/>
        <v>att_organ</v>
      </c>
      <c r="I287" s="4" t="s">
        <v>2019</v>
      </c>
      <c r="J287" s="4" t="str">
        <f t="shared" si="27"/>
        <v>att_organ:liver</v>
      </c>
      <c r="K287" s="7" t="s">
        <v>17</v>
      </c>
      <c r="L287" s="4" t="s">
        <v>2020</v>
      </c>
      <c r="M287" s="4" t="s">
        <v>13</v>
      </c>
      <c r="N287" s="4" t="str">
        <f t="shared" si="28"/>
        <v>INSERT INTO attributes (parent_id, tag, name, priority, allow_as_filter, allow_for_dataset, allow_for_measurement, allow_for_users, allow_for_qc) VALUES (NULL, 'att_organ',  'Organ',  500,  TRUE, TRUE, TRUE, FALSE, FALSE);</v>
      </c>
      <c r="O287" s="4" t="str">
        <f t="shared" si="29"/>
        <v xml:space="preserve">INSERT INTO attribute_values (attribute_id, tag, name, details) VALUES ((SELECT id FROM attributes WHERE tag = 'att_organ' LIMIT 1),  'att_organ:liver',  'Liver',  'Liver'); </v>
      </c>
    </row>
    <row r="288" spans="1:15">
      <c r="A288" s="8" t="b">
        <f>FALSE()</f>
        <v>0</v>
      </c>
      <c r="B288" s="8"/>
      <c r="C288" s="4" t="s">
        <v>2021</v>
      </c>
      <c r="D288" s="4" t="s">
        <v>2022</v>
      </c>
      <c r="E288" s="4" t="s">
        <v>13</v>
      </c>
      <c r="F288" s="4" t="s">
        <v>138</v>
      </c>
      <c r="G288" s="4" t="s">
        <v>2529</v>
      </c>
      <c r="H288" s="4" t="str">
        <f t="shared" si="26"/>
        <v>att_organ</v>
      </c>
      <c r="I288" s="4" t="s">
        <v>2021</v>
      </c>
      <c r="J288" s="4" t="str">
        <f t="shared" si="27"/>
        <v>att_organ:lung</v>
      </c>
      <c r="K288" s="7" t="s">
        <v>17</v>
      </c>
      <c r="L288" s="4" t="s">
        <v>2022</v>
      </c>
      <c r="M288" s="4" t="s">
        <v>13</v>
      </c>
      <c r="N288" s="4" t="str">
        <f t="shared" si="28"/>
        <v>INSERT INTO attributes (parent_id, tag, name, priority, allow_as_filter, allow_for_dataset, allow_for_measurement, allow_for_users, allow_for_qc) VALUES (NULL, 'att_organ',  'Organ',  500,  TRUE, TRUE, TRUE, FALSE, FALSE);</v>
      </c>
      <c r="O288" s="4" t="str">
        <f t="shared" si="29"/>
        <v xml:space="preserve">INSERT INTO attribute_values (attribute_id, tag, name, details) VALUES ((SELECT id FROM attributes WHERE tag = 'att_organ' LIMIT 1),  'att_organ:lung',  'Lung',  'Lung'); </v>
      </c>
    </row>
    <row r="289" spans="1:15">
      <c r="A289" s="8" t="b">
        <f>FALSE()</f>
        <v>0</v>
      </c>
      <c r="B289" s="8"/>
      <c r="C289" s="4" t="s">
        <v>2023</v>
      </c>
      <c r="D289" s="4" t="s">
        <v>2024</v>
      </c>
      <c r="E289" s="4" t="s">
        <v>13</v>
      </c>
      <c r="F289" s="4" t="s">
        <v>138</v>
      </c>
      <c r="G289" s="4" t="s">
        <v>2529</v>
      </c>
      <c r="H289" s="4" t="str">
        <f t="shared" si="26"/>
        <v>att_organ</v>
      </c>
      <c r="I289" s="4" t="s">
        <v>2023</v>
      </c>
      <c r="J289" s="4" t="str">
        <f t="shared" si="27"/>
        <v>att_organ:lymph_node</v>
      </c>
      <c r="K289" s="7" t="s">
        <v>17</v>
      </c>
      <c r="L289" s="4" t="s">
        <v>2024</v>
      </c>
      <c r="M289" s="4" t="s">
        <v>13</v>
      </c>
      <c r="N289" s="4" t="str">
        <f t="shared" si="28"/>
        <v>INSERT INTO attributes (parent_id, tag, name, priority, allow_as_filter, allow_for_dataset, allow_for_measurement, allow_for_users, allow_for_qc) VALUES (NULL, 'att_organ',  'Organ',  500,  TRUE, TRUE, TRUE, FALSE, FALSE);</v>
      </c>
      <c r="O289" s="4" t="str">
        <f t="shared" si="29"/>
        <v xml:space="preserve">INSERT INTO attribute_values (attribute_id, tag, name, details) VALUES ((SELECT id FROM attributes WHERE tag = 'att_organ' LIMIT 1),  'att_organ:lymph_node',  'Lymph Node',  'Lymph Node'); </v>
      </c>
    </row>
    <row r="290" spans="1:15">
      <c r="A290" s="8" t="b">
        <f>FALSE()</f>
        <v>0</v>
      </c>
      <c r="B290" s="8"/>
      <c r="C290" s="4" t="s">
        <v>2025</v>
      </c>
      <c r="D290" s="4" t="s">
        <v>2026</v>
      </c>
      <c r="E290" s="4" t="s">
        <v>13</v>
      </c>
      <c r="F290" s="4" t="s">
        <v>138</v>
      </c>
      <c r="G290" s="4" t="s">
        <v>2529</v>
      </c>
      <c r="H290" s="4" t="str">
        <f t="shared" si="26"/>
        <v>att_organ</v>
      </c>
      <c r="I290" s="4" t="s">
        <v>2025</v>
      </c>
      <c r="J290" s="4" t="str">
        <f t="shared" si="27"/>
        <v>att_organ:medulla</v>
      </c>
      <c r="K290" s="7" t="s">
        <v>17</v>
      </c>
      <c r="L290" s="4" t="s">
        <v>2026</v>
      </c>
      <c r="M290" s="4" t="s">
        <v>13</v>
      </c>
      <c r="N290" s="4" t="str">
        <f t="shared" si="28"/>
        <v>INSERT INTO attributes (parent_id, tag, name, priority, allow_as_filter, allow_for_dataset, allow_for_measurement, allow_for_users, allow_for_qc) VALUES (NULL, 'att_organ',  'Organ',  500,  TRUE, TRUE, TRUE, FALSE, FALSE);</v>
      </c>
      <c r="O290" s="4" t="str">
        <f t="shared" si="29"/>
        <v xml:space="preserve">INSERT INTO attribute_values (attribute_id, tag, name, details) VALUES ((SELECT id FROM attributes WHERE tag = 'att_organ' LIMIT 1),  'att_organ:medulla',  'Medulla',  'Medulla'); </v>
      </c>
    </row>
    <row r="291" spans="1:15">
      <c r="A291" s="8" t="b">
        <f>FALSE()</f>
        <v>0</v>
      </c>
      <c r="B291" s="8"/>
      <c r="C291" s="4" t="s">
        <v>2027</v>
      </c>
      <c r="D291" s="4" t="s">
        <v>2028</v>
      </c>
      <c r="E291" s="4" t="s">
        <v>13</v>
      </c>
      <c r="F291" s="4" t="s">
        <v>138</v>
      </c>
      <c r="G291" s="4" t="s">
        <v>2529</v>
      </c>
      <c r="H291" s="4" t="str">
        <f t="shared" si="26"/>
        <v>att_organ</v>
      </c>
      <c r="I291" s="4" t="s">
        <v>2027</v>
      </c>
      <c r="J291" s="4" t="str">
        <f t="shared" si="27"/>
        <v>att_organ:mesentery</v>
      </c>
      <c r="K291" s="7" t="s">
        <v>17</v>
      </c>
      <c r="L291" s="4" t="s">
        <v>2028</v>
      </c>
      <c r="M291" s="4" t="s">
        <v>13</v>
      </c>
      <c r="N291" s="4" t="str">
        <f t="shared" si="28"/>
        <v>INSERT INTO attributes (parent_id, tag, name, priority, allow_as_filter, allow_for_dataset, allow_for_measurement, allow_for_users, allow_for_qc) VALUES (NULL, 'att_organ',  'Organ',  500,  TRUE, TRUE, TRUE, FALSE, FALSE);</v>
      </c>
      <c r="O291" s="4" t="str">
        <f t="shared" si="29"/>
        <v xml:space="preserve">INSERT INTO attribute_values (attribute_id, tag, name, details) VALUES ((SELECT id FROM attributes WHERE tag = 'att_organ' LIMIT 1),  'att_organ:mesentery',  'Mesentery',  'Mesentery'); </v>
      </c>
    </row>
    <row r="292" spans="1:15">
      <c r="A292" s="8" t="b">
        <f>FALSE()</f>
        <v>0</v>
      </c>
      <c r="B292" s="8"/>
      <c r="C292" s="4" t="s">
        <v>2029</v>
      </c>
      <c r="D292" s="4" t="s">
        <v>2030</v>
      </c>
      <c r="E292" s="4" t="s">
        <v>13</v>
      </c>
      <c r="F292" s="4" t="s">
        <v>138</v>
      </c>
      <c r="G292" s="4" t="s">
        <v>2529</v>
      </c>
      <c r="H292" s="4" t="str">
        <f t="shared" si="26"/>
        <v>att_organ</v>
      </c>
      <c r="I292" s="4" t="s">
        <v>2029</v>
      </c>
      <c r="J292" s="4" t="str">
        <f t="shared" si="27"/>
        <v>att_organ:midbrain</v>
      </c>
      <c r="K292" s="7" t="s">
        <v>17</v>
      </c>
      <c r="L292" s="4" t="s">
        <v>2030</v>
      </c>
      <c r="M292" s="4" t="s">
        <v>13</v>
      </c>
      <c r="N292" s="4" t="str">
        <f t="shared" si="28"/>
        <v>INSERT INTO attributes (parent_id, tag, name, priority, allow_as_filter, allow_for_dataset, allow_for_measurement, allow_for_users, allow_for_qc) VALUES (NULL, 'att_organ',  'Organ',  500,  TRUE, TRUE, TRUE, FALSE, FALSE);</v>
      </c>
      <c r="O292" s="4" t="str">
        <f t="shared" si="29"/>
        <v xml:space="preserve">INSERT INTO attribute_values (attribute_id, tag, name, details) VALUES ((SELECT id FROM attributes WHERE tag = 'att_organ' LIMIT 1),  'att_organ:midbrain',  'Midbrain',  'Midbrain'); </v>
      </c>
    </row>
    <row r="293" spans="1:15">
      <c r="A293" s="8" t="b">
        <f>FALSE()</f>
        <v>0</v>
      </c>
      <c r="B293" s="8"/>
      <c r="C293" s="4" t="s">
        <v>2031</v>
      </c>
      <c r="D293" s="4" t="s">
        <v>2032</v>
      </c>
      <c r="E293" s="4" t="s">
        <v>13</v>
      </c>
      <c r="F293" s="4" t="s">
        <v>138</v>
      </c>
      <c r="G293" s="4" t="s">
        <v>2529</v>
      </c>
      <c r="H293" s="4" t="str">
        <f t="shared" si="26"/>
        <v>att_organ</v>
      </c>
      <c r="I293" s="4" t="s">
        <v>2031</v>
      </c>
      <c r="J293" s="4" t="str">
        <f t="shared" si="27"/>
        <v>att_organ:ovaries</v>
      </c>
      <c r="K293" s="7" t="s">
        <v>17</v>
      </c>
      <c r="L293" s="4" t="s">
        <v>2032</v>
      </c>
      <c r="M293" s="4" t="s">
        <v>13</v>
      </c>
      <c r="N293" s="4" t="str">
        <f t="shared" si="28"/>
        <v>INSERT INTO attributes (parent_id, tag, name, priority, allow_as_filter, allow_for_dataset, allow_for_measurement, allow_for_users, allow_for_qc) VALUES (NULL, 'att_organ',  'Organ',  500,  TRUE, TRUE, TRUE, FALSE, FALSE);</v>
      </c>
      <c r="O293" s="4" t="str">
        <f t="shared" si="29"/>
        <v xml:space="preserve">INSERT INTO attribute_values (attribute_id, tag, name, details) VALUES ((SELECT id FROM attributes WHERE tag = 'att_organ' LIMIT 1),  'att_organ:ovaries',  'Ovaries',  'Ovaries'); </v>
      </c>
    </row>
    <row r="294" spans="1:15">
      <c r="A294" s="8" t="b">
        <f>FALSE()</f>
        <v>0</v>
      </c>
      <c r="B294" s="8"/>
      <c r="C294" s="4" t="s">
        <v>2033</v>
      </c>
      <c r="D294" s="4" t="s">
        <v>2034</v>
      </c>
      <c r="E294" s="4" t="s">
        <v>13</v>
      </c>
      <c r="F294" s="4" t="s">
        <v>138</v>
      </c>
      <c r="G294" s="4" t="s">
        <v>2529</v>
      </c>
      <c r="H294" s="4" t="str">
        <f t="shared" si="26"/>
        <v>att_organ</v>
      </c>
      <c r="I294" s="4" t="s">
        <v>2033</v>
      </c>
      <c r="J294" s="4" t="str">
        <f t="shared" si="27"/>
        <v>att_organ:pancreas</v>
      </c>
      <c r="K294" s="7" t="s">
        <v>17</v>
      </c>
      <c r="L294" s="4" t="s">
        <v>2034</v>
      </c>
      <c r="M294" s="4" t="s">
        <v>13</v>
      </c>
      <c r="N294" s="4" t="str">
        <f t="shared" si="28"/>
        <v>INSERT INTO attributes (parent_id, tag, name, priority, allow_as_filter, allow_for_dataset, allow_for_measurement, allow_for_users, allow_for_qc) VALUES (NULL, 'att_organ',  'Organ',  500,  TRUE, TRUE, TRUE, FALSE, FALSE);</v>
      </c>
      <c r="O294" s="4" t="str">
        <f t="shared" si="29"/>
        <v xml:space="preserve">INSERT INTO attribute_values (attribute_id, tag, name, details) VALUES ((SELECT id FROM attributes WHERE tag = 'att_organ' LIMIT 1),  'att_organ:pancreas',  'Pancreas',  'Pancreas'); </v>
      </c>
    </row>
    <row r="295" spans="1:15">
      <c r="A295" s="8" t="b">
        <f>FALSE()</f>
        <v>0</v>
      </c>
      <c r="B295" s="8"/>
      <c r="C295" s="4" t="s">
        <v>2035</v>
      </c>
      <c r="D295" s="4" t="s">
        <v>2036</v>
      </c>
      <c r="E295" s="4" t="s">
        <v>13</v>
      </c>
      <c r="F295" s="4" t="s">
        <v>138</v>
      </c>
      <c r="G295" s="4" t="s">
        <v>2529</v>
      </c>
      <c r="H295" s="4" t="str">
        <f t="shared" si="26"/>
        <v>att_organ</v>
      </c>
      <c r="I295" s="4" t="s">
        <v>2035</v>
      </c>
      <c r="J295" s="4" t="str">
        <f t="shared" si="27"/>
        <v>att_organ:pons</v>
      </c>
      <c r="K295" s="7" t="s">
        <v>17</v>
      </c>
      <c r="L295" s="4" t="s">
        <v>2036</v>
      </c>
      <c r="M295" s="4" t="s">
        <v>13</v>
      </c>
      <c r="N295" s="4" t="str">
        <f t="shared" si="28"/>
        <v>INSERT INTO attributes (parent_id, tag, name, priority, allow_as_filter, allow_for_dataset, allow_for_measurement, allow_for_users, allow_for_qc) VALUES (NULL, 'att_organ',  'Organ',  500,  TRUE, TRUE, TRUE, FALSE, FALSE);</v>
      </c>
      <c r="O295" s="4" t="str">
        <f t="shared" si="29"/>
        <v xml:space="preserve">INSERT INTO attribute_values (attribute_id, tag, name, details) VALUES ((SELECT id FROM attributes WHERE tag = 'att_organ' LIMIT 1),  'att_organ:pons',  'Pons',  'Pons'); </v>
      </c>
    </row>
    <row r="296" spans="1:15">
      <c r="A296" s="8" t="b">
        <f>FALSE()</f>
        <v>0</v>
      </c>
      <c r="B296" s="8"/>
      <c r="C296" s="4" t="s">
        <v>2037</v>
      </c>
      <c r="D296" s="4" t="s">
        <v>2038</v>
      </c>
      <c r="E296" s="4" t="s">
        <v>13</v>
      </c>
      <c r="F296" s="4" t="s">
        <v>138</v>
      </c>
      <c r="G296" s="4" t="s">
        <v>2529</v>
      </c>
      <c r="H296" s="4" t="str">
        <f t="shared" si="26"/>
        <v>att_organ</v>
      </c>
      <c r="I296" s="4" t="s">
        <v>2037</v>
      </c>
      <c r="J296" s="4" t="str">
        <f t="shared" si="27"/>
        <v>att_organ:prostate</v>
      </c>
      <c r="K296" s="7" t="s">
        <v>17</v>
      </c>
      <c r="L296" s="4" t="s">
        <v>2038</v>
      </c>
      <c r="M296" s="4" t="s">
        <v>13</v>
      </c>
      <c r="N296" s="4" t="str">
        <f t="shared" si="28"/>
        <v>INSERT INTO attributes (parent_id, tag, name, priority, allow_as_filter, allow_for_dataset, allow_for_measurement, allow_for_users, allow_for_qc) VALUES (NULL, 'att_organ',  'Organ',  500,  TRUE, TRUE, TRUE, FALSE, FALSE);</v>
      </c>
      <c r="O296" s="4" t="str">
        <f t="shared" si="29"/>
        <v xml:space="preserve">INSERT INTO attribute_values (attribute_id, tag, name, details) VALUES ((SELECT id FROM attributes WHERE tag = 'att_organ' LIMIT 1),  'att_organ:prostate',  'Prostate',  'Prostate'); </v>
      </c>
    </row>
    <row r="297" spans="1:15">
      <c r="A297" s="8" t="b">
        <f>FALSE()</f>
        <v>0</v>
      </c>
      <c r="B297" s="8"/>
      <c r="C297" s="4" t="s">
        <v>2039</v>
      </c>
      <c r="D297" s="4" t="s">
        <v>2040</v>
      </c>
      <c r="E297" s="4" t="s">
        <v>13</v>
      </c>
      <c r="F297" s="4" t="s">
        <v>138</v>
      </c>
      <c r="G297" s="4" t="s">
        <v>2529</v>
      </c>
      <c r="H297" s="4" t="str">
        <f t="shared" si="26"/>
        <v>att_organ</v>
      </c>
      <c r="I297" s="4" t="s">
        <v>2039</v>
      </c>
      <c r="J297" s="4" t="str">
        <f t="shared" si="27"/>
        <v>att_organ:rectum</v>
      </c>
      <c r="K297" s="7" t="s">
        <v>17</v>
      </c>
      <c r="L297" s="4" t="s">
        <v>2040</v>
      </c>
      <c r="M297" s="4" t="s">
        <v>13</v>
      </c>
      <c r="N297" s="4" t="str">
        <f t="shared" si="28"/>
        <v>INSERT INTO attributes (parent_id, tag, name, priority, allow_as_filter, allow_for_dataset, allow_for_measurement, allow_for_users, allow_for_qc) VALUES (NULL, 'att_organ',  'Organ',  500,  TRUE, TRUE, TRUE, FALSE, FALSE);</v>
      </c>
      <c r="O297" s="4" t="str">
        <f t="shared" si="29"/>
        <v xml:space="preserve">INSERT INTO attribute_values (attribute_id, tag, name, details) VALUES ((SELECT id FROM attributes WHERE tag = 'att_organ' LIMIT 1),  'att_organ:rectum',  'Rectum',  'Rectum'); </v>
      </c>
    </row>
    <row r="298" spans="1:15">
      <c r="A298" s="8" t="b">
        <f>FALSE()</f>
        <v>0</v>
      </c>
      <c r="B298" s="8"/>
      <c r="C298" s="4" t="s">
        <v>2042</v>
      </c>
      <c r="D298" s="4" t="s">
        <v>2043</v>
      </c>
      <c r="E298" s="4" t="s">
        <v>13</v>
      </c>
      <c r="F298" s="4" t="s">
        <v>138</v>
      </c>
      <c r="G298" s="4" t="s">
        <v>2529</v>
      </c>
      <c r="H298" s="4" t="str">
        <f t="shared" si="26"/>
        <v>att_organ</v>
      </c>
      <c r="I298" s="4" t="s">
        <v>2041</v>
      </c>
      <c r="J298" s="4" t="str">
        <f t="shared" si="27"/>
        <v>att_organ:small_intestine</v>
      </c>
      <c r="K298" s="7" t="s">
        <v>17</v>
      </c>
      <c r="L298" s="4" t="s">
        <v>2044</v>
      </c>
      <c r="M298" s="4" t="s">
        <v>13</v>
      </c>
      <c r="N298" s="4" t="str">
        <f t="shared" si="28"/>
        <v>INSERT INTO attributes (parent_id, tag, name, priority, allow_as_filter, allow_for_dataset, allow_for_measurement, allow_for_users, allow_for_qc) VALUES (NULL, 'att_organ',  'Organ',  500,  TRUE, TRUE, TRUE, FALSE, FALSE);</v>
      </c>
      <c r="O298" s="4" t="str">
        <f t="shared" si="29"/>
        <v xml:space="preserve">INSERT INTO attribute_values (attribute_id, tag, name, details) VALUES ((SELECT id FROM attributes WHERE tag = 'att_organ' LIMIT 1),  'att_organ:small_intestine',  'Small Intestine',  'Small Intestine; Between the Stomach and the Colon'); </v>
      </c>
    </row>
    <row r="299" spans="1:15">
      <c r="A299" s="8" t="b">
        <f>FALSE()</f>
        <v>0</v>
      </c>
      <c r="B299" s="8"/>
      <c r="C299" s="4" t="s">
        <v>2045</v>
      </c>
      <c r="D299" s="4" t="s">
        <v>2046</v>
      </c>
      <c r="E299" s="4" t="s">
        <v>13</v>
      </c>
      <c r="F299" s="4" t="s">
        <v>138</v>
      </c>
      <c r="G299" s="4" t="s">
        <v>2529</v>
      </c>
      <c r="H299" s="4" t="str">
        <f t="shared" si="26"/>
        <v>att_organ</v>
      </c>
      <c r="I299" s="4" t="s">
        <v>2045</v>
      </c>
      <c r="J299" s="4" t="str">
        <f t="shared" si="27"/>
        <v>att_organ:spinal_cord</v>
      </c>
      <c r="K299" s="7" t="s">
        <v>17</v>
      </c>
      <c r="L299" s="4" t="s">
        <v>2047</v>
      </c>
      <c r="M299" s="4" t="s">
        <v>13</v>
      </c>
      <c r="N299" s="4" t="str">
        <f t="shared" si="28"/>
        <v>INSERT INTO attributes (parent_id, tag, name, priority, allow_as_filter, allow_for_dataset, allow_for_measurement, allow_for_users, allow_for_qc) VALUES (NULL, 'att_organ',  'Organ',  500,  TRUE, TRUE, TRUE, FALSE, FALSE);</v>
      </c>
      <c r="O299" s="4" t="str">
        <f t="shared" si="29"/>
        <v xml:space="preserve">INSERT INTO attribute_values (attribute_id, tag, name, details) VALUES ((SELECT id FROM attributes WHERE tag = 'att_organ' LIMIT 1),  'att_organ:spinal_cord',  'Spinal Cord',  'Spinal_Cord'); </v>
      </c>
    </row>
    <row r="300" spans="1:15">
      <c r="A300" s="8" t="b">
        <f>FALSE()</f>
        <v>0</v>
      </c>
      <c r="B300" s="8"/>
      <c r="C300" s="4" t="s">
        <v>2048</v>
      </c>
      <c r="D300" s="4" t="s">
        <v>2049</v>
      </c>
      <c r="E300" s="4" t="s">
        <v>13</v>
      </c>
      <c r="F300" s="4" t="s">
        <v>138</v>
      </c>
      <c r="G300" s="4" t="s">
        <v>2529</v>
      </c>
      <c r="H300" s="4" t="str">
        <f t="shared" si="26"/>
        <v>att_organ</v>
      </c>
      <c r="I300" s="4" t="s">
        <v>2048</v>
      </c>
      <c r="J300" s="4" t="str">
        <f t="shared" si="27"/>
        <v>att_organ:spleen</v>
      </c>
      <c r="K300" s="7" t="s">
        <v>17</v>
      </c>
      <c r="L300" s="4" t="s">
        <v>2049</v>
      </c>
      <c r="M300" s="4" t="s">
        <v>13</v>
      </c>
      <c r="N300" s="4" t="str">
        <f t="shared" si="28"/>
        <v>INSERT INTO attributes (parent_id, tag, name, priority, allow_as_filter, allow_for_dataset, allow_for_measurement, allow_for_users, allow_for_qc) VALUES (NULL, 'att_organ',  'Organ',  500,  TRUE, TRUE, TRUE, FALSE, FALSE);</v>
      </c>
      <c r="O300" s="4" t="str">
        <f t="shared" si="29"/>
        <v xml:space="preserve">INSERT INTO attribute_values (attribute_id, tag, name, details) VALUES ((SELECT id FROM attributes WHERE tag = 'att_organ' LIMIT 1),  'att_organ:spleen',  'Spleen',  'Spleen'); </v>
      </c>
    </row>
    <row r="301" spans="1:15">
      <c r="A301" s="8" t="b">
        <f>FALSE()</f>
        <v>0</v>
      </c>
      <c r="B301" s="8"/>
      <c r="C301" s="4" t="s">
        <v>2050</v>
      </c>
      <c r="D301" s="4" t="s">
        <v>2051</v>
      </c>
      <c r="E301" s="4" t="s">
        <v>13</v>
      </c>
      <c r="F301" s="4" t="s">
        <v>138</v>
      </c>
      <c r="G301" s="4" t="s">
        <v>2529</v>
      </c>
      <c r="H301" s="4" t="str">
        <f t="shared" ref="H301:H332" si="30">"att_"&amp;G301</f>
        <v>att_organ</v>
      </c>
      <c r="I301" s="4" t="s">
        <v>2050</v>
      </c>
      <c r="J301" s="4" t="str">
        <f t="shared" ref="J301:J332" si="31">H301&amp;":"&amp;I301</f>
        <v>att_organ:stomach</v>
      </c>
      <c r="K301" s="7" t="s">
        <v>17</v>
      </c>
      <c r="L301" s="4" t="s">
        <v>2051</v>
      </c>
      <c r="M301" s="4" t="s">
        <v>13</v>
      </c>
      <c r="N301" s="4"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4"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c r="A302" s="8" t="b">
        <f>FALSE()</f>
        <v>0</v>
      </c>
      <c r="B302" s="8"/>
      <c r="C302" s="4" t="s">
        <v>2052</v>
      </c>
      <c r="D302" s="4" t="s">
        <v>2053</v>
      </c>
      <c r="E302" s="4" t="s">
        <v>13</v>
      </c>
      <c r="F302" s="4" t="s">
        <v>138</v>
      </c>
      <c r="G302" s="4" t="s">
        <v>2529</v>
      </c>
      <c r="H302" s="4" t="str">
        <f t="shared" si="30"/>
        <v>att_organ</v>
      </c>
      <c r="I302" s="4" t="s">
        <v>2052</v>
      </c>
      <c r="J302" s="4" t="str">
        <f t="shared" si="31"/>
        <v>att_organ:testicles</v>
      </c>
      <c r="K302" s="7" t="s">
        <v>17</v>
      </c>
      <c r="L302" s="4" t="s">
        <v>2053</v>
      </c>
      <c r="M302" s="4" t="s">
        <v>13</v>
      </c>
      <c r="N302" s="4" t="str">
        <f t="shared" si="32"/>
        <v>INSERT INTO attributes (parent_id, tag, name, priority, allow_as_filter, allow_for_dataset, allow_for_measurement, allow_for_users, allow_for_qc) VALUES (NULL, 'att_organ',  'Organ',  500,  TRUE, TRUE, TRUE, FALSE, FALSE);</v>
      </c>
      <c r="O302" s="4" t="str">
        <f t="shared" si="33"/>
        <v xml:space="preserve">INSERT INTO attribute_values (attribute_id, tag, name, details) VALUES ((SELECT id FROM attributes WHERE tag = 'att_organ' LIMIT 1),  'att_organ:testicles',  'Testicles',  'Testicles'); </v>
      </c>
    </row>
    <row r="303" spans="1:15">
      <c r="A303" s="8" t="b">
        <f>FALSE()</f>
        <v>0</v>
      </c>
      <c r="B303" s="8"/>
      <c r="C303" s="4" t="s">
        <v>2054</v>
      </c>
      <c r="D303" s="4" t="s">
        <v>2055</v>
      </c>
      <c r="E303" s="4" t="s">
        <v>13</v>
      </c>
      <c r="F303" s="4" t="s">
        <v>138</v>
      </c>
      <c r="G303" s="4" t="s">
        <v>2529</v>
      </c>
      <c r="H303" s="4" t="str">
        <f t="shared" si="30"/>
        <v>att_organ</v>
      </c>
      <c r="I303" s="4" t="s">
        <v>2054</v>
      </c>
      <c r="J303" s="4" t="str">
        <f t="shared" si="31"/>
        <v>att_organ:thalamus</v>
      </c>
      <c r="K303" s="7" t="s">
        <v>17</v>
      </c>
      <c r="L303" s="4" t="s">
        <v>2055</v>
      </c>
      <c r="M303" s="4" t="s">
        <v>13</v>
      </c>
      <c r="N303" s="4" t="str">
        <f t="shared" si="32"/>
        <v>INSERT INTO attributes (parent_id, tag, name, priority, allow_as_filter, allow_for_dataset, allow_for_measurement, allow_for_users, allow_for_qc) VALUES (NULL, 'att_organ',  'Organ',  500,  TRUE, TRUE, TRUE, FALSE, FALSE);</v>
      </c>
      <c r="O303" s="4" t="str">
        <f t="shared" si="33"/>
        <v xml:space="preserve">INSERT INTO attribute_values (attribute_id, tag, name, details) VALUES ((SELECT id FROM attributes WHERE tag = 'att_organ' LIMIT 1),  'att_organ:thalamus',  'Thalamus',  'Thalamus'); </v>
      </c>
    </row>
    <row r="304" spans="1:15">
      <c r="A304" s="8" t="b">
        <f>FALSE()</f>
        <v>0</v>
      </c>
      <c r="B304" s="8"/>
      <c r="C304" s="4" t="s">
        <v>2056</v>
      </c>
      <c r="D304" s="4" t="s">
        <v>2057</v>
      </c>
      <c r="E304" s="4" t="s">
        <v>13</v>
      </c>
      <c r="F304" s="4" t="s">
        <v>138</v>
      </c>
      <c r="G304" s="4" t="s">
        <v>2529</v>
      </c>
      <c r="H304" s="4" t="str">
        <f t="shared" si="30"/>
        <v>att_organ</v>
      </c>
      <c r="I304" s="4" t="s">
        <v>2056</v>
      </c>
      <c r="J304" s="4" t="str">
        <f t="shared" si="31"/>
        <v>att_organ:thymus</v>
      </c>
      <c r="K304" s="7" t="s">
        <v>17</v>
      </c>
      <c r="L304" s="4" t="s">
        <v>2057</v>
      </c>
      <c r="M304" s="4" t="s">
        <v>13</v>
      </c>
      <c r="N304" s="4" t="str">
        <f t="shared" si="32"/>
        <v>INSERT INTO attributes (parent_id, tag, name, priority, allow_as_filter, allow_for_dataset, allow_for_measurement, allow_for_users, allow_for_qc) VALUES (NULL, 'att_organ',  'Organ',  500,  TRUE, TRUE, TRUE, FALSE, FALSE);</v>
      </c>
      <c r="O304" s="4" t="str">
        <f t="shared" si="33"/>
        <v xml:space="preserve">INSERT INTO attribute_values (attribute_id, tag, name, details) VALUES ((SELECT id FROM attributes WHERE tag = 'att_organ' LIMIT 1),  'att_organ:thymus',  'Thymus',  'Thymus'); </v>
      </c>
    </row>
    <row r="305" spans="1:15">
      <c r="A305" s="8" t="b">
        <f>FALSE()</f>
        <v>0</v>
      </c>
      <c r="B305" s="8"/>
      <c r="C305" s="4" t="s">
        <v>2058</v>
      </c>
      <c r="D305" s="4" t="s">
        <v>2059</v>
      </c>
      <c r="E305" s="4" t="s">
        <v>13</v>
      </c>
      <c r="F305" s="4" t="s">
        <v>138</v>
      </c>
      <c r="G305" s="4" t="s">
        <v>2529</v>
      </c>
      <c r="H305" s="4" t="str">
        <f t="shared" si="30"/>
        <v>att_organ</v>
      </c>
      <c r="I305" s="4" t="s">
        <v>2058</v>
      </c>
      <c r="J305" s="4" t="str">
        <f t="shared" si="31"/>
        <v>att_organ:tongue</v>
      </c>
      <c r="K305" s="7" t="s">
        <v>17</v>
      </c>
      <c r="L305" s="4" t="s">
        <v>2059</v>
      </c>
      <c r="M305" s="4" t="s">
        <v>13</v>
      </c>
      <c r="N305" s="4" t="str">
        <f t="shared" si="32"/>
        <v>INSERT INTO attributes (parent_id, tag, name, priority, allow_as_filter, allow_for_dataset, allow_for_measurement, allow_for_users, allow_for_qc) VALUES (NULL, 'att_organ',  'Organ',  500,  TRUE, TRUE, TRUE, FALSE, FALSE);</v>
      </c>
      <c r="O305" s="4" t="str">
        <f t="shared" si="33"/>
        <v xml:space="preserve">INSERT INTO attribute_values (attribute_id, tag, name, details) VALUES ((SELECT id FROM attributes WHERE tag = 'att_organ' LIMIT 1),  'att_organ:tongue',  'Tongue',  'Tongue'); </v>
      </c>
    </row>
    <row r="306" spans="1:15">
      <c r="A306" s="8" t="b">
        <f>FALSE()</f>
        <v>0</v>
      </c>
      <c r="B306" s="8"/>
      <c r="C306" s="4" t="s">
        <v>2060</v>
      </c>
      <c r="D306" s="4" t="s">
        <v>2061</v>
      </c>
      <c r="E306" s="4" t="s">
        <v>13</v>
      </c>
      <c r="F306" s="4" t="s">
        <v>138</v>
      </c>
      <c r="G306" s="4" t="s">
        <v>2529</v>
      </c>
      <c r="H306" s="4" t="str">
        <f t="shared" si="30"/>
        <v>att_organ</v>
      </c>
      <c r="I306" s="4" t="s">
        <v>2060</v>
      </c>
      <c r="J306" s="4" t="str">
        <f t="shared" si="31"/>
        <v>att_organ:tonsils</v>
      </c>
      <c r="K306" s="7" t="s">
        <v>17</v>
      </c>
      <c r="L306" s="4" t="s">
        <v>2061</v>
      </c>
      <c r="M306" s="4" t="s">
        <v>13</v>
      </c>
      <c r="N306" s="4" t="str">
        <f t="shared" si="32"/>
        <v>INSERT INTO attributes (parent_id, tag, name, priority, allow_as_filter, allow_for_dataset, allow_for_measurement, allow_for_users, allow_for_qc) VALUES (NULL, 'att_organ',  'Organ',  500,  TRUE, TRUE, TRUE, FALSE, FALSE);</v>
      </c>
      <c r="O306" s="4" t="str">
        <f t="shared" si="33"/>
        <v xml:space="preserve">INSERT INTO attribute_values (attribute_id, tag, name, details) VALUES ((SELECT id FROM attributes WHERE tag = 'att_organ' LIMIT 1),  'att_organ:tonsils',  'Tonsils',  'Tonsils'); </v>
      </c>
    </row>
    <row r="307" spans="1:15">
      <c r="A307" s="8" t="b">
        <f>FALSE()</f>
        <v>0</v>
      </c>
      <c r="B307" s="8"/>
      <c r="C307" s="4" t="s">
        <v>2062</v>
      </c>
      <c r="D307" s="4" t="s">
        <v>2063</v>
      </c>
      <c r="E307" s="4" t="s">
        <v>13</v>
      </c>
      <c r="F307" s="4" t="s">
        <v>138</v>
      </c>
      <c r="G307" s="4" t="s">
        <v>2529</v>
      </c>
      <c r="H307" s="4" t="str">
        <f t="shared" si="30"/>
        <v>att_organ</v>
      </c>
      <c r="I307" s="4" t="s">
        <v>2062</v>
      </c>
      <c r="J307" s="4" t="str">
        <f t="shared" si="31"/>
        <v>att_organ:uterus</v>
      </c>
      <c r="K307" s="7" t="s">
        <v>17</v>
      </c>
      <c r="L307" s="4" t="s">
        <v>2063</v>
      </c>
      <c r="M307" s="4" t="s">
        <v>13</v>
      </c>
      <c r="N307" s="4" t="str">
        <f t="shared" si="32"/>
        <v>INSERT INTO attributes (parent_id, tag, name, priority, allow_as_filter, allow_for_dataset, allow_for_measurement, allow_for_users, allow_for_qc) VALUES (NULL, 'att_organ',  'Organ',  500,  TRUE, TRUE, TRUE, FALSE, FALSE);</v>
      </c>
      <c r="O307" s="4" t="str">
        <f t="shared" si="33"/>
        <v xml:space="preserve">INSERT INTO attribute_values (attribute_id, tag, name, details) VALUES ((SELECT id FROM attributes WHERE tag = 'att_organ' LIMIT 1),  'att_organ:uterus',  'Uterus',  'Uterus'); </v>
      </c>
    </row>
    <row r="308" spans="1:15">
      <c r="A308" s="8" t="b">
        <f>FALSE()</f>
        <v>0</v>
      </c>
      <c r="B308" s="8"/>
      <c r="C308" s="4" t="s">
        <v>2064</v>
      </c>
      <c r="D308" s="4" t="s">
        <v>2065</v>
      </c>
      <c r="E308" s="4" t="s">
        <v>13</v>
      </c>
      <c r="F308" s="4" t="s">
        <v>138</v>
      </c>
      <c r="G308" s="4" t="s">
        <v>2529</v>
      </c>
      <c r="H308" s="4" t="str">
        <f t="shared" si="30"/>
        <v>att_organ</v>
      </c>
      <c r="I308" s="4" t="s">
        <v>2064</v>
      </c>
      <c r="J308" s="4" t="str">
        <f t="shared" si="31"/>
        <v>att_organ:veins</v>
      </c>
      <c r="K308" s="7" t="s">
        <v>17</v>
      </c>
      <c r="L308" s="4" t="s">
        <v>2065</v>
      </c>
      <c r="M308" s="4" t="s">
        <v>13</v>
      </c>
      <c r="N308" s="4" t="str">
        <f t="shared" si="32"/>
        <v>INSERT INTO attributes (parent_id, tag, name, priority, allow_as_filter, allow_for_dataset, allow_for_measurement, allow_for_users, allow_for_qc) VALUES (NULL, 'att_organ',  'Organ',  500,  TRUE, TRUE, TRUE, FALSE, FALSE);</v>
      </c>
      <c r="O308" s="4" t="str">
        <f t="shared" si="33"/>
        <v xml:space="preserve">INSERT INTO attribute_values (attribute_id, tag, name, details) VALUES ((SELECT id FROM attributes WHERE tag = 'att_organ' LIMIT 1),  'att_organ:veins',  'Veins',  'Veins'); </v>
      </c>
    </row>
    <row r="309" spans="1:15">
      <c r="A309" s="7" t="s">
        <v>17</v>
      </c>
      <c r="B309" s="8"/>
      <c r="C309" s="4" t="s">
        <v>2530</v>
      </c>
      <c r="D309" s="4" t="s">
        <v>2531</v>
      </c>
      <c r="E309" s="4" t="s">
        <v>13</v>
      </c>
      <c r="F309" s="4" t="s">
        <v>140</v>
      </c>
      <c r="G309" s="4" t="s">
        <v>2532</v>
      </c>
      <c r="H309" s="4" t="str">
        <f t="shared" si="30"/>
        <v>att_organism</v>
      </c>
      <c r="I309" s="4" t="s">
        <v>2530</v>
      </c>
      <c r="J309" s="4" t="str">
        <f t="shared" si="31"/>
        <v>att_organism:bacteria</v>
      </c>
      <c r="K309" s="7" t="s">
        <v>17</v>
      </c>
      <c r="L309" s="4" t="s">
        <v>2531</v>
      </c>
      <c r="M309" s="4" t="s">
        <v>13</v>
      </c>
      <c r="N309" s="4" t="str">
        <f t="shared" si="32"/>
        <v>INSERT INTO attributes (parent_id, tag, name, priority, allow_as_filter, allow_for_dataset, allow_for_measurement, allow_for_users, allow_for_qc) VALUES (NULL, 'att_organism',  'Organism',  500,  TRUE, TRUE, TRUE, FALSE, FALSE);</v>
      </c>
      <c r="O309" s="4" t="str">
        <f t="shared" si="33"/>
        <v xml:space="preserve">INSERT INTO attribute_values (attribute_id, tag, name, details) VALUES ((SELECT id FROM attributes WHERE tag = 'att_organism' LIMIT 1),  'att_organism:bacteria',  'Bacteria',  'Bacteria'); </v>
      </c>
    </row>
    <row r="310" spans="1:15">
      <c r="A310" s="7" t="s">
        <v>17</v>
      </c>
      <c r="B310" s="8"/>
      <c r="C310" s="4" t="s">
        <v>2533</v>
      </c>
      <c r="D310" s="4" t="s">
        <v>2072</v>
      </c>
      <c r="E310" s="4" t="s">
        <v>13</v>
      </c>
      <c r="F310" s="4" t="s">
        <v>140</v>
      </c>
      <c r="G310" s="4" t="s">
        <v>2532</v>
      </c>
      <c r="H310" s="4" t="str">
        <f t="shared" si="30"/>
        <v>att_organism</v>
      </c>
      <c r="I310" s="4" t="s">
        <v>2533</v>
      </c>
      <c r="J310" s="4" t="str">
        <f t="shared" si="31"/>
        <v>att_organism:elegans</v>
      </c>
      <c r="K310" s="7" t="s">
        <v>17</v>
      </c>
      <c r="L310" s="4" t="s">
        <v>2072</v>
      </c>
      <c r="M310" s="4" t="s">
        <v>13</v>
      </c>
      <c r="N310" s="4" t="str">
        <f t="shared" si="32"/>
        <v>INSERT INTO attributes (parent_id, tag, name, priority, allow_as_filter, allow_for_dataset, allow_for_measurement, allow_for_users, allow_for_qc) VALUES (NULL, 'att_organism',  'Organism',  500,  TRUE, TRUE, TRUE, FALSE, FALSE);</v>
      </c>
      <c r="O310" s="4" t="str">
        <f t="shared" si="33"/>
        <v xml:space="preserve">INSERT INTO attribute_values (attribute_id, tag, name, details) VALUES ((SELECT id FROM attributes WHERE tag = 'att_organism' LIMIT 1),  'att_organism:elegans',  'Caenorhabditis elegans',  'Caenorhabditis elegans'); </v>
      </c>
    </row>
    <row r="311" spans="1:15">
      <c r="A311" s="7" t="s">
        <v>17</v>
      </c>
      <c r="B311" s="8"/>
      <c r="C311" s="4" t="s">
        <v>2534</v>
      </c>
      <c r="D311" s="4" t="s">
        <v>2535</v>
      </c>
      <c r="E311" s="4" t="s">
        <v>13</v>
      </c>
      <c r="F311" s="4" t="s">
        <v>140</v>
      </c>
      <c r="G311" s="4" t="s">
        <v>2532</v>
      </c>
      <c r="H311" s="4" t="str">
        <f t="shared" si="30"/>
        <v>att_organism</v>
      </c>
      <c r="I311" s="4" t="s">
        <v>2534</v>
      </c>
      <c r="J311" s="4" t="str">
        <f t="shared" si="31"/>
        <v>att_organism:gut</v>
      </c>
      <c r="K311" s="7" t="s">
        <v>17</v>
      </c>
      <c r="L311" s="4" t="s">
        <v>2536</v>
      </c>
      <c r="M311" s="4" t="s">
        <v>13</v>
      </c>
      <c r="N311" s="4" t="str">
        <f t="shared" si="32"/>
        <v>INSERT INTO attributes (parent_id, tag, name, priority, allow_as_filter, allow_for_dataset, allow_for_measurement, allow_for_users, allow_for_qc) VALUES (NULL, 'att_organism',  'Organism',  500,  TRUE, TRUE, TRUE, FALSE, FALSE);</v>
      </c>
      <c r="O311" s="4" t="str">
        <f t="shared" si="33"/>
        <v xml:space="preserve">INSERT INTO attribute_values (attribute_id, tag, name, details) VALUES ((SELECT id FROM attributes WHERE tag = 'att_organism' LIMIT 1),  'att_organism:gut',  'Gut Microbiom',  'Gut Microbiomm (Specify in Additional Info)'); </v>
      </c>
    </row>
    <row r="312" spans="1:15">
      <c r="A312" s="7" t="s">
        <v>17</v>
      </c>
      <c r="B312" s="8"/>
      <c r="C312" s="4" t="s">
        <v>2083</v>
      </c>
      <c r="D312" s="4" t="s">
        <v>2084</v>
      </c>
      <c r="E312" s="4" t="s">
        <v>13</v>
      </c>
      <c r="F312" s="4" t="s">
        <v>140</v>
      </c>
      <c r="G312" s="4" t="s">
        <v>2532</v>
      </c>
      <c r="H312" s="4" t="str">
        <f t="shared" si="30"/>
        <v>att_organism</v>
      </c>
      <c r="I312" s="4" t="s">
        <v>2083</v>
      </c>
      <c r="J312" s="4" t="str">
        <f t="shared" si="31"/>
        <v>att_organism:human</v>
      </c>
      <c r="K312" s="7" t="s">
        <v>17</v>
      </c>
      <c r="L312" s="4" t="s">
        <v>2537</v>
      </c>
      <c r="M312" s="4" t="s">
        <v>13</v>
      </c>
      <c r="N312" s="4" t="str">
        <f t="shared" si="32"/>
        <v>INSERT INTO attributes (parent_id, tag, name, priority, allow_as_filter, allow_for_dataset, allow_for_measurement, allow_for_users, allow_for_qc) VALUES (NULL, 'att_organism',  'Organism',  500,  TRUE, TRUE, TRUE, FALSE, FALSE);</v>
      </c>
      <c r="O312" s="4" t="str">
        <f t="shared" si="33"/>
        <v xml:space="preserve">INSERT INTO attribute_values (attribute_id, tag, name, details) VALUES ((SELECT id FROM attributes WHERE tag = 'att_organism' LIMIT 1),  'att_organism:human',  'Homo sapiens',  'Homo sapiens (Human)'); </v>
      </c>
    </row>
    <row r="313" spans="1:15">
      <c r="A313" s="7" t="s">
        <v>17</v>
      </c>
      <c r="B313" s="8"/>
      <c r="C313" s="4" t="s">
        <v>2067</v>
      </c>
      <c r="D313" s="4" t="s">
        <v>2068</v>
      </c>
      <c r="E313" s="4" t="s">
        <v>13</v>
      </c>
      <c r="F313" s="4" t="s">
        <v>140</v>
      </c>
      <c r="G313" s="4" t="s">
        <v>2532</v>
      </c>
      <c r="H313" s="4" t="str">
        <f t="shared" si="30"/>
        <v>att_organism</v>
      </c>
      <c r="I313" s="4" t="s">
        <v>2067</v>
      </c>
      <c r="J313" s="4" t="str">
        <f t="shared" si="31"/>
        <v>att_organism:mouse</v>
      </c>
      <c r="K313" s="7" t="s">
        <v>17</v>
      </c>
      <c r="L313" s="4" t="s">
        <v>2538</v>
      </c>
      <c r="M313" s="4" t="s">
        <v>13</v>
      </c>
      <c r="N313" s="4" t="str">
        <f t="shared" si="32"/>
        <v>INSERT INTO attributes (parent_id, tag, name, priority, allow_as_filter, allow_for_dataset, allow_for_measurement, allow_for_users, allow_for_qc) VALUES (NULL, 'att_organism',  'Organism',  500,  TRUE, TRUE, TRUE, FALSE, FALSE);</v>
      </c>
      <c r="O313" s="4" t="str">
        <f t="shared" si="33"/>
        <v xml:space="preserve">INSERT INTO attribute_values (attribute_id, tag, name, details) VALUES ((SELECT id FROM attributes WHERE tag = 'att_organism' LIMIT 1),  'att_organism:mouse',  'Mus musculus',  'Mus musculus (Mouse)'); </v>
      </c>
    </row>
    <row r="314" spans="1:15">
      <c r="A314" s="7" t="s">
        <v>17</v>
      </c>
      <c r="B314" s="8"/>
      <c r="C314" s="4" t="s">
        <v>2079</v>
      </c>
      <c r="D314" s="4" t="s">
        <v>2080</v>
      </c>
      <c r="E314" s="4" t="s">
        <v>13</v>
      </c>
      <c r="F314" s="4" t="s">
        <v>140</v>
      </c>
      <c r="G314" s="4" t="s">
        <v>2532</v>
      </c>
      <c r="H314" s="4" t="str">
        <f t="shared" si="30"/>
        <v>att_organism</v>
      </c>
      <c r="I314" s="4" t="s">
        <v>2079</v>
      </c>
      <c r="J314" s="4" t="str">
        <f t="shared" si="31"/>
        <v>att_organism:rat</v>
      </c>
      <c r="K314" s="7" t="s">
        <v>17</v>
      </c>
      <c r="L314" s="4" t="s">
        <v>2539</v>
      </c>
      <c r="M314" s="4" t="s">
        <v>13</v>
      </c>
      <c r="N314" s="4" t="str">
        <f t="shared" si="32"/>
        <v>INSERT INTO attributes (parent_id, tag, name, priority, allow_as_filter, allow_for_dataset, allow_for_measurement, allow_for_users, allow_for_qc) VALUES (NULL, 'att_organism',  'Organism',  500,  TRUE, TRUE, TRUE, FALSE, FALSE);</v>
      </c>
      <c r="O314" s="4" t="str">
        <f t="shared" si="33"/>
        <v xml:space="preserve">INSERT INTO attribute_values (attribute_id, tag, name, details) VALUES ((SELECT id FROM attributes WHERE tag = 'att_organism' LIMIT 1),  'att_organism:rat',  'Rattus norvegicus',  'Rattus norvegicus (Rat)'); </v>
      </c>
    </row>
    <row r="315" spans="1:15">
      <c r="A315" s="7" t="s">
        <v>17</v>
      </c>
      <c r="B315" s="8"/>
      <c r="C315" s="4" t="s">
        <v>2075</v>
      </c>
      <c r="D315" s="4" t="s">
        <v>2076</v>
      </c>
      <c r="E315" s="4" t="s">
        <v>13</v>
      </c>
      <c r="F315" s="4" t="s">
        <v>140</v>
      </c>
      <c r="G315" s="4" t="s">
        <v>2532</v>
      </c>
      <c r="H315" s="4" t="str">
        <f t="shared" si="30"/>
        <v>att_organism</v>
      </c>
      <c r="I315" s="4" t="s">
        <v>2075</v>
      </c>
      <c r="J315" s="4" t="str">
        <f t="shared" si="31"/>
        <v>att_organism:yeast</v>
      </c>
      <c r="K315" s="7" t="s">
        <v>17</v>
      </c>
      <c r="L315" s="4" t="s">
        <v>2540</v>
      </c>
      <c r="M315" s="4" t="s">
        <v>13</v>
      </c>
      <c r="N315" s="4" t="str">
        <f t="shared" si="32"/>
        <v>INSERT INTO attributes (parent_id, tag, name, priority, allow_as_filter, allow_for_dataset, allow_for_measurement, allow_for_users, allow_for_qc) VALUES (NULL, 'att_organism',  'Organism',  500,  TRUE, TRUE, TRUE, FALSE, FALSE);</v>
      </c>
      <c r="O315" s="4" t="str">
        <f t="shared" si="33"/>
        <v xml:space="preserve">INSERT INTO attribute_values (attribute_id, tag, name, details) VALUES ((SELECT id FROM attributes WHERE tag = 'att_organism' LIMIT 1),  'att_organism:yeast',  'Saccharomyces cerevisiae',  'Saccharomyces cerevisiae (Baker's Yeast)'); </v>
      </c>
    </row>
    <row r="316" spans="1:15">
      <c r="A316" s="8" t="b">
        <f>FALSE()</f>
        <v>0</v>
      </c>
      <c r="B316" s="8"/>
      <c r="C316" s="4" t="s">
        <v>2086</v>
      </c>
      <c r="D316" s="4" t="s">
        <v>2088</v>
      </c>
      <c r="E316" s="4" t="s">
        <v>13</v>
      </c>
      <c r="F316" s="4" t="s">
        <v>2541</v>
      </c>
      <c r="G316" s="4" t="s">
        <v>2542</v>
      </c>
      <c r="H316" s="4" t="str">
        <f t="shared" si="30"/>
        <v>att_organsystem</v>
      </c>
      <c r="I316" s="4" t="s">
        <v>2086</v>
      </c>
      <c r="J316" s="4" t="str">
        <f t="shared" si="31"/>
        <v>att_organsystem:cardiovascular</v>
      </c>
      <c r="K316" s="7" t="s">
        <v>17</v>
      </c>
      <c r="L316" s="4" t="s">
        <v>2089</v>
      </c>
      <c r="M316" s="4" t="s">
        <v>13</v>
      </c>
      <c r="N316" s="4" t="str">
        <f t="shared" si="32"/>
        <v>INSERT INTO attributes (parent_id, tag, name, priority, allow_as_filter, allow_for_dataset, allow_for_measurement, allow_for_users, allow_for_qc) VALUES (NULL, 'att_organsystem',  'Organ System',  500,  TRUE, TRUE, TRUE, FALSE, FALSE);</v>
      </c>
      <c r="O316" s="4" t="str">
        <f t="shared" si="33"/>
        <v xml:space="preserve">INSERT INTO attribute_values (attribute_id, tag, name, details) VALUES ((SELECT id FROM attributes WHERE tag = 'att_organsystem' LIMIT 1),  'att_organsystem:cardiovascular',  'Cardiovascular',  'Cardiovascular System'); </v>
      </c>
    </row>
    <row r="317" spans="1:15">
      <c r="A317" s="8" t="b">
        <f>FALSE()</f>
        <v>0</v>
      </c>
      <c r="B317" s="8"/>
      <c r="C317" s="4" t="s">
        <v>2090</v>
      </c>
      <c r="D317" s="4" t="s">
        <v>2091</v>
      </c>
      <c r="E317" s="4" t="s">
        <v>13</v>
      </c>
      <c r="F317" s="4" t="s">
        <v>2541</v>
      </c>
      <c r="G317" s="4" t="s">
        <v>2542</v>
      </c>
      <c r="H317" s="4" t="str">
        <f t="shared" si="30"/>
        <v>att_organsystem</v>
      </c>
      <c r="I317" s="4" t="s">
        <v>2090</v>
      </c>
      <c r="J317" s="4" t="str">
        <f t="shared" si="31"/>
        <v>att_organsystem:digestive</v>
      </c>
      <c r="K317" s="7" t="s">
        <v>17</v>
      </c>
      <c r="L317" s="4" t="s">
        <v>2092</v>
      </c>
      <c r="M317" s="4" t="s">
        <v>13</v>
      </c>
      <c r="N317" s="4" t="str">
        <f t="shared" si="32"/>
        <v>INSERT INTO attributes (parent_id, tag, name, priority, allow_as_filter, allow_for_dataset, allow_for_measurement, allow_for_users, allow_for_qc) VALUES (NULL, 'att_organsystem',  'Organ System',  500,  TRUE, TRUE, TRUE, FALSE, FALSE);</v>
      </c>
      <c r="O317" s="4" t="str">
        <f t="shared" si="33"/>
        <v xml:space="preserve">INSERT INTO attribute_values (attribute_id, tag, name, details) VALUES ((SELECT id FROM attributes WHERE tag = 'att_organsystem' LIMIT 1),  'att_organsystem:digestive',  'Digestive',  'Digestive System'); </v>
      </c>
    </row>
    <row r="318" spans="1:15">
      <c r="A318" s="8" t="b">
        <f>FALSE()</f>
        <v>0</v>
      </c>
      <c r="B318" s="8"/>
      <c r="C318" s="4" t="s">
        <v>2093</v>
      </c>
      <c r="D318" s="4" t="s">
        <v>2094</v>
      </c>
      <c r="E318" s="4" t="s">
        <v>13</v>
      </c>
      <c r="F318" s="4" t="s">
        <v>2541</v>
      </c>
      <c r="G318" s="4" t="s">
        <v>2542</v>
      </c>
      <c r="H318" s="4" t="str">
        <f t="shared" si="30"/>
        <v>att_organsystem</v>
      </c>
      <c r="I318" s="4" t="s">
        <v>2093</v>
      </c>
      <c r="J318" s="4" t="str">
        <f t="shared" si="31"/>
        <v>att_organsystem:endocrine</v>
      </c>
      <c r="K318" s="7" t="s">
        <v>17</v>
      </c>
      <c r="L318" s="4" t="s">
        <v>2095</v>
      </c>
      <c r="M318" s="4" t="s">
        <v>13</v>
      </c>
      <c r="N318" s="4" t="str">
        <f t="shared" si="32"/>
        <v>INSERT INTO attributes (parent_id, tag, name, priority, allow_as_filter, allow_for_dataset, allow_for_measurement, allow_for_users, allow_for_qc) VALUES (NULL, 'att_organsystem',  'Organ System',  500,  TRUE, TRUE, TRUE, FALSE, FALSE);</v>
      </c>
      <c r="O318" s="4" t="str">
        <f t="shared" si="33"/>
        <v xml:space="preserve">INSERT INTO attribute_values (attribute_id, tag, name, details) VALUES ((SELECT id FROM attributes WHERE tag = 'att_organsystem' LIMIT 1),  'att_organsystem:endocrine',  'Endocrine',  'Endocrine System'); </v>
      </c>
    </row>
    <row r="319" spans="1:15">
      <c r="A319" s="8" t="b">
        <f>FALSE()</f>
        <v>0</v>
      </c>
      <c r="B319" s="8"/>
      <c r="C319" s="4" t="s">
        <v>2096</v>
      </c>
      <c r="D319" s="4" t="s">
        <v>2097</v>
      </c>
      <c r="E319" s="4" t="s">
        <v>13</v>
      </c>
      <c r="F319" s="4" t="s">
        <v>2541</v>
      </c>
      <c r="G319" s="4" t="s">
        <v>2542</v>
      </c>
      <c r="H319" s="4" t="str">
        <f t="shared" si="30"/>
        <v>att_organsystem</v>
      </c>
      <c r="I319" s="4" t="s">
        <v>2096</v>
      </c>
      <c r="J319" s="4" t="str">
        <f t="shared" si="31"/>
        <v>att_organsystem:excretory</v>
      </c>
      <c r="K319" s="7" t="s">
        <v>17</v>
      </c>
      <c r="L319" s="4" t="s">
        <v>2098</v>
      </c>
      <c r="M319" s="4" t="s">
        <v>13</v>
      </c>
      <c r="N319" s="4" t="str">
        <f t="shared" si="32"/>
        <v>INSERT INTO attributes (parent_id, tag, name, priority, allow_as_filter, allow_for_dataset, allow_for_measurement, allow_for_users, allow_for_qc) VALUES (NULL, 'att_organsystem',  'Organ System',  500,  TRUE, TRUE, TRUE, FALSE, FALSE);</v>
      </c>
      <c r="O319" s="4" t="str">
        <f t="shared" si="33"/>
        <v xml:space="preserve">INSERT INTO attribute_values (attribute_id, tag, name, details) VALUES ((SELECT id FROM attributes WHERE tag = 'att_organsystem' LIMIT 1),  'att_organsystem:excretory',  'Excretory',  'Excretory System'); </v>
      </c>
    </row>
    <row r="320" spans="1:15">
      <c r="A320" s="8" t="b">
        <f>FALSE()</f>
        <v>0</v>
      </c>
      <c r="B320" s="8"/>
      <c r="C320" s="4" t="s">
        <v>2099</v>
      </c>
      <c r="D320" s="4" t="s">
        <v>2100</v>
      </c>
      <c r="E320" s="4" t="s">
        <v>13</v>
      </c>
      <c r="F320" s="4" t="s">
        <v>2541</v>
      </c>
      <c r="G320" s="4" t="s">
        <v>2542</v>
      </c>
      <c r="H320" s="4" t="str">
        <f t="shared" si="30"/>
        <v>att_organsystem</v>
      </c>
      <c r="I320" s="4" t="s">
        <v>2099</v>
      </c>
      <c r="J320" s="4" t="str">
        <f t="shared" si="31"/>
        <v>att_organsystem:integumentary</v>
      </c>
      <c r="K320" s="7" t="s">
        <v>17</v>
      </c>
      <c r="L320" s="4" t="s">
        <v>2101</v>
      </c>
      <c r="M320" s="4" t="s">
        <v>13</v>
      </c>
      <c r="N320" s="4" t="str">
        <f t="shared" si="32"/>
        <v>INSERT INTO attributes (parent_id, tag, name, priority, allow_as_filter, allow_for_dataset, allow_for_measurement, allow_for_users, allow_for_qc) VALUES (NULL, 'att_organsystem',  'Organ System',  500,  TRUE, TRUE, TRUE, FALSE, FALSE);</v>
      </c>
      <c r="O320" s="4" t="str">
        <f t="shared" si="33"/>
        <v xml:space="preserve">INSERT INTO attribute_values (attribute_id, tag, name, details) VALUES ((SELECT id FROM attributes WHERE tag = 'att_organsystem' LIMIT 1),  'att_organsystem:integumentary',  'Integumentary',  'Integumentary System'); </v>
      </c>
    </row>
    <row r="321" spans="1:15">
      <c r="A321" s="8" t="b">
        <f>FALSE()</f>
        <v>0</v>
      </c>
      <c r="B321" s="8"/>
      <c r="C321" s="4" t="s">
        <v>2102</v>
      </c>
      <c r="D321" s="4" t="s">
        <v>2103</v>
      </c>
      <c r="E321" s="4" t="s">
        <v>13</v>
      </c>
      <c r="F321" s="4" t="s">
        <v>2541</v>
      </c>
      <c r="G321" s="4" t="s">
        <v>2542</v>
      </c>
      <c r="H321" s="4" t="str">
        <f t="shared" si="30"/>
        <v>att_organsystem</v>
      </c>
      <c r="I321" s="4" t="s">
        <v>2102</v>
      </c>
      <c r="J321" s="4" t="str">
        <f t="shared" si="31"/>
        <v>att_organsystem:lymphatic</v>
      </c>
      <c r="K321" s="7" t="s">
        <v>17</v>
      </c>
      <c r="L321" s="4" t="s">
        <v>2104</v>
      </c>
      <c r="M321" s="4" t="s">
        <v>13</v>
      </c>
      <c r="N321" s="4" t="str">
        <f t="shared" si="32"/>
        <v>INSERT INTO attributes (parent_id, tag, name, priority, allow_as_filter, allow_for_dataset, allow_for_measurement, allow_for_users, allow_for_qc) VALUES (NULL, 'att_organsystem',  'Organ System',  500,  TRUE, TRUE, TRUE, FALSE, FALSE);</v>
      </c>
      <c r="O321" s="4" t="str">
        <f t="shared" si="33"/>
        <v xml:space="preserve">INSERT INTO attribute_values (attribute_id, tag, name, details) VALUES ((SELECT id FROM attributes WHERE tag = 'att_organsystem' LIMIT 1),  'att_organsystem:lymphatic',  'Lymphatic',  'Lymphatic System'); </v>
      </c>
    </row>
    <row r="322" spans="1:15">
      <c r="A322" s="8" t="b">
        <f>FALSE()</f>
        <v>0</v>
      </c>
      <c r="B322" s="8"/>
      <c r="C322" s="4" t="s">
        <v>2105</v>
      </c>
      <c r="D322" s="4" t="s">
        <v>2106</v>
      </c>
      <c r="E322" s="4" t="s">
        <v>13</v>
      </c>
      <c r="F322" s="4" t="s">
        <v>2541</v>
      </c>
      <c r="G322" s="4" t="s">
        <v>2542</v>
      </c>
      <c r="H322" s="4" t="str">
        <f t="shared" si="30"/>
        <v>att_organsystem</v>
      </c>
      <c r="I322" s="4" t="s">
        <v>2105</v>
      </c>
      <c r="J322" s="4" t="str">
        <f t="shared" si="31"/>
        <v>att_organsystem:muscular</v>
      </c>
      <c r="K322" s="7" t="s">
        <v>17</v>
      </c>
      <c r="L322" s="4" t="s">
        <v>2107</v>
      </c>
      <c r="M322" s="4" t="s">
        <v>13</v>
      </c>
      <c r="N322" s="4" t="str">
        <f t="shared" si="32"/>
        <v>INSERT INTO attributes (parent_id, tag, name, priority, allow_as_filter, allow_for_dataset, allow_for_measurement, allow_for_users, allow_for_qc) VALUES (NULL, 'att_organsystem',  'Organ System',  500,  TRUE, TRUE, TRUE, FALSE, FALSE);</v>
      </c>
      <c r="O322" s="4" t="str">
        <f t="shared" si="33"/>
        <v xml:space="preserve">INSERT INTO attribute_values (attribute_id, tag, name, details) VALUES ((SELECT id FROM attributes WHERE tag = 'att_organsystem' LIMIT 1),  'att_organsystem:muscular',  'Muscular',  'Muscular System'); </v>
      </c>
    </row>
    <row r="323" spans="1:15">
      <c r="A323" s="8" t="b">
        <f>FALSE()</f>
        <v>0</v>
      </c>
      <c r="B323" s="8"/>
      <c r="C323" s="4" t="s">
        <v>2543</v>
      </c>
      <c r="D323" s="4" t="s">
        <v>2109</v>
      </c>
      <c r="E323" s="4" t="s">
        <v>13</v>
      </c>
      <c r="F323" s="4" t="s">
        <v>2541</v>
      </c>
      <c r="G323" s="4" t="s">
        <v>2542</v>
      </c>
      <c r="H323" s="4" t="str">
        <f t="shared" si="30"/>
        <v>att_organsystem</v>
      </c>
      <c r="I323" s="4" t="s">
        <v>2108</v>
      </c>
      <c r="J323" s="4" t="str">
        <f t="shared" si="31"/>
        <v>att_organsystem:nervous_system</v>
      </c>
      <c r="K323" s="7" t="s">
        <v>17</v>
      </c>
      <c r="L323" s="4" t="s">
        <v>2110</v>
      </c>
      <c r="M323" s="4" t="s">
        <v>13</v>
      </c>
      <c r="N323" s="4" t="str">
        <f t="shared" si="32"/>
        <v>INSERT INTO attributes (parent_id, tag, name, priority, allow_as_filter, allow_for_dataset, allow_for_measurement, allow_for_users, allow_for_qc) VALUES (NULL, 'att_organsystem',  'Organ System',  500,  TRUE, TRUE, TRUE, FALSE, FALSE);</v>
      </c>
      <c r="O323" s="4" t="str">
        <f t="shared" si="33"/>
        <v xml:space="preserve">INSERT INTO attribute_values (attribute_id, tag, name, details) VALUES ((SELECT id FROM attributes WHERE tag = 'att_organsystem' LIMIT 1),  'att_organsystem:nervous_system',  'Nervous',  'Nervous System'); </v>
      </c>
    </row>
    <row r="324" spans="1:15">
      <c r="A324" s="8" t="b">
        <f>FALSE()</f>
        <v>0</v>
      </c>
      <c r="B324" s="8"/>
      <c r="C324" s="4" t="s">
        <v>2111</v>
      </c>
      <c r="D324" s="4" t="s">
        <v>2112</v>
      </c>
      <c r="E324" s="4" t="s">
        <v>13</v>
      </c>
      <c r="F324" s="4" t="s">
        <v>2541</v>
      </c>
      <c r="G324" s="4" t="s">
        <v>2542</v>
      </c>
      <c r="H324" s="4" t="str">
        <f t="shared" si="30"/>
        <v>att_organsystem</v>
      </c>
      <c r="I324" s="4" t="s">
        <v>2111</v>
      </c>
      <c r="J324" s="4" t="str">
        <f t="shared" si="31"/>
        <v>att_organsystem:reproductive</v>
      </c>
      <c r="K324" s="7" t="s">
        <v>17</v>
      </c>
      <c r="L324" s="4" t="s">
        <v>2113</v>
      </c>
      <c r="M324" s="4" t="s">
        <v>13</v>
      </c>
      <c r="N324" s="4" t="str">
        <f t="shared" si="32"/>
        <v>INSERT INTO attributes (parent_id, tag, name, priority, allow_as_filter, allow_for_dataset, allow_for_measurement, allow_for_users, allow_for_qc) VALUES (NULL, 'att_organsystem',  'Organ System',  500,  TRUE, TRUE, TRUE, FALSE, FALSE);</v>
      </c>
      <c r="O324" s="4" t="str">
        <f t="shared" si="33"/>
        <v xml:space="preserve">INSERT INTO attribute_values (attribute_id, tag, name, details) VALUES ((SELECT id FROM attributes WHERE tag = 'att_organsystem' LIMIT 1),  'att_organsystem:reproductive',  'Reproductive',  'Reproductive System'); </v>
      </c>
    </row>
    <row r="325" spans="1:15">
      <c r="A325" s="8" t="b">
        <f>FALSE()</f>
        <v>0</v>
      </c>
      <c r="B325" s="8"/>
      <c r="C325" s="4" t="s">
        <v>2114</v>
      </c>
      <c r="D325" s="4" t="s">
        <v>2115</v>
      </c>
      <c r="E325" s="4" t="s">
        <v>13</v>
      </c>
      <c r="F325" s="4" t="s">
        <v>2541</v>
      </c>
      <c r="G325" s="4" t="s">
        <v>2542</v>
      </c>
      <c r="H325" s="4" t="str">
        <f t="shared" si="30"/>
        <v>att_organsystem</v>
      </c>
      <c r="I325" s="4" t="s">
        <v>2114</v>
      </c>
      <c r="J325" s="4" t="str">
        <f t="shared" si="31"/>
        <v>att_organsystem:respiratory</v>
      </c>
      <c r="K325" s="7" t="s">
        <v>17</v>
      </c>
      <c r="L325" s="4" t="s">
        <v>2116</v>
      </c>
      <c r="M325" s="4" t="s">
        <v>13</v>
      </c>
      <c r="N325" s="4" t="str">
        <f t="shared" si="32"/>
        <v>INSERT INTO attributes (parent_id, tag, name, priority, allow_as_filter, allow_for_dataset, allow_for_measurement, allow_for_users, allow_for_qc) VALUES (NULL, 'att_organsystem',  'Organ System',  500,  TRUE, TRUE, TRUE, FALSE, FALSE);</v>
      </c>
      <c r="O325" s="4" t="str">
        <f t="shared" si="33"/>
        <v xml:space="preserve">INSERT INTO attribute_values (attribute_id, tag, name, details) VALUES ((SELECT id FROM attributes WHERE tag = 'att_organsystem' LIMIT 1),  'att_organsystem:respiratory',  'Respiratory',  'Respiratory System'); </v>
      </c>
    </row>
    <row r="326" spans="1:15">
      <c r="A326" s="8" t="b">
        <f>FALSE()</f>
        <v>0</v>
      </c>
      <c r="B326" s="8"/>
      <c r="C326" s="4" t="s">
        <v>2117</v>
      </c>
      <c r="D326" s="4" t="s">
        <v>2118</v>
      </c>
      <c r="E326" s="4" t="s">
        <v>13</v>
      </c>
      <c r="F326" s="4" t="s">
        <v>2541</v>
      </c>
      <c r="G326" s="4" t="s">
        <v>2542</v>
      </c>
      <c r="H326" s="4" t="str">
        <f t="shared" si="30"/>
        <v>att_organsystem</v>
      </c>
      <c r="I326" s="4" t="s">
        <v>2117</v>
      </c>
      <c r="J326" s="4" t="str">
        <f t="shared" si="31"/>
        <v>att_organsystem:skeletal</v>
      </c>
      <c r="K326" s="7" t="s">
        <v>17</v>
      </c>
      <c r="L326" s="4" t="s">
        <v>2119</v>
      </c>
      <c r="M326" s="4" t="s">
        <v>13</v>
      </c>
      <c r="N326" s="4" t="str">
        <f t="shared" si="32"/>
        <v>INSERT INTO attributes (parent_id, tag, name, priority, allow_as_filter, allow_for_dataset, allow_for_measurement, allow_for_users, allow_for_qc) VALUES (NULL, 'att_organsystem',  'Organ System',  500,  TRUE, TRUE, TRUE, FALSE, FALSE);</v>
      </c>
      <c r="O326" s="4" t="str">
        <f t="shared" si="33"/>
        <v xml:space="preserve">INSERT INTO attribute_values (attribute_id, tag, name, details) VALUES ((SELECT id FROM attributes WHERE tag = 'att_organsystem' LIMIT 1),  'att_organsystem:skeletal',  'Skeletal',  'Skeletal System'); </v>
      </c>
    </row>
    <row r="327" spans="1:15">
      <c r="A327" s="8" t="b">
        <f>FALSE()</f>
        <v>0</v>
      </c>
      <c r="B327" s="8"/>
      <c r="C327" s="4" t="s">
        <v>2120</v>
      </c>
      <c r="D327" s="4" t="s">
        <v>2121</v>
      </c>
      <c r="E327" s="4" t="s">
        <v>13</v>
      </c>
      <c r="F327" s="4" t="s">
        <v>2541</v>
      </c>
      <c r="G327" s="4" t="s">
        <v>2542</v>
      </c>
      <c r="H327" s="4" t="str">
        <f t="shared" si="30"/>
        <v>att_organsystem</v>
      </c>
      <c r="I327" s="4" t="s">
        <v>2120</v>
      </c>
      <c r="J327" s="4" t="str">
        <f t="shared" si="31"/>
        <v>att_organsystem:urinary</v>
      </c>
      <c r="K327" s="7" t="s">
        <v>17</v>
      </c>
      <c r="L327" s="4" t="s">
        <v>2122</v>
      </c>
      <c r="M327" s="4" t="s">
        <v>13</v>
      </c>
      <c r="N327" s="4" t="str">
        <f t="shared" si="32"/>
        <v>INSERT INTO attributes (parent_id, tag, name, priority, allow_as_filter, allow_for_dataset, allow_for_measurement, allow_for_users, allow_for_qc) VALUES (NULL, 'att_organsystem',  'Organ System',  500,  TRUE, TRUE, TRUE, FALSE, FALSE);</v>
      </c>
      <c r="O327" s="4" t="str">
        <f t="shared" si="33"/>
        <v xml:space="preserve">INSERT INTO attribute_values (attribute_id, tag, name, details) VALUES ((SELECT id FROM attributes WHERE tag = 'att_organsystem' LIMIT 1),  'att_organsystem:urinary',  'Urinary',  'Urinary system'); </v>
      </c>
    </row>
    <row r="328" spans="1:15" s="10" customFormat="1">
      <c r="A328" s="9" t="b">
        <f>FALSE()</f>
        <v>0</v>
      </c>
      <c r="B328" s="9"/>
      <c r="C328" s="10" t="s">
        <v>2544</v>
      </c>
      <c r="D328" s="10" t="s">
        <v>2545</v>
      </c>
      <c r="E328" s="10" t="s">
        <v>13</v>
      </c>
      <c r="F328" s="10" t="s">
        <v>2546</v>
      </c>
      <c r="G328" s="10" t="s">
        <v>2547</v>
      </c>
      <c r="H328" s="10" t="str">
        <f t="shared" si="30"/>
        <v>att_phenotype</v>
      </c>
      <c r="I328" s="10" t="s">
        <v>2544</v>
      </c>
      <c r="J328" s="10" t="str">
        <f t="shared" si="31"/>
        <v>att_phenotype:kd</v>
      </c>
      <c r="K328" s="11" t="s">
        <v>17</v>
      </c>
      <c r="L328" s="10" t="s">
        <v>101</v>
      </c>
      <c r="M328" s="10" t="s">
        <v>13</v>
      </c>
      <c r="N328" s="10" t="str">
        <f t="shared" si="32"/>
        <v>INSERT INTO attributes (parent_id, tag, name, priority, allow_as_filter, allow_for_dataset, allow_for_measurement, allow_for_users, allow_for_qc) VALUES (NULL, 'att_phenotype',  'Phenotype',  500,  TRUE, TRUE, TRUE, FALSE, FALSE);</v>
      </c>
      <c r="O328" s="10" t="str">
        <f t="shared" si="33"/>
        <v xml:space="preserve">INSERT INTO attribute_values (attribute_id, tag, name, details) VALUES ((SELECT id FROM attributes WHERE tag = 'att_phenotype' LIMIT 1),  'att_phenotype:kd',  'knockdown (kd)',  'knockdown'); </v>
      </c>
    </row>
    <row r="329" spans="1:15" s="10" customFormat="1">
      <c r="A329" s="9" t="b">
        <f>FALSE()</f>
        <v>0</v>
      </c>
      <c r="B329" s="9"/>
      <c r="C329" s="10" t="s">
        <v>1163</v>
      </c>
      <c r="D329" s="10" t="s">
        <v>2548</v>
      </c>
      <c r="E329" s="10" t="s">
        <v>13</v>
      </c>
      <c r="F329" s="10" t="s">
        <v>2546</v>
      </c>
      <c r="G329" s="10" t="s">
        <v>2547</v>
      </c>
      <c r="H329" s="10" t="str">
        <f t="shared" si="30"/>
        <v>att_phenotype</v>
      </c>
      <c r="I329" s="10" t="s">
        <v>1163</v>
      </c>
      <c r="J329" s="10" t="str">
        <f t="shared" si="31"/>
        <v>att_phenotype:ko</v>
      </c>
      <c r="K329" s="11" t="s">
        <v>17</v>
      </c>
      <c r="L329" s="10" t="s">
        <v>2474</v>
      </c>
      <c r="M329" s="10" t="s">
        <v>13</v>
      </c>
      <c r="N329" s="10" t="str">
        <f t="shared" si="32"/>
        <v>INSERT INTO attributes (parent_id, tag, name, priority, allow_as_filter, allow_for_dataset, allow_for_measurement, allow_for_users, allow_for_qc) VALUES (NULL, 'att_phenotype',  'Phenotype',  500,  TRUE, TRUE, TRUE, FALSE, FALSE);</v>
      </c>
      <c r="O329" s="10" t="str">
        <f t="shared" si="33"/>
        <v xml:space="preserve">INSERT INTO attribute_values (attribute_id, tag, name, details) VALUES ((SELECT id FROM attributes WHERE tag = 'att_phenotype' LIMIT 1),  'att_phenotype:ko',  'knockout (ko)',  'knockout'); </v>
      </c>
    </row>
    <row r="330" spans="1:15" s="10" customFormat="1">
      <c r="A330" s="9" t="b">
        <f>FALSE()</f>
        <v>0</v>
      </c>
      <c r="B330" s="9"/>
      <c r="C330" s="10" t="s">
        <v>2549</v>
      </c>
      <c r="D330" s="10" t="s">
        <v>2550</v>
      </c>
      <c r="E330" s="10" t="s">
        <v>13</v>
      </c>
      <c r="F330" s="10" t="s">
        <v>2546</v>
      </c>
      <c r="G330" s="10" t="s">
        <v>2547</v>
      </c>
      <c r="H330" s="10" t="str">
        <f t="shared" si="30"/>
        <v>att_phenotype</v>
      </c>
      <c r="I330" s="10" t="s">
        <v>2549</v>
      </c>
      <c r="J330" s="10" t="str">
        <f t="shared" si="31"/>
        <v>att_phenotype:mt</v>
      </c>
      <c r="K330" s="11" t="s">
        <v>17</v>
      </c>
      <c r="L330" s="10" t="s">
        <v>2551</v>
      </c>
      <c r="M330" s="10" t="s">
        <v>13</v>
      </c>
      <c r="N330" s="10" t="str">
        <f t="shared" si="32"/>
        <v>INSERT INTO attributes (parent_id, tag, name, priority, allow_as_filter, allow_for_dataset, allow_for_measurement, allow_for_users, allow_for_qc) VALUES (NULL, 'att_phenotype',  'Phenotype',  500,  TRUE, TRUE, TRUE, FALSE, FALSE);</v>
      </c>
      <c r="O330" s="10" t="str">
        <f t="shared" si="33"/>
        <v xml:space="preserve">INSERT INTO attribute_values (attribute_id, tag, name, details) VALUES ((SELECT id FROM attributes WHERE tag = 'att_phenotype' LIMIT 1),  'att_phenotype:mt',  'mutant (mt)',  'mutated'); </v>
      </c>
    </row>
    <row r="331" spans="1:15" s="10" customFormat="1">
      <c r="A331" s="9" t="b">
        <f>FALSE()</f>
        <v>0</v>
      </c>
      <c r="B331" s="9"/>
      <c r="C331" s="10" t="s">
        <v>2552</v>
      </c>
      <c r="D331" s="10" t="s">
        <v>2553</v>
      </c>
      <c r="E331" s="10" t="s">
        <v>13</v>
      </c>
      <c r="F331" s="10" t="s">
        <v>2546</v>
      </c>
      <c r="G331" s="10" t="s">
        <v>2547</v>
      </c>
      <c r="H331" s="10" t="str">
        <f t="shared" si="30"/>
        <v>att_phenotype</v>
      </c>
      <c r="I331" s="10" t="s">
        <v>2552</v>
      </c>
      <c r="J331" s="10" t="str">
        <f t="shared" si="31"/>
        <v>att_phenotype:wt</v>
      </c>
      <c r="K331" s="11" t="s">
        <v>17</v>
      </c>
      <c r="L331" s="10" t="s">
        <v>2554</v>
      </c>
      <c r="M331" s="10" t="s">
        <v>13</v>
      </c>
      <c r="N331" s="10" t="str">
        <f t="shared" si="32"/>
        <v>INSERT INTO attributes (parent_id, tag, name, priority, allow_as_filter, allow_for_dataset, allow_for_measurement, allow_for_users, allow_for_qc) VALUES (NULL, 'att_phenotype',  'Phenotype',  500,  TRUE, TRUE, TRUE, FALSE, FALSE);</v>
      </c>
      <c r="O331" s="10" t="str">
        <f t="shared" si="33"/>
        <v xml:space="preserve">INSERT INTO attribute_values (attribute_id, tag, name, details) VALUES ((SELECT id FROM attributes WHERE tag = 'att_phenotype' LIMIT 1),  'att_phenotype:wt',  'wild type (wt)',  'wilde type cells'); </v>
      </c>
    </row>
    <row r="332" spans="1:15">
      <c r="A332" s="7" t="s">
        <v>17</v>
      </c>
      <c r="B332" s="7"/>
      <c r="C332" s="4" t="s">
        <v>2204</v>
      </c>
      <c r="D332" s="4" t="s">
        <v>2204</v>
      </c>
      <c r="E332" s="4" t="s">
        <v>13</v>
      </c>
      <c r="F332" s="4" t="s">
        <v>151</v>
      </c>
      <c r="G332" s="4" t="s">
        <v>2555</v>
      </c>
      <c r="H332" s="4" t="str">
        <f t="shared" si="30"/>
        <v>att_quantification</v>
      </c>
      <c r="I332" s="4" t="s">
        <v>2204</v>
      </c>
      <c r="J332" s="4" t="str">
        <f t="shared" si="31"/>
        <v>att_quantification:isobaric</v>
      </c>
      <c r="K332" s="7" t="s">
        <v>17</v>
      </c>
      <c r="L332" s="4" t="s">
        <v>2205</v>
      </c>
      <c r="M332" s="4" t="s">
        <v>13</v>
      </c>
      <c r="N332" s="4" t="str">
        <f t="shared" si="32"/>
        <v>INSERT INTO attributes (parent_id, tag, name, priority, allow_as_filter, allow_for_dataset, allow_for_measurement, allow_for_users, allow_for_qc) VALUES (NULL, 'att_quantification',  'Quantification Type',  500,  TRUE, TRUE, TRUE, FALSE, FALSE);</v>
      </c>
      <c r="O332" s="4" t="str">
        <f t="shared" si="33"/>
        <v xml:space="preserve">INSERT INTO attribute_values (attribute_id, tag, name, details) VALUES ((SELECT id FROM attributes WHERE tag = 'att_quantification' LIMIT 1),  'att_quantification:isobaric',  'isobaric',  'isobaric (TMT)'); </v>
      </c>
    </row>
    <row r="333" spans="1:15">
      <c r="A333" s="7" t="s">
        <v>17</v>
      </c>
      <c r="B333" s="7"/>
      <c r="C333" s="4" t="s">
        <v>2206</v>
      </c>
      <c r="D333" s="4" t="s">
        <v>2206</v>
      </c>
      <c r="E333" s="4" t="s">
        <v>13</v>
      </c>
      <c r="F333" s="4" t="s">
        <v>151</v>
      </c>
      <c r="G333" s="4" t="s">
        <v>2555</v>
      </c>
      <c r="H333" s="4" t="str">
        <f t="shared" ref="H333:H364" si="34">"att_"&amp;G333</f>
        <v>att_quantification</v>
      </c>
      <c r="I333" s="4" t="s">
        <v>2206</v>
      </c>
      <c r="J333" s="4" t="str">
        <f t="shared" ref="J333:J364" si="35">H333&amp;":"&amp;I333</f>
        <v>att_quantification:istopic</v>
      </c>
      <c r="K333" s="7" t="s">
        <v>17</v>
      </c>
      <c r="L333" s="4" t="s">
        <v>2207</v>
      </c>
      <c r="M333" s="4" t="s">
        <v>13</v>
      </c>
      <c r="N333" s="4"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4"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c r="A334" s="7" t="s">
        <v>17</v>
      </c>
      <c r="B334" s="7"/>
      <c r="C334" s="4" t="s">
        <v>2556</v>
      </c>
      <c r="D334" s="4" t="s">
        <v>2209</v>
      </c>
      <c r="E334" s="4" t="s">
        <v>13</v>
      </c>
      <c r="F334" s="4" t="s">
        <v>151</v>
      </c>
      <c r="G334" s="4" t="s">
        <v>2555</v>
      </c>
      <c r="H334" s="4" t="str">
        <f t="shared" si="34"/>
        <v>att_quantification</v>
      </c>
      <c r="I334" s="4" t="s">
        <v>2208</v>
      </c>
      <c r="J334" s="4" t="str">
        <f t="shared" si="35"/>
        <v>att_quantification:label_free</v>
      </c>
      <c r="K334" s="7" t="s">
        <v>17</v>
      </c>
      <c r="L334" s="4" t="s">
        <v>2210</v>
      </c>
      <c r="M334" s="4" t="s">
        <v>13</v>
      </c>
      <c r="N334" s="4" t="str">
        <f t="shared" si="36"/>
        <v>INSERT INTO attributes (parent_id, tag, name, priority, allow_as_filter, allow_for_dataset, allow_for_measurement, allow_for_users, allow_for_qc) VALUES (NULL, 'att_quantification',  'Quantification Type',  500,  TRUE, TRUE, TRUE, FALSE, FALSE);</v>
      </c>
      <c r="O334" s="4" t="str">
        <f t="shared" si="37"/>
        <v xml:space="preserve">INSERT INTO attribute_values (attribute_id, tag, name, details) VALUES ((SELECT id FROM attributes WHERE tag = 'att_quantification' LIMIT 1),  'att_quantification:label_free',  'Label free',  'Label-free quantification'); </v>
      </c>
    </row>
    <row r="335" spans="1:15">
      <c r="A335" s="7" t="s">
        <v>17</v>
      </c>
      <c r="B335" s="7"/>
      <c r="C335" s="4" t="s">
        <v>2211</v>
      </c>
      <c r="D335" s="4" t="s">
        <v>2211</v>
      </c>
      <c r="E335" s="4" t="s">
        <v>13</v>
      </c>
      <c r="F335" s="4" t="s">
        <v>151</v>
      </c>
      <c r="G335" s="4" t="s">
        <v>2555</v>
      </c>
      <c r="H335" s="4" t="str">
        <f t="shared" si="34"/>
        <v>att_quantification</v>
      </c>
      <c r="I335" s="4" t="s">
        <v>2211</v>
      </c>
      <c r="J335" s="4" t="str">
        <f t="shared" si="35"/>
        <v>att_quantification:silac</v>
      </c>
      <c r="K335" s="7" t="s">
        <v>17</v>
      </c>
      <c r="L335" s="4" t="s">
        <v>2212</v>
      </c>
      <c r="M335" s="4" t="s">
        <v>13</v>
      </c>
      <c r="N335" s="4" t="str">
        <f t="shared" si="36"/>
        <v>INSERT INTO attributes (parent_id, tag, name, priority, allow_as_filter, allow_for_dataset, allow_for_measurement, allow_for_users, allow_for_qc) VALUES (NULL, 'att_quantification',  'Quantification Type',  500,  TRUE, TRUE, TRUE, FALSE, FALSE);</v>
      </c>
      <c r="O335" s="4"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c r="A336" s="8" t="b">
        <f>FALSE()</f>
        <v>0</v>
      </c>
      <c r="B336" s="8"/>
      <c r="C336" s="4" t="s">
        <v>1286</v>
      </c>
      <c r="D336" s="4" t="s">
        <v>1287</v>
      </c>
      <c r="E336" s="4" t="s">
        <v>13</v>
      </c>
      <c r="F336" s="4" t="s">
        <v>2557</v>
      </c>
      <c r="G336" s="4" t="s">
        <v>2558</v>
      </c>
      <c r="H336" s="4" t="str">
        <f t="shared" si="34"/>
        <v>att_signalling</v>
      </c>
      <c r="I336" s="4" t="s">
        <v>1286</v>
      </c>
      <c r="J336" s="4" t="str">
        <f t="shared" si="35"/>
        <v>att_signalling:apoptosis</v>
      </c>
      <c r="K336" s="7" t="s">
        <v>17</v>
      </c>
      <c r="L336" s="4" t="s">
        <v>2221</v>
      </c>
      <c r="M336" s="4" t="s">
        <v>13</v>
      </c>
      <c r="N336" s="4" t="str">
        <f t="shared" si="36"/>
        <v>INSERT INTO attributes (parent_id, tag, name, priority, allow_as_filter, allow_for_dataset, allow_for_measurement, allow_for_users, allow_for_qc) VALUES (NULL, 'att_signalling',  'Signallling Pathway',  500,  TRUE, TRUE, TRUE, FALSE, FALSE);</v>
      </c>
      <c r="O336" s="4" t="str">
        <f t="shared" si="37"/>
        <v xml:space="preserve">INSERT INTO attribute_values (attribute_id, tag, name, details) VALUES ((SELECT id FROM attributes WHERE tag = 'att_signalling' LIMIT 1),  'att_signalling:apoptosis',  'Apoptosis',  'Apoptosis or programmed cell death Signallilng'); </v>
      </c>
    </row>
    <row r="337" spans="1:15">
      <c r="A337" s="8" t="b">
        <f>FALSE()</f>
        <v>0</v>
      </c>
      <c r="B337" s="8"/>
      <c r="C337" s="4" t="s">
        <v>2222</v>
      </c>
      <c r="D337" s="4" t="s">
        <v>2223</v>
      </c>
      <c r="E337" s="4" t="s">
        <v>13</v>
      </c>
      <c r="F337" s="4" t="s">
        <v>2557</v>
      </c>
      <c r="G337" s="4" t="s">
        <v>2558</v>
      </c>
      <c r="H337" s="4" t="str">
        <f t="shared" si="34"/>
        <v>att_signalling</v>
      </c>
      <c r="I337" s="4" t="s">
        <v>2222</v>
      </c>
      <c r="J337" s="4" t="str">
        <f t="shared" si="35"/>
        <v>att_signalling:autocrine</v>
      </c>
      <c r="K337" s="7" t="s">
        <v>17</v>
      </c>
      <c r="L337" s="4" t="s">
        <v>2224</v>
      </c>
      <c r="M337" s="4" t="s">
        <v>13</v>
      </c>
      <c r="N337" s="4" t="str">
        <f t="shared" si="36"/>
        <v>INSERT INTO attributes (parent_id, tag, name, priority, allow_as_filter, allow_for_dataset, allow_for_measurement, allow_for_users, allow_for_qc) VALUES (NULL, 'att_signalling',  'Signallling Pathway',  500,  TRUE, TRUE, TRUE, FALSE, FALSE);</v>
      </c>
      <c r="O337" s="4"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c r="A338" s="8" t="b">
        <f>FALSE()</f>
        <v>0</v>
      </c>
      <c r="B338" s="8"/>
      <c r="C338" s="4" t="s">
        <v>2225</v>
      </c>
      <c r="D338" s="4" t="s">
        <v>2226</v>
      </c>
      <c r="E338" s="4" t="s">
        <v>13</v>
      </c>
      <c r="F338" s="4" t="s">
        <v>2557</v>
      </c>
      <c r="G338" s="4" t="s">
        <v>2558</v>
      </c>
      <c r="H338" s="4" t="str">
        <f t="shared" si="34"/>
        <v>att_signalling</v>
      </c>
      <c r="I338" s="4" t="s">
        <v>2225</v>
      </c>
      <c r="J338" s="4" t="str">
        <f t="shared" si="35"/>
        <v>att_signalling:complement</v>
      </c>
      <c r="K338" s="7" t="s">
        <v>17</v>
      </c>
      <c r="L338" s="4" t="s">
        <v>2227</v>
      </c>
      <c r="M338" s="4" t="s">
        <v>13</v>
      </c>
      <c r="N338" s="4" t="str">
        <f t="shared" si="36"/>
        <v>INSERT INTO attributes (parent_id, tag, name, priority, allow_as_filter, allow_for_dataset, allow_for_measurement, allow_for_users, allow_for_qc) VALUES (NULL, 'att_signalling',  'Signallling Pathway',  500,  TRUE, TRUE, TRUE, FALSE, FALSE);</v>
      </c>
      <c r="O338" s="4" t="str">
        <f t="shared" si="37"/>
        <v xml:space="preserve">INSERT INTO attribute_values (attribute_id, tag, name, details) VALUES ((SELECT id FROM attributes WHERE tag = 'att_signalling' LIMIT 1),  'att_signalling:complement',  'Complement',  'Complement system'); </v>
      </c>
    </row>
    <row r="339" spans="1:15">
      <c r="A339" s="8" t="b">
        <f>FALSE()</f>
        <v>0</v>
      </c>
      <c r="B339" s="8"/>
      <c r="C339" s="4" t="s">
        <v>2228</v>
      </c>
      <c r="D339" s="4" t="s">
        <v>2229</v>
      </c>
      <c r="E339" s="4" t="s">
        <v>13</v>
      </c>
      <c r="F339" s="4" t="s">
        <v>2557</v>
      </c>
      <c r="G339" s="4" t="s">
        <v>2558</v>
      </c>
      <c r="H339" s="4" t="str">
        <f t="shared" si="34"/>
        <v>att_signalling</v>
      </c>
      <c r="I339" s="4" t="s">
        <v>2228</v>
      </c>
      <c r="J339" s="4" t="str">
        <f t="shared" si="35"/>
        <v>att_signalling:cytokines</v>
      </c>
      <c r="K339" s="7" t="s">
        <v>17</v>
      </c>
      <c r="L339" s="4" t="s">
        <v>2230</v>
      </c>
      <c r="M339" s="4" t="s">
        <v>13</v>
      </c>
      <c r="N339" s="4" t="str">
        <f t="shared" si="36"/>
        <v>INSERT INTO attributes (parent_id, tag, name, priority, allow_as_filter, allow_for_dataset, allow_for_measurement, allow_for_users, allow_for_qc) VALUES (NULL, 'att_signalling',  'Signallling Pathway',  500,  TRUE, TRUE, TRUE, FALSE, FALSE);</v>
      </c>
      <c r="O339" s="4"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c r="A340" s="8" t="b">
        <f>FALSE()</f>
        <v>0</v>
      </c>
      <c r="B340" s="8"/>
      <c r="C340" s="4" t="s">
        <v>2231</v>
      </c>
      <c r="D340" s="4" t="s">
        <v>2232</v>
      </c>
      <c r="E340" s="4" t="s">
        <v>13</v>
      </c>
      <c r="F340" s="4" t="s">
        <v>2557</v>
      </c>
      <c r="G340" s="4" t="s">
        <v>2558</v>
      </c>
      <c r="H340" s="4" t="str">
        <f t="shared" si="34"/>
        <v>att_signalling</v>
      </c>
      <c r="I340" s="4" t="s">
        <v>2231</v>
      </c>
      <c r="J340" s="4" t="str">
        <f t="shared" si="35"/>
        <v>att_signalling:inflammation</v>
      </c>
      <c r="K340" s="7" t="s">
        <v>17</v>
      </c>
      <c r="L340" s="4" t="s">
        <v>2233</v>
      </c>
      <c r="M340" s="4" t="s">
        <v>13</v>
      </c>
      <c r="N340" s="4" t="str">
        <f t="shared" si="36"/>
        <v>INSERT INTO attributes (parent_id, tag, name, priority, allow_as_filter, allow_for_dataset, allow_for_measurement, allow_for_users, allow_for_qc) VALUES (NULL, 'att_signalling',  'Signallling Pathway',  500,  TRUE, TRUE, TRUE, FALSE, FALSE);</v>
      </c>
      <c r="O340" s="4"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c r="A341" s="8" t="b">
        <f>FALSE()</f>
        <v>0</v>
      </c>
      <c r="B341" s="8"/>
      <c r="C341" s="4" t="s">
        <v>2234</v>
      </c>
      <c r="D341" s="4" t="s">
        <v>2235</v>
      </c>
      <c r="E341" s="4" t="s">
        <v>13</v>
      </c>
      <c r="F341" s="4" t="s">
        <v>2557</v>
      </c>
      <c r="G341" s="4" t="s">
        <v>2558</v>
      </c>
      <c r="H341" s="4" t="str">
        <f t="shared" si="34"/>
        <v>att_signalling</v>
      </c>
      <c r="I341" s="4" t="s">
        <v>2234</v>
      </c>
      <c r="J341" s="4" t="str">
        <f t="shared" si="35"/>
        <v>att_signalling:insulin</v>
      </c>
      <c r="K341" s="7" t="s">
        <v>17</v>
      </c>
      <c r="L341" s="4" t="s">
        <v>2236</v>
      </c>
      <c r="M341" s="4" t="s">
        <v>13</v>
      </c>
      <c r="N341" s="4" t="str">
        <f t="shared" si="36"/>
        <v>INSERT INTO attributes (parent_id, tag, name, priority, allow_as_filter, allow_for_dataset, allow_for_measurement, allow_for_users, allow_for_qc) VALUES (NULL, 'att_signalling',  'Signallling Pathway',  500,  TRUE, TRUE, TRUE, FALSE, FALSE);</v>
      </c>
      <c r="O341" s="4" t="str">
        <f t="shared" si="37"/>
        <v xml:space="preserve">INSERT INTO attribute_values (attribute_id, tag, name, details) VALUES ((SELECT id FROM attributes WHERE tag = 'att_signalling' LIMIT 1),  'att_signalling:insulin',  'Insulin',  'Insulin Signaling'); </v>
      </c>
    </row>
    <row r="342" spans="1:15">
      <c r="A342" s="8" t="b">
        <f>FALSE()</f>
        <v>0</v>
      </c>
      <c r="B342" s="8"/>
      <c r="C342" s="4" t="s">
        <v>2237</v>
      </c>
      <c r="D342" s="4" t="s">
        <v>2238</v>
      </c>
      <c r="E342" s="4" t="s">
        <v>13</v>
      </c>
      <c r="F342" s="4" t="s">
        <v>2557</v>
      </c>
      <c r="G342" s="4" t="s">
        <v>2558</v>
      </c>
      <c r="H342" s="4" t="str">
        <f t="shared" si="34"/>
        <v>att_signalling</v>
      </c>
      <c r="I342" s="4" t="s">
        <v>2237</v>
      </c>
      <c r="J342" s="4" t="str">
        <f t="shared" si="35"/>
        <v>att_signalling:juxtacrine</v>
      </c>
      <c r="K342" s="7" t="s">
        <v>17</v>
      </c>
      <c r="L342" s="4" t="s">
        <v>2239</v>
      </c>
      <c r="M342" s="4" t="s">
        <v>13</v>
      </c>
      <c r="N342" s="4" t="str">
        <f t="shared" si="36"/>
        <v>INSERT INTO attributes (parent_id, tag, name, priority, allow_as_filter, allow_for_dataset, allow_for_measurement, allow_for_users, allow_for_qc) VALUES (NULL, 'att_signalling',  'Signallling Pathway',  500,  TRUE, TRUE, TRUE, FALSE, FALSE);</v>
      </c>
      <c r="O342" s="4" t="str">
        <f t="shared" si="37"/>
        <v xml:space="preserve">INSERT INTO attribute_values (attribute_id, tag, name, details) VALUES ((SELECT id FROM attributes WHERE tag = 'att_signalling' LIMIT 1),  'att_signalling:juxtacrine',  'Juxtacrine',  'Contact-dependent signalling'); </v>
      </c>
    </row>
    <row r="343" spans="1:15">
      <c r="A343" s="8" t="b">
        <f>FALSE()</f>
        <v>0</v>
      </c>
      <c r="B343" s="8"/>
      <c r="C343" s="4" t="s">
        <v>2240</v>
      </c>
      <c r="D343" s="4" t="s">
        <v>2241</v>
      </c>
      <c r="E343" s="4" t="s">
        <v>13</v>
      </c>
      <c r="F343" s="4" t="s">
        <v>2557</v>
      </c>
      <c r="G343" s="4" t="s">
        <v>2558</v>
      </c>
      <c r="H343" s="4" t="str">
        <f t="shared" si="34"/>
        <v>att_signalling</v>
      </c>
      <c r="I343" s="4" t="s">
        <v>2240</v>
      </c>
      <c r="J343" s="4" t="str">
        <f t="shared" si="35"/>
        <v>att_signalling:necrosis</v>
      </c>
      <c r="K343" s="7" t="s">
        <v>17</v>
      </c>
      <c r="L343" s="4" t="s">
        <v>2242</v>
      </c>
      <c r="M343" s="4" t="s">
        <v>13</v>
      </c>
      <c r="N343" s="4" t="str">
        <f t="shared" si="36"/>
        <v>INSERT INTO attributes (parent_id, tag, name, priority, allow_as_filter, allow_for_dataset, allow_for_measurement, allow_for_users, allow_for_qc) VALUES (NULL, 'att_signalling',  'Signallling Pathway',  500,  TRUE, TRUE, TRUE, FALSE, FALSE);</v>
      </c>
      <c r="O343" s="4" t="str">
        <f t="shared" si="37"/>
        <v xml:space="preserve">INSERT INTO attribute_values (attribute_id, tag, name, details) VALUES ((SELECT id FROM attributes WHERE tag = 'att_signalling' LIMIT 1),  'att_signalling:necrosis',  'Necrosis',  'Uncontrolled cell death.'); </v>
      </c>
    </row>
    <row r="344" spans="1:15">
      <c r="A344" s="8" t="b">
        <f>FALSE()</f>
        <v>0</v>
      </c>
      <c r="B344" s="8"/>
      <c r="C344" s="4" t="s">
        <v>2243</v>
      </c>
      <c r="D344" s="4" t="s">
        <v>2244</v>
      </c>
      <c r="E344" s="4" t="s">
        <v>13</v>
      </c>
      <c r="F344" s="4" t="s">
        <v>2557</v>
      </c>
      <c r="G344" s="4" t="s">
        <v>2558</v>
      </c>
      <c r="H344" s="4" t="str">
        <f t="shared" si="34"/>
        <v>att_signalling</v>
      </c>
      <c r="I344" s="4" t="s">
        <v>2243</v>
      </c>
      <c r="J344" s="4" t="str">
        <f t="shared" si="35"/>
        <v>att_signalling:paracrine</v>
      </c>
      <c r="K344" s="7" t="s">
        <v>17</v>
      </c>
      <c r="L344" s="4" t="s">
        <v>2245</v>
      </c>
      <c r="M344" s="4" t="s">
        <v>13</v>
      </c>
      <c r="N344" s="4" t="str">
        <f t="shared" si="36"/>
        <v>INSERT INTO attributes (parent_id, tag, name, priority, allow_as_filter, allow_for_dataset, allow_for_measurement, allow_for_users, allow_for_qc) VALUES (NULL, 'att_signalling',  'Signallling Pathway',  500,  TRUE, TRUE, TRUE, FALSE, FALSE);</v>
      </c>
      <c r="O344" s="4" t="str">
        <f t="shared" si="37"/>
        <v xml:space="preserve">INSERT INTO attribute_values (attribute_id, tag, name, details) VALUES ((SELECT id FROM attributes WHERE tag = 'att_signalling' LIMIT 1),  'att_signalling:paracrine',  'Paracrine',  'Cell-to-Cell Communication'); </v>
      </c>
    </row>
    <row r="345" spans="1:15">
      <c r="A345" s="8" t="b">
        <f>FALSE()</f>
        <v>0</v>
      </c>
      <c r="B345" s="8"/>
      <c r="C345" s="4" t="s">
        <v>1634</v>
      </c>
      <c r="D345" s="4" t="s">
        <v>1635</v>
      </c>
      <c r="E345" s="4" t="s">
        <v>13</v>
      </c>
      <c r="F345" s="4" t="s">
        <v>2557</v>
      </c>
      <c r="G345" s="4" t="s">
        <v>2558</v>
      </c>
      <c r="H345" s="4" t="str">
        <f t="shared" si="34"/>
        <v>att_signalling</v>
      </c>
      <c r="I345" s="4" t="s">
        <v>1634</v>
      </c>
      <c r="J345" s="4" t="str">
        <f t="shared" si="35"/>
        <v>att_signalling:signaling</v>
      </c>
      <c r="K345" s="7" t="s">
        <v>17</v>
      </c>
      <c r="L345" s="4" t="s">
        <v>2246</v>
      </c>
      <c r="M345" s="4" t="s">
        <v>13</v>
      </c>
      <c r="N345" s="4" t="str">
        <f t="shared" si="36"/>
        <v>INSERT INTO attributes (parent_id, tag, name, priority, allow_as_filter, allow_for_dataset, allow_for_measurement, allow_for_users, allow_for_qc) VALUES (NULL, 'att_signalling',  'Signallling Pathway',  500,  TRUE, TRUE, TRUE, FALSE, FALSE);</v>
      </c>
      <c r="O345" s="4" t="str">
        <f t="shared" si="37"/>
        <v xml:space="preserve">INSERT INTO attribute_values (attribute_id, tag, name, details) VALUES ((SELECT id FROM attributes WHERE tag = 'att_signalling' LIMIT 1),  'att_signalling:signaling',  'Signaling',  'General Protein, Gen or Cell Signaling'); </v>
      </c>
    </row>
    <row r="346" spans="1:15">
      <c r="A346" s="7" t="s">
        <v>17</v>
      </c>
      <c r="B346" s="8"/>
      <c r="C346" s="4" t="s">
        <v>2247</v>
      </c>
      <c r="D346" s="4" t="s">
        <v>2248</v>
      </c>
      <c r="E346" s="4" t="s">
        <v>13</v>
      </c>
      <c r="F346" s="4" t="s">
        <v>156</v>
      </c>
      <c r="G346" s="4" t="s">
        <v>2559</v>
      </c>
      <c r="H346" s="4" t="str">
        <f t="shared" si="34"/>
        <v>att_software</v>
      </c>
      <c r="I346" s="4" t="s">
        <v>2247</v>
      </c>
      <c r="J346" s="4" t="str">
        <f t="shared" si="35"/>
        <v>att_software:diann</v>
      </c>
      <c r="K346" s="7" t="s">
        <v>17</v>
      </c>
      <c r="L346" s="4" t="s">
        <v>2249</v>
      </c>
      <c r="M346" s="4" t="s">
        <v>13</v>
      </c>
      <c r="N346" s="4" t="str">
        <f t="shared" si="36"/>
        <v>INSERT INTO attributes (parent_id, tag, name, priority, allow_as_filter, allow_for_dataset, allow_for_measurement, allow_for_users, allow_for_qc) VALUES (NULL, 'att_software',  'Software',  500,  TRUE, TRUE, TRUE, FALSE, FALSE);</v>
      </c>
      <c r="O346" s="4"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c r="A347" s="7" t="s">
        <v>17</v>
      </c>
      <c r="B347" s="8"/>
      <c r="C347" s="4" t="s">
        <v>2250</v>
      </c>
      <c r="D347" s="4" t="s">
        <v>2251</v>
      </c>
      <c r="E347" s="4" t="s">
        <v>13</v>
      </c>
      <c r="F347" s="4" t="s">
        <v>156</v>
      </c>
      <c r="G347" s="4" t="s">
        <v>2559</v>
      </c>
      <c r="H347" s="4" t="str">
        <f t="shared" si="34"/>
        <v>att_software</v>
      </c>
      <c r="I347" s="4" t="s">
        <v>2250</v>
      </c>
      <c r="J347" s="4" t="str">
        <f t="shared" si="35"/>
        <v>att_software:maxquant</v>
      </c>
      <c r="K347" s="7" t="s">
        <v>17</v>
      </c>
      <c r="L347" s="4" t="s">
        <v>2252</v>
      </c>
      <c r="M347" s="4" t="s">
        <v>13</v>
      </c>
      <c r="N347" s="4" t="str">
        <f t="shared" si="36"/>
        <v>INSERT INTO attributes (parent_id, tag, name, priority, allow_as_filter, allow_for_dataset, allow_for_measurement, allow_for_users, allow_for_qc) VALUES (NULL, 'att_software',  'Software',  500,  TRUE, TRUE, TRUE, FALSE, FALSE);</v>
      </c>
      <c r="O347" s="4" t="str">
        <f t="shared" si="37"/>
        <v xml:space="preserve">INSERT INTO attribute_values (attribute_id, tag, name, details) VALUES ((SELECT id FROM attributes WHERE tag = 'att_software' LIMIT 1),  'att_software:maxquant',  'MaxQuant',  'MPI’s MaxQuant quantitiative proteomics software package'); </v>
      </c>
    </row>
    <row r="348" spans="1:15">
      <c r="A348" s="7" t="s">
        <v>17</v>
      </c>
      <c r="B348" s="8"/>
      <c r="C348" s="4" t="s">
        <v>2253</v>
      </c>
      <c r="D348" s="4" t="s">
        <v>2254</v>
      </c>
      <c r="E348" s="4" t="s">
        <v>13</v>
      </c>
      <c r="F348" s="4" t="s">
        <v>156</v>
      </c>
      <c r="G348" s="4" t="s">
        <v>2559</v>
      </c>
      <c r="H348" s="4" t="str">
        <f t="shared" si="34"/>
        <v>att_software</v>
      </c>
      <c r="I348" s="4" t="s">
        <v>2253</v>
      </c>
      <c r="J348" s="4" t="str">
        <f t="shared" si="35"/>
        <v>att_software:metamorpheus</v>
      </c>
      <c r="K348" s="7" t="s">
        <v>17</v>
      </c>
      <c r="L348" s="4" t="s">
        <v>2255</v>
      </c>
      <c r="M348" s="4" t="s">
        <v>13</v>
      </c>
      <c r="N348" s="4" t="str">
        <f t="shared" si="36"/>
        <v>INSERT INTO attributes (parent_id, tag, name, priority, allow_as_filter, allow_for_dataset, allow_for_measurement, allow_for_users, allow_for_qc) VALUES (NULL, 'att_software',  'Software',  500,  TRUE, TRUE, TRUE, FALSE, FALSE);</v>
      </c>
      <c r="O348" s="4" t="str">
        <f t="shared" si="37"/>
        <v xml:space="preserve">INSERT INTO attribute_values (attribute_id, tag, name, details) VALUES ((SELECT id FROM attributes WHERE tag = 'att_software' LIMIT 1),  'att_software:metamorpheus',  'MetaMorpheus',  'Open-Source PTM Disocvery; smith-chem-wisc'); </v>
      </c>
    </row>
    <row r="349" spans="1:15">
      <c r="A349" s="7" t="s">
        <v>17</v>
      </c>
      <c r="B349" s="8"/>
      <c r="C349" s="4" t="s">
        <v>2256</v>
      </c>
      <c r="D349" s="4" t="s">
        <v>2257</v>
      </c>
      <c r="E349" s="4" t="s">
        <v>13</v>
      </c>
      <c r="F349" s="4" t="s">
        <v>156</v>
      </c>
      <c r="G349" s="4" t="s">
        <v>2559</v>
      </c>
      <c r="H349" s="4" t="str">
        <f t="shared" si="34"/>
        <v>att_software</v>
      </c>
      <c r="I349" s="4" t="s">
        <v>2256</v>
      </c>
      <c r="J349" s="4" t="str">
        <f t="shared" si="35"/>
        <v>att_software:minora</v>
      </c>
      <c r="K349" s="7" t="s">
        <v>17</v>
      </c>
      <c r="L349" s="4" t="s">
        <v>2258</v>
      </c>
      <c r="M349" s="4" t="s">
        <v>13</v>
      </c>
      <c r="N349" s="4" t="str">
        <f t="shared" si="36"/>
        <v>INSERT INTO attributes (parent_id, tag, name, priority, allow_as_filter, allow_for_dataset, allow_for_measurement, allow_for_users, allow_for_qc) VALUES (NULL, 'att_software',  'Software',  500,  TRUE, TRUE, TRUE, FALSE, FALSE);</v>
      </c>
      <c r="O349" s="4" t="str">
        <f t="shared" si="37"/>
        <v xml:space="preserve">INSERT INTO attribute_values (attribute_id, tag, name, details) VALUES ((SELECT id FROM attributes WHERE tag = 'att_software' LIMIT 1),  'att_software:minora',  'Minora',  'Proteome Discoverer, Minora; Thermo Fisher'); </v>
      </c>
    </row>
    <row r="350" spans="1:15">
      <c r="A350" s="7" t="s">
        <v>17</v>
      </c>
      <c r="B350" s="8"/>
      <c r="C350" s="4" t="s">
        <v>2259</v>
      </c>
      <c r="D350" s="4" t="s">
        <v>2260</v>
      </c>
      <c r="E350" s="4" t="s">
        <v>13</v>
      </c>
      <c r="F350" s="4" t="s">
        <v>156</v>
      </c>
      <c r="G350" s="4" t="s">
        <v>2559</v>
      </c>
      <c r="H350" s="4" t="str">
        <f t="shared" si="34"/>
        <v>att_software</v>
      </c>
      <c r="I350" s="4" t="s">
        <v>2259</v>
      </c>
      <c r="J350" s="4" t="str">
        <f t="shared" si="35"/>
        <v>att_software:msfragger</v>
      </c>
      <c r="K350" s="7" t="s">
        <v>17</v>
      </c>
      <c r="L350" s="4" t="s">
        <v>2261</v>
      </c>
      <c r="M350" s="4" t="s">
        <v>13</v>
      </c>
      <c r="N350" s="4" t="str">
        <f t="shared" si="36"/>
        <v>INSERT INTO attributes (parent_id, tag, name, priority, allow_as_filter, allow_for_dataset, allow_for_measurement, allow_for_users, allow_for_qc) VALUES (NULL, 'att_software',  'Software',  500,  TRUE, TRUE, TRUE, FALSE, FALSE);</v>
      </c>
      <c r="O350" s="4" t="str">
        <f t="shared" si="37"/>
        <v xml:space="preserve">INSERT INTO attribute_values (attribute_id, tag, name, details) VALUES ((SELECT id FROM attributes WHERE tag = 'att_software' LIMIT 1),  'att_software:msfragger',  'MSFragger',  'Nesvilab’s MSFragger'); </v>
      </c>
    </row>
    <row r="351" spans="1:15">
      <c r="A351" s="7" t="s">
        <v>17</v>
      </c>
      <c r="B351" s="8"/>
      <c r="C351" s="4" t="s">
        <v>2262</v>
      </c>
      <c r="D351" s="4" t="s">
        <v>2263</v>
      </c>
      <c r="E351" s="4" t="s">
        <v>13</v>
      </c>
      <c r="F351" s="4" t="s">
        <v>156</v>
      </c>
      <c r="G351" s="4" t="s">
        <v>2559</v>
      </c>
      <c r="H351" s="4" t="str">
        <f t="shared" si="34"/>
        <v>att_software</v>
      </c>
      <c r="I351" s="4" t="s">
        <v>2262</v>
      </c>
      <c r="J351" s="4" t="str">
        <f t="shared" si="35"/>
        <v>att_software:msgf</v>
      </c>
      <c r="K351" s="7" t="s">
        <v>17</v>
      </c>
      <c r="L351" s="4" t="s">
        <v>2264</v>
      </c>
      <c r="M351" s="4" t="s">
        <v>13</v>
      </c>
      <c r="N351" s="4" t="str">
        <f t="shared" si="36"/>
        <v>INSERT INTO attributes (parent_id, tag, name, priority, allow_as_filter, allow_for_dataset, allow_for_measurement, allow_for_users, allow_for_qc) VALUES (NULL, 'att_software',  'Software',  500,  TRUE, TRUE, TRUE, FALSE, FALSE);</v>
      </c>
      <c r="O351" s="4" t="str">
        <f t="shared" si="37"/>
        <v xml:space="preserve">INSERT INTO attribute_values (attribute_id, tag, name, details) VALUES ((SELECT id FROM attributes WHERE tag = 'att_software' LIMIT 1),  'att_software:msgf',  'MS-GF+',  'MS-GF+ (aka MSGF+ or MSGFPlus) '); </v>
      </c>
    </row>
    <row r="352" spans="1:15">
      <c r="A352" s="7" t="s">
        <v>17</v>
      </c>
      <c r="B352" s="8"/>
      <c r="C352" s="4" t="s">
        <v>2265</v>
      </c>
      <c r="D352" s="4" t="s">
        <v>2266</v>
      </c>
      <c r="E352" s="4" t="s">
        <v>13</v>
      </c>
      <c r="F352" s="4" t="s">
        <v>156</v>
      </c>
      <c r="G352" s="4" t="s">
        <v>2559</v>
      </c>
      <c r="H352" s="4" t="str">
        <f t="shared" si="34"/>
        <v>att_software</v>
      </c>
      <c r="I352" s="4" t="s">
        <v>2265</v>
      </c>
      <c r="J352" s="4" t="str">
        <f t="shared" si="35"/>
        <v>att_software:spectronaut</v>
      </c>
      <c r="K352" s="7" t="s">
        <v>17</v>
      </c>
      <c r="L352" s="4" t="s">
        <v>2267</v>
      </c>
      <c r="M352" s="4" t="s">
        <v>13</v>
      </c>
      <c r="N352" s="4" t="str">
        <f t="shared" si="36"/>
        <v>INSERT INTO attributes (parent_id, tag, name, priority, allow_as_filter, allow_for_dataset, allow_for_measurement, allow_for_users, allow_for_qc) VALUES (NULL, 'att_software',  'Software',  500,  TRUE, TRUE, TRUE, FALSE, FALSE);</v>
      </c>
      <c r="O352" s="4" t="str">
        <f t="shared" si="37"/>
        <v xml:space="preserve">INSERT INTO attribute_values (attribute_id, tag, name, details) VALUES ((SELECT id FROM attributes WHERE tag = 'att_software' LIMIT 1),  'att_software:spectronaut',  'Spectronaut',  'BioGnoSys’s Spectronaut; DIA proteomics analysis'); </v>
      </c>
    </row>
    <row r="353" spans="1:15">
      <c r="A353" s="8" t="b">
        <f>FALSE()</f>
        <v>0</v>
      </c>
      <c r="B353" s="8"/>
      <c r="C353" s="4" t="s">
        <v>2268</v>
      </c>
      <c r="D353" s="4" t="s">
        <v>2269</v>
      </c>
      <c r="E353" s="4" t="s">
        <v>13</v>
      </c>
      <c r="F353" s="4" t="s">
        <v>160</v>
      </c>
      <c r="G353" s="4" t="s">
        <v>2560</v>
      </c>
      <c r="H353" s="4" t="str">
        <f t="shared" si="34"/>
        <v>att_tissue</v>
      </c>
      <c r="I353" s="4" t="s">
        <v>2268</v>
      </c>
      <c r="J353" s="4" t="str">
        <f t="shared" si="35"/>
        <v>att_tissue:adipose</v>
      </c>
      <c r="K353" s="7" t="s">
        <v>17</v>
      </c>
      <c r="L353" s="4" t="s">
        <v>2270</v>
      </c>
      <c r="M353" s="4" t="s">
        <v>13</v>
      </c>
      <c r="N353" s="4" t="str">
        <f t="shared" si="36"/>
        <v>INSERT INTO attributes (parent_id, tag, name, priority, allow_as_filter, allow_for_dataset, allow_for_measurement, allow_for_users, allow_for_qc) VALUES (NULL, 'att_tissue',  'Tissue',  500,  TRUE, TRUE, TRUE, FALSE, FALSE);</v>
      </c>
      <c r="O353" s="4" t="str">
        <f t="shared" si="37"/>
        <v xml:space="preserve">INSERT INTO attribute_values (attribute_id, tag, name, details) VALUES ((SELECT id FROM attributes WHERE tag = 'att_tissue' LIMIT 1),  'att_tissue:adipose',  'Adipose',  'Adipose connective tissue'); </v>
      </c>
    </row>
    <row r="354" spans="1:15">
      <c r="A354" s="8" t="b">
        <f>FALSE()</f>
        <v>0</v>
      </c>
      <c r="B354" s="8"/>
      <c r="C354" s="4" t="s">
        <v>2271</v>
      </c>
      <c r="D354" s="4" t="s">
        <v>2272</v>
      </c>
      <c r="E354" s="4" t="s">
        <v>13</v>
      </c>
      <c r="F354" s="4" t="s">
        <v>160</v>
      </c>
      <c r="G354" s="4" t="s">
        <v>2560</v>
      </c>
      <c r="H354" s="4" t="str">
        <f t="shared" si="34"/>
        <v>att_tissue</v>
      </c>
      <c r="I354" s="4" t="s">
        <v>2271</v>
      </c>
      <c r="J354" s="4" t="str">
        <f t="shared" si="35"/>
        <v>att_tissue:areolar</v>
      </c>
      <c r="K354" s="7" t="s">
        <v>17</v>
      </c>
      <c r="L354" s="4" t="s">
        <v>2273</v>
      </c>
      <c r="M354" s="4" t="s">
        <v>13</v>
      </c>
      <c r="N354" s="4" t="str">
        <f t="shared" si="36"/>
        <v>INSERT INTO attributes (parent_id, tag, name, priority, allow_as_filter, allow_for_dataset, allow_for_measurement, allow_for_users, allow_for_qc) VALUES (NULL, 'att_tissue',  'Tissue',  500,  TRUE, TRUE, TRUE, FALSE, FALSE);</v>
      </c>
      <c r="O354" s="4" t="str">
        <f t="shared" si="37"/>
        <v xml:space="preserve">INSERT INTO attribute_values (attribute_id, tag, name, details) VALUES ((SELECT id FROM attributes WHERE tag = 'att_tissue' LIMIT 1),  'att_tissue:areolar',  'Areolar',  'Areolar connective tissue'); </v>
      </c>
    </row>
    <row r="355" spans="1:15">
      <c r="A355" s="8" t="b">
        <f>FALSE()</f>
        <v>0</v>
      </c>
      <c r="B355" s="8"/>
      <c r="C355" s="4" t="s">
        <v>2274</v>
      </c>
      <c r="D355" s="4" t="s">
        <v>2275</v>
      </c>
      <c r="E355" s="4" t="s">
        <v>13</v>
      </c>
      <c r="F355" s="4" t="s">
        <v>160</v>
      </c>
      <c r="G355" s="4" t="s">
        <v>2560</v>
      </c>
      <c r="H355" s="4" t="str">
        <f t="shared" si="34"/>
        <v>att_tissue</v>
      </c>
      <c r="I355" s="4" t="s">
        <v>2274</v>
      </c>
      <c r="J355" s="4" t="str">
        <f t="shared" si="35"/>
        <v>att_tissue:blood</v>
      </c>
      <c r="K355" s="7" t="s">
        <v>17</v>
      </c>
      <c r="L355" s="4" t="s">
        <v>2275</v>
      </c>
      <c r="M355" s="4" t="s">
        <v>13</v>
      </c>
      <c r="N355" s="4" t="str">
        <f t="shared" si="36"/>
        <v>INSERT INTO attributes (parent_id, tag, name, priority, allow_as_filter, allow_for_dataset, allow_for_measurement, allow_for_users, allow_for_qc) VALUES (NULL, 'att_tissue',  'Tissue',  500,  TRUE, TRUE, TRUE, FALSE, FALSE);</v>
      </c>
      <c r="O355" s="4" t="str">
        <f t="shared" si="37"/>
        <v xml:space="preserve">INSERT INTO attribute_values (attribute_id, tag, name, details) VALUES ((SELECT id FROM attributes WHERE tag = 'att_tissue' LIMIT 1),  'att_tissue:blood',  'Blood',  'Blood'); </v>
      </c>
    </row>
    <row r="356" spans="1:15">
      <c r="A356" s="8" t="b">
        <f>FALSE()</f>
        <v>0</v>
      </c>
      <c r="B356" s="8"/>
      <c r="C356" s="4" t="s">
        <v>2276</v>
      </c>
      <c r="D356" s="4" t="s">
        <v>2277</v>
      </c>
      <c r="E356" s="4" t="s">
        <v>13</v>
      </c>
      <c r="F356" s="4" t="s">
        <v>160</v>
      </c>
      <c r="G356" s="4" t="s">
        <v>2560</v>
      </c>
      <c r="H356" s="4" t="str">
        <f t="shared" si="34"/>
        <v>att_tissue</v>
      </c>
      <c r="I356" s="4" t="s">
        <v>2276</v>
      </c>
      <c r="J356" s="4" t="str">
        <f t="shared" si="35"/>
        <v>att_tissue:connective</v>
      </c>
      <c r="K356" s="7" t="s">
        <v>17</v>
      </c>
      <c r="L356" s="4" t="s">
        <v>2278</v>
      </c>
      <c r="M356" s="4" t="s">
        <v>13</v>
      </c>
      <c r="N356" s="4" t="str">
        <f t="shared" si="36"/>
        <v>INSERT INTO attributes (parent_id, tag, name, priority, allow_as_filter, allow_for_dataset, allow_for_measurement, allow_for_users, allow_for_qc) VALUES (NULL, 'att_tissue',  'Tissue',  500,  TRUE, TRUE, TRUE, FALSE, FALSE);</v>
      </c>
      <c r="O356" s="4" t="str">
        <f t="shared" si="37"/>
        <v xml:space="preserve">INSERT INTO attribute_values (attribute_id, tag, name, details) VALUES ((SELECT id FROM attributes WHERE tag = 'att_tissue' LIMIT 1),  'att_tissue:connective',  'Connective',  'Connective tissue'); </v>
      </c>
    </row>
    <row r="357" spans="1:15">
      <c r="A357" s="8" t="b">
        <f>FALSE()</f>
        <v>0</v>
      </c>
      <c r="B357" s="8"/>
      <c r="C357" s="4" t="s">
        <v>2279</v>
      </c>
      <c r="D357" s="4" t="s">
        <v>2280</v>
      </c>
      <c r="E357" s="4" t="s">
        <v>13</v>
      </c>
      <c r="F357" s="4" t="s">
        <v>160</v>
      </c>
      <c r="G357" s="4" t="s">
        <v>2560</v>
      </c>
      <c r="H357" s="4" t="str">
        <f t="shared" si="34"/>
        <v>att_tissue</v>
      </c>
      <c r="I357" s="4" t="s">
        <v>2279</v>
      </c>
      <c r="J357" s="4" t="str">
        <f t="shared" si="35"/>
        <v>att_tissue:dermis</v>
      </c>
      <c r="K357" s="7" t="s">
        <v>17</v>
      </c>
      <c r="L357" s="4" t="s">
        <v>2280</v>
      </c>
      <c r="M357" s="4" t="s">
        <v>13</v>
      </c>
      <c r="N357" s="4" t="str">
        <f t="shared" si="36"/>
        <v>INSERT INTO attributes (parent_id, tag, name, priority, allow_as_filter, allow_for_dataset, allow_for_measurement, allow_for_users, allow_for_qc) VALUES (NULL, 'att_tissue',  'Tissue',  500,  TRUE, TRUE, TRUE, FALSE, FALSE);</v>
      </c>
      <c r="O357" s="4" t="str">
        <f t="shared" si="37"/>
        <v xml:space="preserve">INSERT INTO attribute_values (attribute_id, tag, name, details) VALUES ((SELECT id FROM attributes WHERE tag = 'att_tissue' LIMIT 1),  'att_tissue:dermis',  'Dermis',  'Dermis'); </v>
      </c>
    </row>
    <row r="358" spans="1:15">
      <c r="A358" s="8" t="b">
        <f>FALSE()</f>
        <v>0</v>
      </c>
      <c r="B358" s="8"/>
      <c r="C358" s="4" t="s">
        <v>2281</v>
      </c>
      <c r="D358" s="4" t="s">
        <v>2282</v>
      </c>
      <c r="E358" s="4" t="s">
        <v>13</v>
      </c>
      <c r="F358" s="4" t="s">
        <v>160</v>
      </c>
      <c r="G358" s="4" t="s">
        <v>2560</v>
      </c>
      <c r="H358" s="4" t="str">
        <f t="shared" si="34"/>
        <v>att_tissue</v>
      </c>
      <c r="I358" s="4" t="s">
        <v>2281</v>
      </c>
      <c r="J358" s="4" t="str">
        <f t="shared" si="35"/>
        <v>att_tissue:epidermis</v>
      </c>
      <c r="K358" s="7" t="s">
        <v>17</v>
      </c>
      <c r="L358" s="4" t="s">
        <v>2282</v>
      </c>
      <c r="M358" s="4" t="s">
        <v>13</v>
      </c>
      <c r="N358" s="4" t="str">
        <f t="shared" si="36"/>
        <v>INSERT INTO attributes (parent_id, tag, name, priority, allow_as_filter, allow_for_dataset, allow_for_measurement, allow_for_users, allow_for_qc) VALUES (NULL, 'att_tissue',  'Tissue',  500,  TRUE, TRUE, TRUE, FALSE, FALSE);</v>
      </c>
      <c r="O358" s="4" t="str">
        <f t="shared" si="37"/>
        <v xml:space="preserve">INSERT INTO attribute_values (attribute_id, tag, name, details) VALUES ((SELECT id FROM attributes WHERE tag = 'att_tissue' LIMIT 1),  'att_tissue:epidermis',  'Epidermis',  'Epidermis'); </v>
      </c>
    </row>
    <row r="359" spans="1:15">
      <c r="A359" s="8" t="b">
        <f>FALSE()</f>
        <v>0</v>
      </c>
      <c r="B359" s="8"/>
      <c r="C359" s="4" t="s">
        <v>2283</v>
      </c>
      <c r="D359" s="4" t="s">
        <v>2284</v>
      </c>
      <c r="E359" s="4" t="s">
        <v>13</v>
      </c>
      <c r="F359" s="4" t="s">
        <v>160</v>
      </c>
      <c r="G359" s="4" t="s">
        <v>2560</v>
      </c>
      <c r="H359" s="4" t="str">
        <f t="shared" si="34"/>
        <v>att_tissue</v>
      </c>
      <c r="I359" s="4" t="s">
        <v>2283</v>
      </c>
      <c r="J359" s="4" t="str">
        <f t="shared" si="35"/>
        <v>att_tissue:epithelial</v>
      </c>
      <c r="K359" s="7" t="s">
        <v>17</v>
      </c>
      <c r="L359" s="4" t="s">
        <v>2285</v>
      </c>
      <c r="M359" s="4" t="s">
        <v>13</v>
      </c>
      <c r="N359" s="4" t="str">
        <f t="shared" si="36"/>
        <v>INSERT INTO attributes (parent_id, tag, name, priority, allow_as_filter, allow_for_dataset, allow_for_measurement, allow_for_users, allow_for_qc) VALUES (NULL, 'att_tissue',  'Tissue',  500,  TRUE, TRUE, TRUE, FALSE, FALSE);</v>
      </c>
      <c r="O359" s="4" t="str">
        <f t="shared" si="37"/>
        <v xml:space="preserve">INSERT INTO attribute_values (attribute_id, tag, name, details) VALUES ((SELECT id FROM attributes WHERE tag = 'att_tissue' LIMIT 1),  'att_tissue:epithelial',  'Epithelial',  'Epithelial tissue'); </v>
      </c>
    </row>
    <row r="360" spans="1:15">
      <c r="A360" s="8" t="b">
        <f>FALSE()</f>
        <v>0</v>
      </c>
      <c r="B360" s="8"/>
      <c r="C360" s="4" t="s">
        <v>2286</v>
      </c>
      <c r="D360" s="4" t="s">
        <v>2287</v>
      </c>
      <c r="E360" s="4" t="s">
        <v>13</v>
      </c>
      <c r="F360" s="4" t="s">
        <v>160</v>
      </c>
      <c r="G360" s="4" t="s">
        <v>2560</v>
      </c>
      <c r="H360" s="4" t="str">
        <f t="shared" si="34"/>
        <v>att_tissue</v>
      </c>
      <c r="I360" s="4" t="s">
        <v>2286</v>
      </c>
      <c r="J360" s="4" t="str">
        <f t="shared" si="35"/>
        <v>att_tissue:hypodermis</v>
      </c>
      <c r="K360" s="7" t="s">
        <v>17</v>
      </c>
      <c r="L360" s="4" t="s">
        <v>2287</v>
      </c>
      <c r="M360" s="4" t="s">
        <v>13</v>
      </c>
      <c r="N360" s="4" t="str">
        <f t="shared" si="36"/>
        <v>INSERT INTO attributes (parent_id, tag, name, priority, allow_as_filter, allow_for_dataset, allow_for_measurement, allow_for_users, allow_for_qc) VALUES (NULL, 'att_tissue',  'Tissue',  500,  TRUE, TRUE, TRUE, FALSE, FALSE);</v>
      </c>
      <c r="O360" s="4" t="str">
        <f t="shared" si="37"/>
        <v xml:space="preserve">INSERT INTO attribute_values (attribute_id, tag, name, details) VALUES ((SELECT id FROM attributes WHERE tag = 'att_tissue' LIMIT 1),  'att_tissue:hypodermis',  'Hypodermis',  'Hypodermis'); </v>
      </c>
    </row>
    <row r="361" spans="1:15">
      <c r="A361" s="8" t="b">
        <f>FALSE()</f>
        <v>0</v>
      </c>
      <c r="B361" s="8"/>
      <c r="C361" s="4" t="s">
        <v>2288</v>
      </c>
      <c r="D361" s="4" t="s">
        <v>128</v>
      </c>
      <c r="E361" s="4" t="s">
        <v>13</v>
      </c>
      <c r="F361" s="4" t="s">
        <v>160</v>
      </c>
      <c r="G361" s="4" t="s">
        <v>2560</v>
      </c>
      <c r="H361" s="4" t="str">
        <f t="shared" si="34"/>
        <v>att_tissue</v>
      </c>
      <c r="I361" s="4" t="s">
        <v>2288</v>
      </c>
      <c r="J361" s="4" t="str">
        <f t="shared" si="35"/>
        <v>att_tissue:muscle</v>
      </c>
      <c r="K361" s="7" t="s">
        <v>17</v>
      </c>
      <c r="L361" s="4" t="s">
        <v>2289</v>
      </c>
      <c r="M361" s="4" t="s">
        <v>13</v>
      </c>
      <c r="N361" s="4" t="str">
        <f t="shared" si="36"/>
        <v>INSERT INTO attributes (parent_id, tag, name, priority, allow_as_filter, allow_for_dataset, allow_for_measurement, allow_for_users, allow_for_qc) VALUES (NULL, 'att_tissue',  'Tissue',  500,  TRUE, TRUE, TRUE, FALSE, FALSE);</v>
      </c>
      <c r="O361" s="4" t="str">
        <f t="shared" si="37"/>
        <v xml:space="preserve">INSERT INTO attribute_values (attribute_id, tag, name, details) VALUES ((SELECT id FROM attributes WHERE tag = 'att_tissue' LIMIT 1),  'att_tissue:muscle',  'Muscle',  'Muscle tissue'); </v>
      </c>
    </row>
    <row r="362" spans="1:15">
      <c r="A362" s="8" t="b">
        <f>FALSE()</f>
        <v>0</v>
      </c>
      <c r="B362" s="8"/>
      <c r="C362" s="4" t="s">
        <v>2290</v>
      </c>
      <c r="D362" s="4" t="s">
        <v>2109</v>
      </c>
      <c r="E362" s="4" t="s">
        <v>13</v>
      </c>
      <c r="F362" s="4" t="s">
        <v>160</v>
      </c>
      <c r="G362" s="4" t="s">
        <v>2560</v>
      </c>
      <c r="H362" s="4" t="str">
        <f t="shared" si="34"/>
        <v>att_tissue</v>
      </c>
      <c r="I362" s="4" t="s">
        <v>2290</v>
      </c>
      <c r="J362" s="4" t="str">
        <f t="shared" si="35"/>
        <v>att_tissue:nervous</v>
      </c>
      <c r="K362" s="7" t="s">
        <v>17</v>
      </c>
      <c r="L362" s="4" t="s">
        <v>2291</v>
      </c>
      <c r="M362" s="4" t="s">
        <v>13</v>
      </c>
      <c r="N362" s="4" t="str">
        <f t="shared" si="36"/>
        <v>INSERT INTO attributes (parent_id, tag, name, priority, allow_as_filter, allow_for_dataset, allow_for_measurement, allow_for_users, allow_for_qc) VALUES (NULL, 'att_tissue',  'Tissue',  500,  TRUE, TRUE, TRUE, FALSE, FALSE);</v>
      </c>
      <c r="O362" s="4" t="str">
        <f t="shared" si="37"/>
        <v xml:space="preserve">INSERT INTO attribute_values (attribute_id, tag, name, details) VALUES ((SELECT id FROM attributes WHERE tag = 'att_tissue' LIMIT 1),  'att_tissue:nervous',  'Nervous',  'Nervous tissue'); </v>
      </c>
    </row>
    <row r="363" spans="1:15">
      <c r="A363" s="8" t="b">
        <f>FALSE()</f>
        <v>0</v>
      </c>
      <c r="B363" s="8"/>
      <c r="C363" s="4" t="s">
        <v>2292</v>
      </c>
      <c r="D363" s="4" t="s">
        <v>2293</v>
      </c>
      <c r="E363" s="4" t="s">
        <v>13</v>
      </c>
      <c r="F363" s="4" t="s">
        <v>160</v>
      </c>
      <c r="G363" s="4" t="s">
        <v>2560</v>
      </c>
      <c r="H363" s="4" t="str">
        <f t="shared" si="34"/>
        <v>att_tissue</v>
      </c>
      <c r="I363" s="4" t="s">
        <v>2292</v>
      </c>
      <c r="J363" s="4" t="str">
        <f t="shared" si="35"/>
        <v>att_tissue:reticular</v>
      </c>
      <c r="K363" s="7" t="s">
        <v>17</v>
      </c>
      <c r="L363" s="4" t="s">
        <v>2294</v>
      </c>
      <c r="M363" s="4" t="s">
        <v>13</v>
      </c>
      <c r="N363" s="4" t="str">
        <f t="shared" si="36"/>
        <v>INSERT INTO attributes (parent_id, tag, name, priority, allow_as_filter, allow_for_dataset, allow_for_measurement, allow_for_users, allow_for_qc) VALUES (NULL, 'att_tissue',  'Tissue',  500,  TRUE, TRUE, TRUE, FALSE, FALSE);</v>
      </c>
      <c r="O363" s="4" t="str">
        <f t="shared" si="37"/>
        <v xml:space="preserve">INSERT INTO attribute_values (attribute_id, tag, name, details) VALUES ((SELECT id FROM attributes WHERE tag = 'att_tissue' LIMIT 1),  'att_tissue:reticular',  'Reticular',  'Reticular connective tissue'); </v>
      </c>
    </row>
    <row r="364" spans="1:15">
      <c r="A364" s="8" t="b">
        <f>FALSE()</f>
        <v>0</v>
      </c>
      <c r="B364" s="8"/>
      <c r="C364" s="4" t="s">
        <v>2295</v>
      </c>
      <c r="D364" s="4" t="s">
        <v>2296</v>
      </c>
      <c r="E364" s="4" t="s">
        <v>13</v>
      </c>
      <c r="F364" s="4" t="s">
        <v>160</v>
      </c>
      <c r="G364" s="4" t="s">
        <v>2560</v>
      </c>
      <c r="H364" s="4" t="str">
        <f t="shared" si="34"/>
        <v>att_tissue</v>
      </c>
      <c r="I364" s="4" t="s">
        <v>2295</v>
      </c>
      <c r="J364" s="4" t="str">
        <f t="shared" si="35"/>
        <v>att_tissue:stromal</v>
      </c>
      <c r="K364" s="7" t="s">
        <v>17</v>
      </c>
      <c r="L364" s="4" t="s">
        <v>2297</v>
      </c>
      <c r="M364" s="4" t="s">
        <v>13</v>
      </c>
      <c r="N364" s="4" t="str">
        <f t="shared" si="36"/>
        <v>INSERT INTO attributes (parent_id, tag, name, priority, allow_as_filter, allow_for_dataset, allow_for_measurement, allow_for_users, allow_for_qc) VALUES (NULL, 'att_tissue',  'Tissue',  500,  TRUE, TRUE, TRUE, FALSE, FALSE);</v>
      </c>
      <c r="O364" s="4" t="str">
        <f t="shared" si="37"/>
        <v xml:space="preserve">INSERT INTO attribute_values (attribute_id, tag, name, details) VALUES ((SELECT id FROM attributes WHERE tag = 'att_tissue' LIMIT 1),  'att_tissue:stromal',  'Stromal',  'Stroma tissue'); </v>
      </c>
    </row>
    <row r="365" spans="1:15">
      <c r="A365" s="7" t="s">
        <v>17</v>
      </c>
      <c r="B365" s="7"/>
      <c r="C365" s="4" t="s">
        <v>897</v>
      </c>
      <c r="D365" s="4" t="s">
        <v>899</v>
      </c>
      <c r="E365" s="4" t="s">
        <v>13</v>
      </c>
      <c r="F365" s="4" t="s">
        <v>2448</v>
      </c>
      <c r="G365" s="4" t="s">
        <v>2449</v>
      </c>
      <c r="H365" s="4" t="str">
        <f t="shared" ref="H365" si="38">"att_"&amp;G365</f>
        <v>att_dataset</v>
      </c>
      <c r="I365" s="4" t="s">
        <v>2561</v>
      </c>
      <c r="J365" s="4" t="str">
        <f t="shared" ref="J365" si="39">H365&amp;":"&amp;I365</f>
        <v>att_dataset:database orf_search</v>
      </c>
      <c r="K365" s="7" t="s">
        <v>17</v>
      </c>
      <c r="L365" s="4" t="s">
        <v>900</v>
      </c>
      <c r="M365" s="4" t="s">
        <v>13</v>
      </c>
      <c r="N365" s="4" t="str">
        <f t="shared" si="36"/>
        <v>INSERT INTO attributes (parent_id, tag, name, priority, allow_as_filter, allow_for_dataset, allow_for_measurement, allow_for_users, allow_for_qc) VALUES (NULL, 'att_dataset',  'Spectral Interpretation',  500,  TRUE, TRUE, TRUE, FALSE, FALSE);</v>
      </c>
      <c r="O365" s="4" t="str">
        <f t="shared" si="37"/>
        <v xml:space="preserve">INSERT INTO attribute_values (attribute_id, tag, name, details) VALUES ((SELECT id FROM attributes WHERE tag = 'att_dataset' LIMIT 1),  'att_dataset:database orf_search',  'Database + ORF search',  'database and orf search'); </v>
      </c>
    </row>
    <row r="368" spans="1:15">
      <c r="C368" s="4" t="s">
        <v>2562</v>
      </c>
      <c r="D368" s="4" t="s">
        <v>1240</v>
      </c>
      <c r="F368" s="4" t="s">
        <v>107</v>
      </c>
      <c r="G368" s="4" t="s">
        <v>66</v>
      </c>
      <c r="H368" s="4" t="s">
        <v>106</v>
      </c>
      <c r="I368" s="4" t="s">
        <v>921</v>
      </c>
      <c r="J368" s="4" t="str">
        <f>H368&amp;":"&amp;I368</f>
        <v>att_lysis_buffer:sds</v>
      </c>
      <c r="L368" s="4" t="s">
        <v>1241</v>
      </c>
    </row>
    <row r="369" spans="3:12">
      <c r="C369" s="4" t="s">
        <v>2563</v>
      </c>
      <c r="D369" s="4" t="s">
        <v>1246</v>
      </c>
      <c r="F369" s="4" t="s">
        <v>107</v>
      </c>
      <c r="G369" s="4" t="s">
        <v>66</v>
      </c>
      <c r="H369" s="4" t="s">
        <v>106</v>
      </c>
      <c r="I369" s="4" t="s">
        <v>1245</v>
      </c>
      <c r="J369" s="4" t="str">
        <f>H369&amp;":"&amp;I369</f>
        <v>att_lysis_buffer:urea</v>
      </c>
      <c r="L369" s="4" t="s">
        <v>1247</v>
      </c>
    </row>
    <row r="370" spans="3:12">
      <c r="C370" s="4" t="s">
        <v>2564</v>
      </c>
      <c r="D370" s="4" t="s">
        <v>1243</v>
      </c>
      <c r="F370" s="4" t="s">
        <v>107</v>
      </c>
      <c r="G370" s="4" t="s">
        <v>66</v>
      </c>
      <c r="H370" s="4" t="s">
        <v>106</v>
      </c>
      <c r="I370" s="4" t="s">
        <v>1242</v>
      </c>
      <c r="J370" s="4" t="str">
        <f>H370&amp;":"&amp;I370</f>
        <v>att_lysis_buffer:two_sdc</v>
      </c>
      <c r="L370" s="4" t="s">
        <v>1244</v>
      </c>
    </row>
    <row r="371" spans="3:12">
      <c r="C371" s="4" t="s">
        <v>2564</v>
      </c>
      <c r="D371" s="4" t="s">
        <v>1238</v>
      </c>
      <c r="F371" s="4" t="s">
        <v>107</v>
      </c>
      <c r="G371" s="4" t="s">
        <v>66</v>
      </c>
      <c r="H371" s="4" t="s">
        <v>106</v>
      </c>
      <c r="I371" s="4" t="s">
        <v>1237</v>
      </c>
      <c r="J371" s="4" t="str">
        <f>H371&amp;":"&amp;I371</f>
        <v>att_lysis_buffer:one_sdc</v>
      </c>
      <c r="L371" s="4" t="s">
        <v>1239</v>
      </c>
    </row>
    <row r="373" spans="3:12">
      <c r="C373" s="4" t="s">
        <v>66</v>
      </c>
      <c r="D373" s="4" t="s">
        <v>1249</v>
      </c>
      <c r="F373" s="4" t="s">
        <v>108</v>
      </c>
      <c r="G373" s="4" t="s">
        <v>66</v>
      </c>
      <c r="H373" s="4" t="s">
        <v>64</v>
      </c>
      <c r="I373" s="4" t="s">
        <v>1248</v>
      </c>
      <c r="J373" s="4" t="str">
        <f>H373&amp;":"&amp;I373</f>
        <v>att_lysis_method:dounce</v>
      </c>
      <c r="L373" s="4" t="s">
        <v>1250</v>
      </c>
    </row>
    <row r="374" spans="3:12">
      <c r="C374" s="4" t="s">
        <v>66</v>
      </c>
      <c r="D374" s="4" t="s">
        <v>1255</v>
      </c>
      <c r="F374" s="4" t="s">
        <v>108</v>
      </c>
      <c r="G374" s="4" t="s">
        <v>66</v>
      </c>
      <c r="H374" s="4" t="s">
        <v>64</v>
      </c>
      <c r="I374" s="4" t="s">
        <v>1254</v>
      </c>
      <c r="J374" s="4" t="str">
        <f>H374&amp;":"&amp;I374</f>
        <v>att_lysis_method:paracyllus</v>
      </c>
      <c r="L374" s="4" t="s">
        <v>1256</v>
      </c>
    </row>
    <row r="375" spans="3:12">
      <c r="C375" s="4" t="s">
        <v>66</v>
      </c>
      <c r="D375" s="4" t="s">
        <v>1252</v>
      </c>
      <c r="F375" s="4" t="s">
        <v>108</v>
      </c>
      <c r="G375" s="4" t="s">
        <v>66</v>
      </c>
      <c r="H375" s="4" t="s">
        <v>64</v>
      </c>
      <c r="I375" s="4" t="s">
        <v>1251</v>
      </c>
      <c r="J375" s="4" t="str">
        <f>H375&amp;":"&amp;I375</f>
        <v>att_lysis_method:motar_pestle</v>
      </c>
      <c r="L375" s="4" t="s">
        <v>1253</v>
      </c>
    </row>
    <row r="377" spans="3:12">
      <c r="C377" s="4" t="s">
        <v>2565</v>
      </c>
      <c r="D377" s="4" t="s">
        <v>922</v>
      </c>
      <c r="F377" s="4" t="s">
        <v>65</v>
      </c>
      <c r="G377" s="4" t="s">
        <v>2566</v>
      </c>
      <c r="H377" s="4" t="s">
        <v>63</v>
      </c>
      <c r="I377" s="4" t="s">
        <v>921</v>
      </c>
      <c r="J377" s="4" t="str">
        <f t="shared" ref="J377:J385" si="40">H377&amp;":"&amp;I377</f>
        <v>att_detergent:sds</v>
      </c>
      <c r="L377" s="4" t="s">
        <v>923</v>
      </c>
    </row>
    <row r="378" spans="3:12">
      <c r="C378" s="4" t="s">
        <v>2567</v>
      </c>
      <c r="D378" s="4" t="s">
        <v>928</v>
      </c>
      <c r="F378" s="4" t="s">
        <v>65</v>
      </c>
      <c r="G378" s="4" t="s">
        <v>2566</v>
      </c>
      <c r="H378" s="4" t="s">
        <v>63</v>
      </c>
      <c r="I378" s="4" t="s">
        <v>927</v>
      </c>
      <c r="J378" s="4" t="str">
        <f t="shared" si="40"/>
        <v>att_detergent:tween20</v>
      </c>
      <c r="L378" s="4" t="s">
        <v>929</v>
      </c>
    </row>
    <row r="379" spans="3:12">
      <c r="C379" s="4" t="s">
        <v>2568</v>
      </c>
      <c r="D379" s="4" t="s">
        <v>2569</v>
      </c>
      <c r="F379" s="4" t="s">
        <v>65</v>
      </c>
      <c r="G379" s="4" t="s">
        <v>2566</v>
      </c>
      <c r="H379" s="4" t="s">
        <v>63</v>
      </c>
      <c r="I379" s="4" t="s">
        <v>930</v>
      </c>
      <c r="J379" s="4" t="str">
        <f t="shared" si="40"/>
        <v>att_detergent:tween80</v>
      </c>
      <c r="L379" s="4" t="s">
        <v>932</v>
      </c>
    </row>
    <row r="380" spans="3:12">
      <c r="C380" s="4" t="s">
        <v>2570</v>
      </c>
      <c r="D380" s="4" t="s">
        <v>913</v>
      </c>
      <c r="F380" s="4" t="s">
        <v>65</v>
      </c>
      <c r="G380" s="4" t="s">
        <v>2566</v>
      </c>
      <c r="H380" s="4" t="s">
        <v>63</v>
      </c>
      <c r="I380" s="4" t="s">
        <v>912</v>
      </c>
      <c r="J380" s="4" t="str">
        <f t="shared" si="40"/>
        <v>att_detergent:np40</v>
      </c>
      <c r="L380" s="4" t="s">
        <v>914</v>
      </c>
    </row>
    <row r="381" spans="3:12">
      <c r="C381" s="4" t="s">
        <v>2571</v>
      </c>
      <c r="D381" s="4" t="s">
        <v>925</v>
      </c>
      <c r="F381" s="4" t="s">
        <v>65</v>
      </c>
      <c r="G381" s="4" t="s">
        <v>2566</v>
      </c>
      <c r="H381" s="4" t="s">
        <v>63</v>
      </c>
      <c r="I381" s="4" t="s">
        <v>924</v>
      </c>
      <c r="J381" s="4" t="str">
        <f t="shared" si="40"/>
        <v>att_detergent:tritonx100</v>
      </c>
      <c r="L381" s="4" t="s">
        <v>926</v>
      </c>
    </row>
    <row r="382" spans="3:12">
      <c r="C382" s="4" t="s">
        <v>2572</v>
      </c>
      <c r="D382" s="4" t="s">
        <v>907</v>
      </c>
      <c r="F382" s="4" t="s">
        <v>65</v>
      </c>
      <c r="G382" s="4" t="s">
        <v>2566</v>
      </c>
      <c r="H382" s="4" t="s">
        <v>63</v>
      </c>
      <c r="I382" s="4" t="s">
        <v>906</v>
      </c>
      <c r="J382" s="4" t="str">
        <f t="shared" si="40"/>
        <v>att_detergent:chaps</v>
      </c>
      <c r="L382" s="4" t="s">
        <v>908</v>
      </c>
    </row>
    <row r="383" spans="3:12">
      <c r="C383" s="4" t="s">
        <v>2573</v>
      </c>
      <c r="D383" s="4" t="s">
        <v>910</v>
      </c>
      <c r="F383" s="4" t="s">
        <v>65</v>
      </c>
      <c r="G383" s="4" t="s">
        <v>2566</v>
      </c>
      <c r="H383" s="4" t="s">
        <v>63</v>
      </c>
      <c r="I383" s="4" t="s">
        <v>909</v>
      </c>
      <c r="J383" s="4" t="str">
        <f t="shared" si="40"/>
        <v>att_detergent:dmm</v>
      </c>
      <c r="L383" s="4" t="s">
        <v>911</v>
      </c>
    </row>
    <row r="384" spans="3:12">
      <c r="C384" s="4" t="s">
        <v>2574</v>
      </c>
      <c r="D384" s="4" t="s">
        <v>916</v>
      </c>
      <c r="F384" s="4" t="s">
        <v>65</v>
      </c>
      <c r="G384" s="4" t="s">
        <v>2566</v>
      </c>
      <c r="H384" s="4" t="s">
        <v>63</v>
      </c>
      <c r="I384" s="4" t="s">
        <v>915</v>
      </c>
      <c r="J384" s="4" t="str">
        <f t="shared" si="40"/>
        <v>att_detergent:og</v>
      </c>
      <c r="L384" s="4" t="s">
        <v>917</v>
      </c>
    </row>
    <row r="385" spans="1:12">
      <c r="C385" s="4" t="s">
        <v>2575</v>
      </c>
      <c r="D385" s="4" t="s">
        <v>919</v>
      </c>
      <c r="F385" s="4" t="s">
        <v>65</v>
      </c>
      <c r="G385" s="4" t="s">
        <v>2566</v>
      </c>
      <c r="H385" s="4" t="s">
        <v>63</v>
      </c>
      <c r="I385" s="4" t="s">
        <v>918</v>
      </c>
      <c r="J385" s="4" t="str">
        <f t="shared" si="40"/>
        <v>att_detergent:otg</v>
      </c>
      <c r="L385" s="4" t="s">
        <v>920</v>
      </c>
    </row>
    <row r="387" spans="1:12">
      <c r="C387" s="4" t="s">
        <v>2576</v>
      </c>
      <c r="D387" s="4" t="s">
        <v>2218</v>
      </c>
      <c r="F387" s="4" t="s">
        <v>2577</v>
      </c>
      <c r="G387" s="4" t="s">
        <v>2578</v>
      </c>
      <c r="H387" s="4" t="s">
        <v>152</v>
      </c>
      <c r="I387" s="4" t="s">
        <v>2217</v>
      </c>
      <c r="J387" s="4" t="str">
        <f>H387&amp;":"&amp;I387</f>
        <v>att_reduction:tcep</v>
      </c>
      <c r="L387" s="4" t="s">
        <v>2219</v>
      </c>
    </row>
    <row r="388" spans="1:12">
      <c r="C388" s="4" t="s">
        <v>2579</v>
      </c>
      <c r="D388" s="4" t="s">
        <v>2214</v>
      </c>
      <c r="F388" s="4" t="s">
        <v>2577</v>
      </c>
      <c r="G388" s="4" t="s">
        <v>2578</v>
      </c>
      <c r="H388" s="4" t="s">
        <v>152</v>
      </c>
      <c r="I388" s="4" t="s">
        <v>2213</v>
      </c>
      <c r="J388" s="4" t="str">
        <f>H388&amp;":"&amp;I388</f>
        <v>att_reduction:dtt</v>
      </c>
      <c r="L388" s="4" t="s">
        <v>2215</v>
      </c>
    </row>
    <row r="389" spans="1:12">
      <c r="C389" s="4" t="s">
        <v>2579</v>
      </c>
      <c r="D389" s="4" t="s">
        <v>1742</v>
      </c>
      <c r="F389" s="4" t="s">
        <v>2577</v>
      </c>
      <c r="G389" s="4" t="s">
        <v>2578</v>
      </c>
      <c r="H389" s="4" t="s">
        <v>152</v>
      </c>
      <c r="I389" s="4" t="s">
        <v>262</v>
      </c>
      <c r="J389" s="4" t="str">
        <f>H389&amp;":"&amp;I389</f>
        <v>att_reduction:none</v>
      </c>
      <c r="L389" s="4" t="s">
        <v>2216</v>
      </c>
    </row>
    <row r="391" spans="1:12">
      <c r="C391" s="4" t="s">
        <v>2580</v>
      </c>
      <c r="D391" s="4" t="s">
        <v>257</v>
      </c>
      <c r="F391" s="4" t="s">
        <v>2581</v>
      </c>
      <c r="G391" s="4" t="s">
        <v>2582</v>
      </c>
      <c r="H391" s="4" t="s">
        <v>152</v>
      </c>
      <c r="I391" s="4" t="s">
        <v>256</v>
      </c>
      <c r="J391" s="4" t="str">
        <f>H391&amp;":"&amp;I391</f>
        <v>att_reduction:caa</v>
      </c>
      <c r="L391" s="4" t="s">
        <v>258</v>
      </c>
    </row>
    <row r="392" spans="1:12">
      <c r="C392" s="4" t="s">
        <v>2583</v>
      </c>
      <c r="D392" s="4" t="s">
        <v>260</v>
      </c>
      <c r="F392" s="4" t="s">
        <v>2581</v>
      </c>
      <c r="G392" s="4" t="s">
        <v>2582</v>
      </c>
      <c r="H392" s="4" t="s">
        <v>152</v>
      </c>
      <c r="I392" s="4" t="s">
        <v>259</v>
      </c>
      <c r="J392" s="4" t="str">
        <f>H392&amp;":"&amp;I392</f>
        <v>att_reduction:iaa</v>
      </c>
      <c r="L392" s="4" t="s">
        <v>261</v>
      </c>
    </row>
    <row r="393" spans="1:12">
      <c r="C393" s="4" t="s">
        <v>2582</v>
      </c>
      <c r="D393" s="4" t="s">
        <v>1742</v>
      </c>
      <c r="F393" s="4" t="s">
        <v>2581</v>
      </c>
      <c r="G393" s="4" t="s">
        <v>2578</v>
      </c>
      <c r="H393" s="4" t="s">
        <v>152</v>
      </c>
      <c r="I393" s="4" t="s">
        <v>262</v>
      </c>
      <c r="J393" s="4" t="str">
        <f>H393&amp;":"&amp;I393</f>
        <v>att_reduction:none</v>
      </c>
      <c r="L393" s="4" t="s">
        <v>264</v>
      </c>
    </row>
    <row r="395" spans="1:12">
      <c r="A395" s="4" t="b">
        <f>TRUE()</f>
        <v>1</v>
      </c>
      <c r="C395" s="4" t="s">
        <v>2584</v>
      </c>
      <c r="D395" s="4" t="s">
        <v>2153</v>
      </c>
      <c r="F395" s="4" t="s">
        <v>144</v>
      </c>
      <c r="G395" s="4" t="s">
        <v>2585</v>
      </c>
      <c r="H395" s="4" t="s">
        <v>143</v>
      </c>
      <c r="I395" s="4" t="s">
        <v>2152</v>
      </c>
      <c r="J395" s="4" t="str">
        <f t="shared" ref="J395:J402" si="41">H395&amp;":"&amp;I395</f>
        <v>att_protease:trypsin</v>
      </c>
      <c r="L395" s="4" t="s">
        <v>2154</v>
      </c>
    </row>
    <row r="396" spans="1:12">
      <c r="A396" s="4" t="b">
        <f>TRUE()</f>
        <v>1</v>
      </c>
      <c r="C396" s="4" t="s">
        <v>2584</v>
      </c>
      <c r="D396" s="4" t="s">
        <v>2147</v>
      </c>
      <c r="F396" s="4" t="s">
        <v>144</v>
      </c>
      <c r="G396" s="4" t="s">
        <v>2585</v>
      </c>
      <c r="H396" s="4" t="s">
        <v>143</v>
      </c>
      <c r="I396" s="4" t="s">
        <v>2146</v>
      </c>
      <c r="J396" s="4" t="str">
        <f t="shared" si="41"/>
        <v>att_protease:lysc</v>
      </c>
      <c r="L396" s="4" t="s">
        <v>2148</v>
      </c>
    </row>
    <row r="397" spans="1:12">
      <c r="A397" s="4" t="b">
        <f>TRUE()</f>
        <v>1</v>
      </c>
      <c r="C397" s="4" t="s">
        <v>2584</v>
      </c>
      <c r="D397" s="4" t="s">
        <v>2132</v>
      </c>
      <c r="F397" s="4" t="s">
        <v>144</v>
      </c>
      <c r="G397" s="4" t="s">
        <v>2585</v>
      </c>
      <c r="H397" s="4" t="s">
        <v>143</v>
      </c>
      <c r="I397" s="4" t="s">
        <v>2131</v>
      </c>
      <c r="J397" s="4" t="str">
        <f t="shared" si="41"/>
        <v>att_protease:argc</v>
      </c>
      <c r="L397" s="4" t="s">
        <v>2133</v>
      </c>
    </row>
    <row r="398" spans="1:12">
      <c r="A398" s="4" t="b">
        <f>TRUE()</f>
        <v>1</v>
      </c>
      <c r="C398" s="4" t="s">
        <v>2584</v>
      </c>
      <c r="D398" s="4" t="s">
        <v>2144</v>
      </c>
      <c r="F398" s="4" t="s">
        <v>144</v>
      </c>
      <c r="G398" s="4" t="s">
        <v>2585</v>
      </c>
      <c r="H398" s="4" t="s">
        <v>143</v>
      </c>
      <c r="I398" s="4" t="s">
        <v>2143</v>
      </c>
      <c r="J398" s="4" t="str">
        <f t="shared" si="41"/>
        <v>att_protease:gluc</v>
      </c>
      <c r="L398" s="4" t="s">
        <v>2145</v>
      </c>
    </row>
    <row r="399" spans="1:12">
      <c r="A399" s="4" t="b">
        <f>TRUE()</f>
        <v>1</v>
      </c>
      <c r="C399" s="4" t="s">
        <v>2584</v>
      </c>
      <c r="D399" s="4" t="s">
        <v>2138</v>
      </c>
      <c r="F399" s="4" t="s">
        <v>144</v>
      </c>
      <c r="G399" s="4" t="s">
        <v>2585</v>
      </c>
      <c r="H399" s="4" t="s">
        <v>143</v>
      </c>
      <c r="I399" s="4" t="s">
        <v>2137</v>
      </c>
      <c r="J399" s="4" t="str">
        <f t="shared" si="41"/>
        <v>att_protease:chymotrypsin</v>
      </c>
      <c r="L399" s="4" t="s">
        <v>2139</v>
      </c>
    </row>
    <row r="400" spans="1:12">
      <c r="A400" s="4" t="b">
        <f>TRUE()</f>
        <v>1</v>
      </c>
      <c r="C400" s="4" t="s">
        <v>2584</v>
      </c>
      <c r="D400" s="4" t="s">
        <v>2135</v>
      </c>
      <c r="F400" s="4" t="s">
        <v>144</v>
      </c>
      <c r="G400" s="4" t="s">
        <v>2585</v>
      </c>
      <c r="H400" s="4" t="s">
        <v>143</v>
      </c>
      <c r="I400" s="4" t="s">
        <v>2134</v>
      </c>
      <c r="J400" s="4" t="str">
        <f t="shared" si="41"/>
        <v>att_protease:aspn</v>
      </c>
      <c r="L400" s="4" t="s">
        <v>2136</v>
      </c>
    </row>
    <row r="401" spans="1:12">
      <c r="A401" s="4" t="b">
        <f>TRUE()</f>
        <v>1</v>
      </c>
      <c r="C401" s="4" t="s">
        <v>2584</v>
      </c>
      <c r="D401" s="4" t="s">
        <v>2141</v>
      </c>
      <c r="F401" s="4" t="s">
        <v>144</v>
      </c>
      <c r="G401" s="4" t="s">
        <v>2585</v>
      </c>
      <c r="H401" s="4" t="s">
        <v>143</v>
      </c>
      <c r="I401" s="4" t="s">
        <v>2140</v>
      </c>
      <c r="J401" s="4" t="str">
        <f t="shared" si="41"/>
        <v>att_protease:elastase</v>
      </c>
      <c r="L401" s="4" t="s">
        <v>2142</v>
      </c>
    </row>
    <row r="402" spans="1:12">
      <c r="A402" s="4" t="b">
        <f>TRUE()</f>
        <v>1</v>
      </c>
      <c r="C402" s="4" t="s">
        <v>2584</v>
      </c>
      <c r="D402" s="4" t="s">
        <v>2150</v>
      </c>
      <c r="F402" s="4" t="s">
        <v>144</v>
      </c>
      <c r="G402" s="4" t="s">
        <v>2585</v>
      </c>
      <c r="H402" s="4" t="s">
        <v>143</v>
      </c>
      <c r="I402" s="4" t="s">
        <v>2149</v>
      </c>
      <c r="J402" s="4" t="str">
        <f t="shared" si="41"/>
        <v>att_protease:raspn</v>
      </c>
      <c r="L402" s="4" t="s">
        <v>2151</v>
      </c>
    </row>
    <row r="404" spans="1:12">
      <c r="C404" s="4" t="s">
        <v>2586</v>
      </c>
      <c r="D404" s="4" t="s">
        <v>1230</v>
      </c>
      <c r="F404" s="4" t="s">
        <v>105</v>
      </c>
      <c r="G404" s="4" t="s">
        <v>2587</v>
      </c>
      <c r="H404" s="4" t="s">
        <v>104</v>
      </c>
      <c r="I404" s="4" t="s">
        <v>1229</v>
      </c>
      <c r="J404" s="4" t="str">
        <f t="shared" ref="J404:J410" si="42">H404&amp;":"&amp;I404</f>
        <v>att_liquid_handler:mosquitoLV</v>
      </c>
      <c r="L404" s="4" t="s">
        <v>1231</v>
      </c>
    </row>
    <row r="405" spans="1:12">
      <c r="C405" s="4" t="s">
        <v>2586</v>
      </c>
      <c r="D405" s="4" t="s">
        <v>1218</v>
      </c>
      <c r="F405" s="4" t="s">
        <v>105</v>
      </c>
      <c r="G405" s="4" t="s">
        <v>2587</v>
      </c>
      <c r="H405" s="4" t="s">
        <v>104</v>
      </c>
      <c r="I405" s="4" t="s">
        <v>1217</v>
      </c>
      <c r="J405" s="4" t="str">
        <f t="shared" si="42"/>
        <v>att_liquid_handler:felix</v>
      </c>
      <c r="L405" s="4" t="s">
        <v>1219</v>
      </c>
    </row>
    <row r="406" spans="1:12">
      <c r="C406" s="4" t="s">
        <v>2586</v>
      </c>
      <c r="D406" s="4" t="s">
        <v>1227</v>
      </c>
      <c r="F406" s="4" t="s">
        <v>105</v>
      </c>
      <c r="G406" s="4" t="s">
        <v>2587</v>
      </c>
      <c r="H406" s="4" t="s">
        <v>104</v>
      </c>
      <c r="I406" s="4" t="s">
        <v>1226</v>
      </c>
      <c r="J406" s="4" t="str">
        <f t="shared" si="42"/>
        <v>att_liquid_handler:mosquitoHV</v>
      </c>
      <c r="L406" s="4" t="s">
        <v>1228</v>
      </c>
    </row>
    <row r="407" spans="1:12">
      <c r="C407" s="4" t="s">
        <v>2586</v>
      </c>
      <c r="D407" s="4" t="s">
        <v>1233</v>
      </c>
      <c r="F407" s="4" t="s">
        <v>105</v>
      </c>
      <c r="G407" s="4" t="s">
        <v>2587</v>
      </c>
      <c r="H407" s="4" t="s">
        <v>104</v>
      </c>
      <c r="I407" s="4" t="s">
        <v>1232</v>
      </c>
      <c r="J407" s="4" t="str">
        <f t="shared" si="42"/>
        <v>att_liquid_handler:opentrons</v>
      </c>
      <c r="L407" s="4" t="s">
        <v>1233</v>
      </c>
    </row>
    <row r="408" spans="1:12">
      <c r="C408" s="4" t="s">
        <v>2586</v>
      </c>
      <c r="D408" s="4" t="s">
        <v>1221</v>
      </c>
      <c r="F408" s="4" t="s">
        <v>105</v>
      </c>
      <c r="G408" s="4" t="s">
        <v>2587</v>
      </c>
      <c r="H408" s="4" t="s">
        <v>104</v>
      </c>
      <c r="I408" s="4" t="s">
        <v>1220</v>
      </c>
      <c r="J408" s="4" t="str">
        <f t="shared" si="42"/>
        <v>att_liquid_handler:kingfisher</v>
      </c>
      <c r="L408" s="4" t="s">
        <v>1222</v>
      </c>
    </row>
    <row r="409" spans="1:12">
      <c r="C409" s="4" t="s">
        <v>2586</v>
      </c>
      <c r="D409" s="4" t="s">
        <v>1215</v>
      </c>
      <c r="F409" s="4" t="s">
        <v>105</v>
      </c>
      <c r="G409" s="4" t="s">
        <v>2587</v>
      </c>
      <c r="H409" s="4" t="s">
        <v>104</v>
      </c>
      <c r="I409" s="4" t="s">
        <v>1214</v>
      </c>
      <c r="J409" s="4" t="str">
        <f t="shared" si="42"/>
        <v>att_liquid_handler:bravo</v>
      </c>
      <c r="L409" s="4" t="s">
        <v>1216</v>
      </c>
    </row>
    <row r="410" spans="1:12">
      <c r="C410" s="4" t="s">
        <v>2586</v>
      </c>
      <c r="D410" s="4" t="s">
        <v>1235</v>
      </c>
      <c r="F410" s="4" t="s">
        <v>105</v>
      </c>
      <c r="G410" s="4" t="s">
        <v>2587</v>
      </c>
      <c r="H410" s="4" t="s">
        <v>104</v>
      </c>
      <c r="I410" s="4" t="s">
        <v>1234</v>
      </c>
      <c r="J410" s="4" t="str">
        <f t="shared" si="42"/>
        <v>att_liquid_handler:tecan</v>
      </c>
      <c r="L410" s="4" t="s">
        <v>1236</v>
      </c>
    </row>
    <row r="412" spans="1:12">
      <c r="C412" s="4" t="s">
        <v>2588</v>
      </c>
      <c r="D412" s="4" t="s">
        <v>950</v>
      </c>
      <c r="F412" s="4" t="s">
        <v>72</v>
      </c>
      <c r="G412" s="4" t="s">
        <v>2589</v>
      </c>
      <c r="H412" s="4" t="s">
        <v>71</v>
      </c>
      <c r="I412" s="4" t="s">
        <v>949</v>
      </c>
      <c r="J412" s="4" t="str">
        <f>H412&amp;":"&amp;I412</f>
        <v>att_digestion_vessel:96well_plate</v>
      </c>
      <c r="L412" s="4" t="s">
        <v>951</v>
      </c>
    </row>
    <row r="413" spans="1:12">
      <c r="C413" s="4" t="s">
        <v>2588</v>
      </c>
      <c r="D413" s="4" t="s">
        <v>948</v>
      </c>
      <c r="F413" s="4" t="s">
        <v>72</v>
      </c>
      <c r="G413" s="4" t="s">
        <v>2589</v>
      </c>
      <c r="H413" s="4" t="s">
        <v>71</v>
      </c>
      <c r="I413" s="4" t="s">
        <v>947</v>
      </c>
      <c r="J413" s="4" t="str">
        <f>H413&amp;":"&amp;I413</f>
        <v>att_digestion_vessel:384well_plate</v>
      </c>
      <c r="L413" s="4" t="s">
        <v>948</v>
      </c>
    </row>
    <row r="414" spans="1:12">
      <c r="C414" s="4" t="s">
        <v>2590</v>
      </c>
      <c r="D414" s="4" t="s">
        <v>958</v>
      </c>
      <c r="F414" s="4" t="s">
        <v>72</v>
      </c>
      <c r="G414" s="4" t="s">
        <v>2589</v>
      </c>
      <c r="H414" s="4" t="s">
        <v>71</v>
      </c>
      <c r="I414" s="4" t="s">
        <v>957</v>
      </c>
      <c r="J414" s="4" t="str">
        <f>H414&amp;":"&amp;I414</f>
        <v>att_digestion_vessel:two_ml_tube</v>
      </c>
      <c r="L414" s="4" t="s">
        <v>959</v>
      </c>
    </row>
    <row r="415" spans="1:12">
      <c r="C415" s="4" t="s">
        <v>2590</v>
      </c>
      <c r="D415" s="4" t="s">
        <v>953</v>
      </c>
      <c r="F415" s="4" t="s">
        <v>72</v>
      </c>
      <c r="G415" s="4" t="s">
        <v>2589</v>
      </c>
      <c r="H415" s="4" t="s">
        <v>71</v>
      </c>
      <c r="I415" s="4" t="s">
        <v>952</v>
      </c>
      <c r="J415" s="4" t="str">
        <f>H415&amp;":"&amp;I415</f>
        <v>att_digestion_vessel:onefive_ml_tube</v>
      </c>
      <c r="L415" s="4" t="s">
        <v>954</v>
      </c>
    </row>
    <row r="417" spans="3:12">
      <c r="C417" s="4" t="s">
        <v>2591</v>
      </c>
      <c r="D417" s="4" t="s">
        <v>2592</v>
      </c>
      <c r="F417" s="4" t="s">
        <v>14</v>
      </c>
      <c r="G417" s="4" t="s">
        <v>2593</v>
      </c>
      <c r="H417" s="4" t="s">
        <v>12</v>
      </c>
      <c r="I417" s="4" t="s">
        <v>189</v>
      </c>
      <c r="J417" s="4" t="str">
        <f t="shared" ref="J417:J435" si="43">H417&amp;":"&amp;I417</f>
        <v>att_aa_starvation:arginine</v>
      </c>
      <c r="L417" s="4" t="s">
        <v>192</v>
      </c>
    </row>
    <row r="418" spans="3:12">
      <c r="C418" s="4" t="s">
        <v>2591</v>
      </c>
      <c r="D418" s="4" t="s">
        <v>2594</v>
      </c>
      <c r="F418" s="4" t="s">
        <v>14</v>
      </c>
      <c r="G418" s="4" t="s">
        <v>2593</v>
      </c>
      <c r="H418" s="4" t="s">
        <v>12</v>
      </c>
      <c r="I418" s="4" t="s">
        <v>193</v>
      </c>
      <c r="J418" s="4" t="str">
        <f t="shared" si="43"/>
        <v>att_aa_starvation:asparagine</v>
      </c>
      <c r="L418" s="4" t="s">
        <v>195</v>
      </c>
    </row>
    <row r="419" spans="3:12">
      <c r="C419" s="4" t="s">
        <v>2591</v>
      </c>
      <c r="D419" s="4" t="s">
        <v>2595</v>
      </c>
      <c r="F419" s="4" t="s">
        <v>14</v>
      </c>
      <c r="G419" s="4" t="s">
        <v>2593</v>
      </c>
      <c r="H419" s="4" t="s">
        <v>12</v>
      </c>
      <c r="I419" s="4" t="s">
        <v>196</v>
      </c>
      <c r="J419" s="4" t="str">
        <f t="shared" si="43"/>
        <v>att_aa_starvation:asparticacid</v>
      </c>
      <c r="L419" s="4" t="s">
        <v>198</v>
      </c>
    </row>
    <row r="420" spans="3:12">
      <c r="C420" s="4" t="s">
        <v>2591</v>
      </c>
      <c r="D420" s="4" t="s">
        <v>2596</v>
      </c>
      <c r="F420" s="4" t="s">
        <v>14</v>
      </c>
      <c r="G420" s="4" t="s">
        <v>2593</v>
      </c>
      <c r="H420" s="4" t="s">
        <v>12</v>
      </c>
      <c r="I420" s="4" t="s">
        <v>199</v>
      </c>
      <c r="J420" s="4" t="str">
        <f t="shared" si="43"/>
        <v>att_aa_starvation:cysteine</v>
      </c>
      <c r="L420" s="4" t="s">
        <v>201</v>
      </c>
    </row>
    <row r="421" spans="3:12">
      <c r="C421" s="4" t="s">
        <v>2591</v>
      </c>
      <c r="D421" s="4" t="s">
        <v>2597</v>
      </c>
      <c r="F421" s="4" t="s">
        <v>14</v>
      </c>
      <c r="G421" s="4" t="s">
        <v>2593</v>
      </c>
      <c r="H421" s="4" t="s">
        <v>12</v>
      </c>
      <c r="I421" s="4" t="s">
        <v>202</v>
      </c>
      <c r="J421" s="4" t="str">
        <f t="shared" si="43"/>
        <v>att_aa_starvation:glutamicacid</v>
      </c>
      <c r="L421" s="4" t="s">
        <v>204</v>
      </c>
    </row>
    <row r="422" spans="3:12">
      <c r="C422" s="4" t="s">
        <v>2591</v>
      </c>
      <c r="D422" s="4" t="s">
        <v>2598</v>
      </c>
      <c r="F422" s="4" t="s">
        <v>14</v>
      </c>
      <c r="G422" s="4" t="s">
        <v>2593</v>
      </c>
      <c r="H422" s="4" t="s">
        <v>12</v>
      </c>
      <c r="I422" s="4" t="s">
        <v>205</v>
      </c>
      <c r="J422" s="4" t="str">
        <f t="shared" si="43"/>
        <v>att_aa_starvation:glutamine</v>
      </c>
      <c r="L422" s="4" t="s">
        <v>207</v>
      </c>
    </row>
    <row r="423" spans="3:12">
      <c r="C423" s="4" t="s">
        <v>2591</v>
      </c>
      <c r="D423" s="4" t="s">
        <v>2599</v>
      </c>
      <c r="F423" s="4" t="s">
        <v>14</v>
      </c>
      <c r="G423" s="4" t="s">
        <v>2593</v>
      </c>
      <c r="H423" s="4" t="s">
        <v>12</v>
      </c>
      <c r="I423" s="4" t="s">
        <v>208</v>
      </c>
      <c r="J423" s="4" t="str">
        <f t="shared" si="43"/>
        <v>att_aa_starvation:glycine</v>
      </c>
      <c r="L423" s="4" t="s">
        <v>210</v>
      </c>
    </row>
    <row r="424" spans="3:12">
      <c r="C424" s="4" t="s">
        <v>2591</v>
      </c>
      <c r="D424" s="4" t="s">
        <v>2600</v>
      </c>
      <c r="F424" s="4" t="s">
        <v>14</v>
      </c>
      <c r="G424" s="4" t="s">
        <v>2593</v>
      </c>
      <c r="H424" s="4" t="s">
        <v>12</v>
      </c>
      <c r="I424" s="4" t="s">
        <v>211</v>
      </c>
      <c r="J424" s="4" t="str">
        <f t="shared" si="43"/>
        <v>att_aa_starvation:histidine</v>
      </c>
      <c r="L424" s="4" t="s">
        <v>213</v>
      </c>
    </row>
    <row r="425" spans="3:12">
      <c r="C425" s="4" t="s">
        <v>2591</v>
      </c>
      <c r="D425" s="4" t="s">
        <v>2601</v>
      </c>
      <c r="F425" s="4" t="s">
        <v>14</v>
      </c>
      <c r="G425" s="4" t="s">
        <v>2593</v>
      </c>
      <c r="H425" s="4" t="s">
        <v>12</v>
      </c>
      <c r="I425" s="4" t="s">
        <v>214</v>
      </c>
      <c r="J425" s="4" t="str">
        <f t="shared" si="43"/>
        <v>att_aa_starvation:isoleucine</v>
      </c>
      <c r="L425" s="4" t="s">
        <v>216</v>
      </c>
    </row>
    <row r="426" spans="3:12">
      <c r="C426" s="4" t="s">
        <v>2591</v>
      </c>
      <c r="D426" s="4" t="s">
        <v>2602</v>
      </c>
      <c r="F426" s="4" t="s">
        <v>14</v>
      </c>
      <c r="G426" s="4" t="s">
        <v>2593</v>
      </c>
      <c r="H426" s="4" t="s">
        <v>12</v>
      </c>
      <c r="I426" s="4" t="s">
        <v>217</v>
      </c>
      <c r="J426" s="4" t="str">
        <f t="shared" si="43"/>
        <v>att_aa_starvation:leucine</v>
      </c>
      <c r="L426" s="4" t="s">
        <v>219</v>
      </c>
    </row>
    <row r="427" spans="3:12">
      <c r="C427" s="4" t="s">
        <v>2591</v>
      </c>
      <c r="D427" s="4" t="s">
        <v>2603</v>
      </c>
      <c r="F427" s="4" t="s">
        <v>14</v>
      </c>
      <c r="G427" s="4" t="s">
        <v>2593</v>
      </c>
      <c r="H427" s="4" t="s">
        <v>12</v>
      </c>
      <c r="I427" s="4" t="s">
        <v>220</v>
      </c>
      <c r="J427" s="4" t="str">
        <f t="shared" si="43"/>
        <v>att_aa_starvation:lysine</v>
      </c>
      <c r="L427" s="4" t="s">
        <v>222</v>
      </c>
    </row>
    <row r="428" spans="3:12">
      <c r="C428" s="4" t="s">
        <v>2591</v>
      </c>
      <c r="D428" s="4" t="s">
        <v>2604</v>
      </c>
      <c r="F428" s="4" t="s">
        <v>14</v>
      </c>
      <c r="G428" s="4" t="s">
        <v>2593</v>
      </c>
      <c r="H428" s="4" t="s">
        <v>12</v>
      </c>
      <c r="I428" s="4" t="s">
        <v>223</v>
      </c>
      <c r="J428" s="4" t="str">
        <f t="shared" si="43"/>
        <v>att_aa_starvation:methionine</v>
      </c>
      <c r="L428" s="4" t="s">
        <v>225</v>
      </c>
    </row>
    <row r="429" spans="3:12">
      <c r="C429" s="4" t="s">
        <v>2591</v>
      </c>
      <c r="D429" s="4" t="s">
        <v>2605</v>
      </c>
      <c r="F429" s="4" t="s">
        <v>14</v>
      </c>
      <c r="G429" s="4" t="s">
        <v>2593</v>
      </c>
      <c r="H429" s="4" t="s">
        <v>12</v>
      </c>
      <c r="I429" s="4" t="s">
        <v>226</v>
      </c>
      <c r="J429" s="4" t="str">
        <f t="shared" si="43"/>
        <v>att_aa_starvation:phenylalanine</v>
      </c>
      <c r="L429" s="4" t="s">
        <v>228</v>
      </c>
    </row>
    <row r="430" spans="3:12">
      <c r="C430" s="4" t="s">
        <v>2591</v>
      </c>
      <c r="D430" s="4" t="s">
        <v>2606</v>
      </c>
      <c r="F430" s="4" t="s">
        <v>14</v>
      </c>
      <c r="G430" s="4" t="s">
        <v>2593</v>
      </c>
      <c r="H430" s="4" t="s">
        <v>12</v>
      </c>
      <c r="I430" s="4" t="s">
        <v>229</v>
      </c>
      <c r="J430" s="4" t="str">
        <f t="shared" si="43"/>
        <v>att_aa_starvation:proline</v>
      </c>
      <c r="L430" s="4" t="s">
        <v>231</v>
      </c>
    </row>
    <row r="431" spans="3:12">
      <c r="C431" s="4" t="s">
        <v>2591</v>
      </c>
      <c r="D431" s="4" t="s">
        <v>2607</v>
      </c>
      <c r="F431" s="4" t="s">
        <v>14</v>
      </c>
      <c r="G431" s="4" t="s">
        <v>2593</v>
      </c>
      <c r="H431" s="4" t="s">
        <v>12</v>
      </c>
      <c r="I431" s="4" t="s">
        <v>232</v>
      </c>
      <c r="J431" s="4" t="str">
        <f t="shared" si="43"/>
        <v>att_aa_starvation:serine</v>
      </c>
      <c r="L431" s="4" t="s">
        <v>234</v>
      </c>
    </row>
    <row r="432" spans="3:12">
      <c r="C432" s="4" t="s">
        <v>2591</v>
      </c>
      <c r="D432" s="4" t="s">
        <v>2608</v>
      </c>
      <c r="F432" s="4" t="s">
        <v>14</v>
      </c>
      <c r="G432" s="4" t="s">
        <v>2593</v>
      </c>
      <c r="H432" s="4" t="s">
        <v>12</v>
      </c>
      <c r="I432" s="4" t="s">
        <v>235</v>
      </c>
      <c r="J432" s="4" t="str">
        <f t="shared" si="43"/>
        <v>att_aa_starvation:threonine</v>
      </c>
      <c r="L432" s="4" t="s">
        <v>237</v>
      </c>
    </row>
    <row r="433" spans="1:15">
      <c r="C433" s="4" t="s">
        <v>2591</v>
      </c>
      <c r="D433" s="4" t="s">
        <v>2609</v>
      </c>
      <c r="F433" s="4" t="s">
        <v>14</v>
      </c>
      <c r="G433" s="4" t="s">
        <v>2593</v>
      </c>
      <c r="H433" s="4" t="s">
        <v>12</v>
      </c>
      <c r="I433" s="4" t="s">
        <v>238</v>
      </c>
      <c r="J433" s="4" t="str">
        <f t="shared" si="43"/>
        <v>att_aa_starvation:tryptophan</v>
      </c>
      <c r="L433" s="4" t="s">
        <v>240</v>
      </c>
    </row>
    <row r="434" spans="1:15">
      <c r="C434" s="4" t="s">
        <v>2591</v>
      </c>
      <c r="D434" s="4" t="s">
        <v>2610</v>
      </c>
      <c r="F434" s="4" t="s">
        <v>14</v>
      </c>
      <c r="G434" s="4" t="s">
        <v>2593</v>
      </c>
      <c r="H434" s="4" t="s">
        <v>12</v>
      </c>
      <c r="I434" s="4" t="s">
        <v>241</v>
      </c>
      <c r="J434" s="4" t="str">
        <f t="shared" si="43"/>
        <v>att_aa_starvation:tyrosine</v>
      </c>
      <c r="L434" s="4" t="s">
        <v>243</v>
      </c>
    </row>
    <row r="435" spans="1:15">
      <c r="C435" s="4" t="s">
        <v>2591</v>
      </c>
      <c r="D435" s="4" t="s">
        <v>2611</v>
      </c>
      <c r="F435" s="4" t="s">
        <v>14</v>
      </c>
      <c r="G435" s="4" t="s">
        <v>2593</v>
      </c>
      <c r="H435" s="4" t="s">
        <v>12</v>
      </c>
      <c r="I435" s="4" t="s">
        <v>244</v>
      </c>
      <c r="J435" s="4" t="str">
        <f t="shared" si="43"/>
        <v>att_aa_starvation:valine</v>
      </c>
      <c r="L435" s="4" t="s">
        <v>246</v>
      </c>
    </row>
    <row r="439" spans="1:15">
      <c r="A439" s="8" t="b">
        <f>FALSE()</f>
        <v>0</v>
      </c>
      <c r="B439" s="8"/>
      <c r="C439" s="4" t="s">
        <v>685</v>
      </c>
      <c r="D439" s="4" t="s">
        <v>686</v>
      </c>
      <c r="E439" s="4" t="s">
        <v>13</v>
      </c>
      <c r="F439" s="4" t="s">
        <v>2423</v>
      </c>
      <c r="G439" s="4" t="s">
        <v>2424</v>
      </c>
      <c r="H439" s="4" t="str">
        <f t="shared" ref="H439:H448" si="44">"att_"&amp;G439</f>
        <v>att_compound</v>
      </c>
      <c r="I439" s="4" t="s">
        <v>685</v>
      </c>
      <c r="J439" s="4" t="str">
        <f t="shared" ref="J439:J448" si="45">H439&amp;":"&amp;I439</f>
        <v>att_compound:torin</v>
      </c>
      <c r="K439" s="7" t="s">
        <v>17</v>
      </c>
      <c r="L439" s="4" t="s">
        <v>687</v>
      </c>
      <c r="M439" s="4" t="s">
        <v>13</v>
      </c>
      <c r="N439" s="4"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4"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c r="A440" s="8" t="b">
        <f>FALSE()</f>
        <v>0</v>
      </c>
      <c r="B440" s="8"/>
      <c r="C440" s="4" t="s">
        <v>677</v>
      </c>
      <c r="D440" s="4" t="s">
        <v>678</v>
      </c>
      <c r="E440" s="4" t="s">
        <v>13</v>
      </c>
      <c r="F440" s="4" t="s">
        <v>2423</v>
      </c>
      <c r="G440" s="4" t="s">
        <v>2424</v>
      </c>
      <c r="H440" s="4" t="str">
        <f t="shared" si="44"/>
        <v>att_compound</v>
      </c>
      <c r="I440" s="4" t="s">
        <v>677</v>
      </c>
      <c r="J440" s="4" t="str">
        <f t="shared" si="45"/>
        <v>att_compound:rapamycin</v>
      </c>
      <c r="K440" s="4" t="b">
        <f>TRUE()</f>
        <v>1</v>
      </c>
      <c r="L440" s="4" t="s">
        <v>679</v>
      </c>
    </row>
    <row r="441" spans="1:15">
      <c r="C441" s="4" t="s">
        <v>638</v>
      </c>
      <c r="D441" s="4" t="s">
        <v>639</v>
      </c>
      <c r="E441" s="4" t="s">
        <v>13</v>
      </c>
      <c r="F441" s="4" t="s">
        <v>2423</v>
      </c>
      <c r="G441" s="4" t="s">
        <v>2424</v>
      </c>
      <c r="H441" s="4" t="str">
        <f t="shared" si="44"/>
        <v>att_compound</v>
      </c>
      <c r="I441" s="4" t="s">
        <v>638</v>
      </c>
      <c r="J441" s="4" t="str">
        <f t="shared" si="45"/>
        <v>att_compound:antimycin</v>
      </c>
      <c r="K441" s="4" t="b">
        <f>TRUE()</f>
        <v>1</v>
      </c>
      <c r="L441" s="4" t="s">
        <v>640</v>
      </c>
    </row>
    <row r="442" spans="1:15">
      <c r="C442" s="4" t="s">
        <v>674</v>
      </c>
      <c r="D442" s="4" t="s">
        <v>675</v>
      </c>
      <c r="E442" s="4" t="s">
        <v>13</v>
      </c>
      <c r="F442" s="4" t="s">
        <v>2423</v>
      </c>
      <c r="G442" s="4" t="s">
        <v>2424</v>
      </c>
      <c r="H442" s="4" t="str">
        <f t="shared" si="44"/>
        <v>att_compound</v>
      </c>
      <c r="I442" s="4" t="s">
        <v>674</v>
      </c>
      <c r="J442" s="4" t="str">
        <f t="shared" si="45"/>
        <v>att_compound:oligomycin</v>
      </c>
      <c r="K442" s="4" t="b">
        <f>TRUE()</f>
        <v>1</v>
      </c>
      <c r="L442" s="4" t="s">
        <v>676</v>
      </c>
    </row>
    <row r="443" spans="1:15">
      <c r="C443" s="4" t="s">
        <v>671</v>
      </c>
      <c r="D443" s="4" t="s">
        <v>672</v>
      </c>
      <c r="E443" s="4" t="s">
        <v>13</v>
      </c>
      <c r="F443" s="4" t="s">
        <v>2423</v>
      </c>
      <c r="G443" s="4" t="s">
        <v>2424</v>
      </c>
      <c r="H443" s="4" t="str">
        <f t="shared" si="44"/>
        <v>att_compound</v>
      </c>
      <c r="I443" s="4" t="s">
        <v>671</v>
      </c>
      <c r="J443" s="4" t="str">
        <f t="shared" si="45"/>
        <v>att_compound:hydroxyurea</v>
      </c>
      <c r="K443" s="4" t="b">
        <f>TRUE()</f>
        <v>1</v>
      </c>
      <c r="L443" s="4" t="s">
        <v>673</v>
      </c>
    </row>
    <row r="444" spans="1:15">
      <c r="C444" s="4" t="s">
        <v>2612</v>
      </c>
      <c r="D444" s="4" t="s">
        <v>634</v>
      </c>
      <c r="E444" s="4" t="s">
        <v>13</v>
      </c>
      <c r="F444" s="4" t="s">
        <v>2423</v>
      </c>
      <c r="G444" s="4" t="s">
        <v>2424</v>
      </c>
      <c r="H444" s="4" t="str">
        <f t="shared" si="44"/>
        <v>att_compound</v>
      </c>
      <c r="I444" s="4" t="s">
        <v>2612</v>
      </c>
      <c r="J444" s="4" t="str">
        <f t="shared" si="45"/>
        <v xml:space="preserve">att_compound:5-fluorouracil </v>
      </c>
      <c r="K444" s="4" t="b">
        <f>TRUE()</f>
        <v>1</v>
      </c>
      <c r="L444" s="4" t="s">
        <v>635</v>
      </c>
    </row>
    <row r="445" spans="1:15">
      <c r="C445" s="4" t="s">
        <v>2613</v>
      </c>
      <c r="D445" s="4" t="s">
        <v>2614</v>
      </c>
      <c r="E445" s="4" t="s">
        <v>13</v>
      </c>
      <c r="F445" s="4" t="s">
        <v>2423</v>
      </c>
      <c r="G445" s="4" t="s">
        <v>2424</v>
      </c>
      <c r="H445" s="4" t="str">
        <f t="shared" si="44"/>
        <v>att_compound</v>
      </c>
      <c r="I445" s="4" t="s">
        <v>2613</v>
      </c>
      <c r="J445" s="4" t="str">
        <f t="shared" si="45"/>
        <v xml:space="preserve">att_compound:etoposide </v>
      </c>
      <c r="K445" s="4" t="b">
        <f>TRUE()</f>
        <v>1</v>
      </c>
      <c r="L445" s="4" t="s">
        <v>2615</v>
      </c>
    </row>
    <row r="446" spans="1:15">
      <c r="C446" s="4" t="s">
        <v>680</v>
      </c>
      <c r="D446" s="4" t="s">
        <v>681</v>
      </c>
      <c r="E446" s="4" t="s">
        <v>13</v>
      </c>
      <c r="F446" s="4" t="s">
        <v>2423</v>
      </c>
      <c r="G446" s="4" t="s">
        <v>2424</v>
      </c>
      <c r="H446" s="4" t="str">
        <f t="shared" si="44"/>
        <v>att_compound</v>
      </c>
      <c r="I446" s="4" t="s">
        <v>680</v>
      </c>
      <c r="J446" s="4" t="str">
        <f t="shared" si="45"/>
        <v>att_compound:rotenone</v>
      </c>
      <c r="K446" s="4" t="b">
        <f>TRUE()</f>
        <v>1</v>
      </c>
      <c r="L446" s="4" t="s">
        <v>682</v>
      </c>
    </row>
    <row r="447" spans="1:15">
      <c r="C447" s="4" t="s">
        <v>648</v>
      </c>
      <c r="D447" s="4" t="s">
        <v>649</v>
      </c>
      <c r="E447" s="4" t="s">
        <v>13</v>
      </c>
      <c r="F447" s="4" t="s">
        <v>2423</v>
      </c>
      <c r="G447" s="4" t="s">
        <v>2424</v>
      </c>
      <c r="H447" s="4" t="str">
        <f t="shared" si="44"/>
        <v>att_compound</v>
      </c>
      <c r="I447" s="4" t="s">
        <v>648</v>
      </c>
      <c r="J447" s="4" t="str">
        <f t="shared" si="45"/>
        <v>att_compound:cccp</v>
      </c>
      <c r="K447" s="4" t="b">
        <f>TRUE()</f>
        <v>1</v>
      </c>
      <c r="L447" s="4" t="s">
        <v>650</v>
      </c>
    </row>
    <row r="448" spans="1:15">
      <c r="C448" s="4" t="s">
        <v>665</v>
      </c>
      <c r="D448" s="4" t="s">
        <v>666</v>
      </c>
      <c r="E448" s="4" t="s">
        <v>13</v>
      </c>
      <c r="F448" s="4" t="s">
        <v>2423</v>
      </c>
      <c r="G448" s="4" t="s">
        <v>2424</v>
      </c>
      <c r="H448" s="4" t="str">
        <f t="shared" si="44"/>
        <v>att_compound</v>
      </c>
      <c r="I448" s="4" t="s">
        <v>665</v>
      </c>
      <c r="J448" s="4" t="str">
        <f t="shared" si="45"/>
        <v>att_compound:fccp</v>
      </c>
      <c r="K448" s="4" t="b">
        <f>TRUE()</f>
        <v>1</v>
      </c>
      <c r="L448" s="4" t="s">
        <v>667</v>
      </c>
    </row>
    <row r="451" spans="3:12">
      <c r="C451" s="4" t="s">
        <v>1185</v>
      </c>
      <c r="D451" s="4" t="s">
        <v>1186</v>
      </c>
      <c r="F451" s="4" t="s">
        <v>102</v>
      </c>
      <c r="G451" s="4" t="s">
        <v>2616</v>
      </c>
      <c r="H451" s="4" t="str">
        <f t="shared" ref="H451:H459" si="46">"att_"&amp;G451</f>
        <v>att_knockdown_technique</v>
      </c>
      <c r="I451" s="4" t="s">
        <v>1185</v>
      </c>
      <c r="J451" s="4" t="str">
        <f t="shared" ref="J451:J459" si="47">H451&amp;":"&amp;I451</f>
        <v>att_knockdown_technique:sirna</v>
      </c>
      <c r="K451" s="4" t="b">
        <f>TRUE()</f>
        <v>1</v>
      </c>
      <c r="L451" s="4" t="s">
        <v>1187</v>
      </c>
    </row>
    <row r="452" spans="3:12">
      <c r="C452" s="4" t="s">
        <v>1176</v>
      </c>
      <c r="D452" s="4" t="s">
        <v>1177</v>
      </c>
      <c r="F452" s="4" t="s">
        <v>102</v>
      </c>
      <c r="G452" s="4" t="s">
        <v>2616</v>
      </c>
      <c r="H452" s="4" t="str">
        <f t="shared" si="46"/>
        <v>att_knockdown_technique</v>
      </c>
      <c r="I452" s="4" t="s">
        <v>1176</v>
      </c>
      <c r="J452" s="4" t="str">
        <f t="shared" si="47"/>
        <v>att_knockdown_technique:grna</v>
      </c>
      <c r="K452" s="4" t="b">
        <f>TRUE()</f>
        <v>1</v>
      </c>
      <c r="L452" s="4" t="s">
        <v>1178</v>
      </c>
    </row>
    <row r="453" spans="3:12">
      <c r="C453" s="4" t="s">
        <v>1182</v>
      </c>
      <c r="D453" s="4" t="s">
        <v>1183</v>
      </c>
      <c r="F453" s="4" t="s">
        <v>102</v>
      </c>
      <c r="G453" s="4" t="s">
        <v>2616</v>
      </c>
      <c r="H453" s="4" t="str">
        <f t="shared" si="46"/>
        <v>att_knockdown_technique</v>
      </c>
      <c r="I453" s="4" t="s">
        <v>1182</v>
      </c>
      <c r="J453" s="4" t="str">
        <f t="shared" si="47"/>
        <v>att_knockdown_technique:shrna</v>
      </c>
      <c r="K453" s="4" t="b">
        <f>TRUE()</f>
        <v>1</v>
      </c>
      <c r="L453" s="4" t="s">
        <v>1184</v>
      </c>
    </row>
    <row r="454" spans="3:12">
      <c r="C454" s="4" t="s">
        <v>1179</v>
      </c>
      <c r="D454" s="4" t="s">
        <v>1180</v>
      </c>
      <c r="F454" s="4" t="s">
        <v>102</v>
      </c>
      <c r="G454" s="4" t="s">
        <v>2616</v>
      </c>
      <c r="H454" s="4" t="str">
        <f t="shared" si="46"/>
        <v>att_knockdown_technique</v>
      </c>
      <c r="I454" s="4" t="s">
        <v>1179</v>
      </c>
      <c r="J454" s="4" t="str">
        <f t="shared" si="47"/>
        <v>att_knockdown_technique:mirna</v>
      </c>
      <c r="L454" s="4" t="s">
        <v>1181</v>
      </c>
    </row>
    <row r="455" spans="3:12">
      <c r="C455" s="4" t="s">
        <v>1163</v>
      </c>
      <c r="D455" s="4" t="s">
        <v>1164</v>
      </c>
      <c r="F455" s="4" t="s">
        <v>2617</v>
      </c>
      <c r="G455" s="4" t="s">
        <v>2618</v>
      </c>
      <c r="H455" s="4" t="str">
        <f t="shared" si="46"/>
        <v>att_gene_engineering</v>
      </c>
      <c r="I455" s="4" t="s">
        <v>1163</v>
      </c>
      <c r="J455" s="4" t="str">
        <f t="shared" si="47"/>
        <v>att_gene_engineering:ko</v>
      </c>
      <c r="L455" s="4" t="s">
        <v>1165</v>
      </c>
    </row>
    <row r="456" spans="3:12">
      <c r="C456" s="4" t="s">
        <v>2619</v>
      </c>
      <c r="D456" s="4" t="s">
        <v>1161</v>
      </c>
      <c r="F456" s="4" t="s">
        <v>2617</v>
      </c>
      <c r="G456" s="4" t="s">
        <v>2618</v>
      </c>
      <c r="H456" s="4" t="str">
        <f t="shared" si="46"/>
        <v>att_gene_engineering</v>
      </c>
      <c r="I456" s="4" t="s">
        <v>1160</v>
      </c>
      <c r="J456" s="4" t="str">
        <f t="shared" si="47"/>
        <v>att_gene_engineering:knockin</v>
      </c>
      <c r="L456" s="4" t="s">
        <v>1162</v>
      </c>
    </row>
    <row r="457" spans="3:12">
      <c r="C457" s="4" t="s">
        <v>1154</v>
      </c>
      <c r="D457" s="4" t="s">
        <v>1155</v>
      </c>
      <c r="F457" s="4" t="s">
        <v>2617</v>
      </c>
      <c r="G457" s="4" t="s">
        <v>2618</v>
      </c>
      <c r="H457" s="4" t="str">
        <f t="shared" si="46"/>
        <v>att_gene_engineering</v>
      </c>
      <c r="I457" s="4" t="s">
        <v>1154</v>
      </c>
      <c r="J457" s="4" t="str">
        <f t="shared" si="47"/>
        <v>att_gene_engineering:deletion</v>
      </c>
      <c r="L457" s="4" t="s">
        <v>1156</v>
      </c>
    </row>
    <row r="458" spans="3:12">
      <c r="C458" s="4" t="s">
        <v>1158</v>
      </c>
      <c r="D458" s="4" t="s">
        <v>1158</v>
      </c>
      <c r="F458" s="4" t="s">
        <v>2617</v>
      </c>
      <c r="G458" s="4" t="s">
        <v>2618</v>
      </c>
      <c r="H458" s="4" t="str">
        <f t="shared" si="46"/>
        <v>att_gene_engineering</v>
      </c>
      <c r="I458" s="4" t="s">
        <v>1157</v>
      </c>
      <c r="J458" s="4" t="str">
        <f t="shared" si="47"/>
        <v>att_gene_engineering:inducible_expression</v>
      </c>
      <c r="L458" s="4" t="s">
        <v>1159</v>
      </c>
    </row>
    <row r="459" spans="3:12">
      <c r="C459" s="4" t="s">
        <v>2620</v>
      </c>
      <c r="D459" s="4" t="s">
        <v>1167</v>
      </c>
      <c r="F459" s="4" t="s">
        <v>2617</v>
      </c>
      <c r="G459" s="4" t="s">
        <v>2618</v>
      </c>
      <c r="H459" s="4" t="str">
        <f t="shared" si="46"/>
        <v>att_gene_engineering</v>
      </c>
      <c r="I459" s="4" t="s">
        <v>1166</v>
      </c>
      <c r="J459" s="4" t="str">
        <f t="shared" si="47"/>
        <v>att_gene_engineering:stable_expression</v>
      </c>
      <c r="L459" s="4" t="s">
        <v>1168</v>
      </c>
    </row>
    <row r="461" spans="3:12">
      <c r="C461" s="4" t="s">
        <v>1139</v>
      </c>
      <c r="D461" s="4" t="s">
        <v>1140</v>
      </c>
      <c r="F461" s="4" t="s">
        <v>2621</v>
      </c>
      <c r="G461" s="4" t="s">
        <v>2622</v>
      </c>
      <c r="H461" s="4" t="str">
        <f t="shared" ref="H461:H476" si="48">"att_"&amp;G461</f>
        <v>att_gene_editing_method</v>
      </c>
      <c r="I461" s="4" t="s">
        <v>1139</v>
      </c>
      <c r="J461" s="4" t="str">
        <f t="shared" ref="J461:J476" si="49">H461&amp;":"&amp;I461</f>
        <v>att_gene_editing_method:crispr</v>
      </c>
      <c r="L461" s="4" t="s">
        <v>1141</v>
      </c>
    </row>
    <row r="462" spans="3:12">
      <c r="C462" s="4" t="s">
        <v>2623</v>
      </c>
      <c r="D462" s="4" t="s">
        <v>1143</v>
      </c>
      <c r="F462" s="4" t="s">
        <v>2621</v>
      </c>
      <c r="G462" s="4" t="s">
        <v>2622</v>
      </c>
      <c r="H462" s="4" t="str">
        <f t="shared" si="48"/>
        <v>att_gene_editing_method</v>
      </c>
      <c r="I462" s="4" t="s">
        <v>2624</v>
      </c>
      <c r="J462" s="4" t="str">
        <f t="shared" si="49"/>
        <v>att_gene_editing_method:crispr-hdr</v>
      </c>
      <c r="L462" s="4" t="s">
        <v>1144</v>
      </c>
    </row>
    <row r="463" spans="3:12">
      <c r="C463" s="4" t="s">
        <v>2625</v>
      </c>
      <c r="D463" s="4" t="s">
        <v>1137</v>
      </c>
      <c r="F463" s="4" t="s">
        <v>2621</v>
      </c>
      <c r="G463" s="4" t="s">
        <v>2622</v>
      </c>
      <c r="H463" s="4" t="str">
        <f t="shared" si="48"/>
        <v>att_gene_editing_method</v>
      </c>
      <c r="I463" s="4" t="s">
        <v>1136</v>
      </c>
      <c r="J463" s="4" t="str">
        <f t="shared" si="49"/>
        <v>att_gene_editing_method:biggybac</v>
      </c>
      <c r="L463" s="4" t="s">
        <v>1138</v>
      </c>
    </row>
    <row r="464" spans="3:12">
      <c r="C464" s="4" t="s">
        <v>2626</v>
      </c>
      <c r="D464" s="4" t="s">
        <v>1146</v>
      </c>
      <c r="F464" s="4" t="s">
        <v>2621</v>
      </c>
      <c r="G464" s="4" t="s">
        <v>2622</v>
      </c>
      <c r="H464" s="4" t="str">
        <f t="shared" si="48"/>
        <v>att_gene_editing_method</v>
      </c>
      <c r="I464" s="4" t="s">
        <v>1145</v>
      </c>
      <c r="J464" s="4" t="str">
        <f t="shared" si="49"/>
        <v>att_gene_editing_method:lentiviral</v>
      </c>
      <c r="L464" s="4" t="s">
        <v>1147</v>
      </c>
    </row>
    <row r="465" spans="3:12">
      <c r="C465" s="4" t="s">
        <v>2627</v>
      </c>
      <c r="D465" s="4" t="s">
        <v>1149</v>
      </c>
      <c r="F465" s="4" t="s">
        <v>2621</v>
      </c>
      <c r="G465" s="4" t="s">
        <v>2622</v>
      </c>
      <c r="H465" s="4" t="str">
        <f t="shared" si="48"/>
        <v>att_gene_editing_method</v>
      </c>
      <c r="I465" s="4" t="s">
        <v>1148</v>
      </c>
      <c r="J465" s="4" t="str">
        <f t="shared" si="49"/>
        <v>att_gene_editing_method:talen</v>
      </c>
      <c r="L465" s="4" t="s">
        <v>1150</v>
      </c>
    </row>
    <row r="466" spans="3:12">
      <c r="C466" s="4" t="s">
        <v>2628</v>
      </c>
      <c r="D466" s="4" t="s">
        <v>1152</v>
      </c>
      <c r="F466" s="4" t="s">
        <v>2621</v>
      </c>
      <c r="G466" s="4" t="s">
        <v>2622</v>
      </c>
      <c r="H466" s="4" t="str">
        <f t="shared" si="48"/>
        <v>att_gene_editing_method</v>
      </c>
      <c r="I466" s="4" t="s">
        <v>1151</v>
      </c>
      <c r="J466" s="4" t="str">
        <f t="shared" si="49"/>
        <v>att_gene_editing_method:zincfinger</v>
      </c>
      <c r="L466" s="4" t="s">
        <v>1153</v>
      </c>
    </row>
    <row r="467" spans="3:12">
      <c r="C467" s="4" t="s">
        <v>2629</v>
      </c>
      <c r="D467" s="4" t="s">
        <v>2161</v>
      </c>
      <c r="F467" s="4" t="s">
        <v>2630</v>
      </c>
      <c r="G467" s="4" t="s">
        <v>2631</v>
      </c>
      <c r="H467" s="4" t="str">
        <f t="shared" si="48"/>
        <v>att_protein_mutation</v>
      </c>
      <c r="I467" s="4" t="s">
        <v>2160</v>
      </c>
      <c r="J467" s="4" t="str">
        <f t="shared" si="49"/>
        <v>att_protein_mutation:frameshift</v>
      </c>
      <c r="L467" s="4" t="s">
        <v>2162</v>
      </c>
    </row>
    <row r="468" spans="3:12">
      <c r="C468" s="4" t="s">
        <v>2632</v>
      </c>
      <c r="D468" s="4" t="s">
        <v>2181</v>
      </c>
      <c r="F468" s="4" t="s">
        <v>2630</v>
      </c>
      <c r="G468" s="4" t="s">
        <v>2631</v>
      </c>
      <c r="H468" s="4" t="str">
        <f t="shared" si="48"/>
        <v>att_protein_mutation</v>
      </c>
      <c r="I468" s="4" t="s">
        <v>2180</v>
      </c>
      <c r="J468" s="4" t="str">
        <f t="shared" si="49"/>
        <v>att_protein_mutation:substitution</v>
      </c>
      <c r="L468" s="4" t="s">
        <v>2182</v>
      </c>
    </row>
    <row r="469" spans="3:12">
      <c r="C469" s="4" t="s">
        <v>2633</v>
      </c>
      <c r="D469" s="4" t="s">
        <v>2155</v>
      </c>
      <c r="F469" s="4" t="s">
        <v>2630</v>
      </c>
      <c r="G469" s="4" t="s">
        <v>2631</v>
      </c>
      <c r="H469" s="4" t="str">
        <f t="shared" si="48"/>
        <v>att_protein_mutation</v>
      </c>
      <c r="I469" s="4" t="s">
        <v>1154</v>
      </c>
      <c r="J469" s="4" t="str">
        <f t="shared" si="49"/>
        <v>att_protein_mutation:deletion</v>
      </c>
      <c r="L469" s="4" t="s">
        <v>2156</v>
      </c>
    </row>
    <row r="470" spans="3:12">
      <c r="C470" s="4" t="s">
        <v>2172</v>
      </c>
      <c r="D470" s="4" t="s">
        <v>2173</v>
      </c>
      <c r="F470" s="4" t="s">
        <v>2630</v>
      </c>
      <c r="G470" s="4" t="s">
        <v>2631</v>
      </c>
      <c r="H470" s="4" t="str">
        <f t="shared" si="48"/>
        <v>att_protein_mutation</v>
      </c>
      <c r="I470" s="4" t="s">
        <v>2172</v>
      </c>
      <c r="J470" s="4" t="str">
        <f t="shared" si="49"/>
        <v>att_protein_mutation:insertion</v>
      </c>
      <c r="L470" s="4" t="s">
        <v>2174</v>
      </c>
    </row>
    <row r="471" spans="3:12">
      <c r="C471" s="4" t="s">
        <v>2634</v>
      </c>
      <c r="D471" s="4" t="s">
        <v>2184</v>
      </c>
      <c r="F471" s="4" t="s">
        <v>2630</v>
      </c>
      <c r="G471" s="4" t="s">
        <v>2631</v>
      </c>
      <c r="H471" s="4" t="str">
        <f t="shared" si="48"/>
        <v>att_protein_mutation</v>
      </c>
      <c r="I471" s="4" t="s">
        <v>2183</v>
      </c>
      <c r="J471" s="4" t="str">
        <f t="shared" si="49"/>
        <v>att_protein_mutation:truncation</v>
      </c>
      <c r="L471" s="4" t="s">
        <v>2185</v>
      </c>
    </row>
    <row r="472" spans="3:12">
      <c r="C472" s="4" t="s">
        <v>2635</v>
      </c>
      <c r="D472" s="4" t="s">
        <v>2158</v>
      </c>
      <c r="F472" s="4" t="s">
        <v>2630</v>
      </c>
      <c r="G472" s="4" t="s">
        <v>2631</v>
      </c>
      <c r="H472" s="4" t="str">
        <f t="shared" si="48"/>
        <v>att_protein_mutation</v>
      </c>
      <c r="I472" s="4" t="s">
        <v>2157</v>
      </c>
      <c r="J472" s="4" t="str">
        <f t="shared" si="49"/>
        <v>att_protein_mutation:flag</v>
      </c>
      <c r="L472" s="4" t="s">
        <v>2159</v>
      </c>
    </row>
    <row r="473" spans="3:12">
      <c r="C473" s="4" t="s">
        <v>2636</v>
      </c>
      <c r="D473" s="4" t="s">
        <v>2167</v>
      </c>
      <c r="F473" s="4" t="s">
        <v>2630</v>
      </c>
      <c r="G473" s="4" t="s">
        <v>2631</v>
      </c>
      <c r="H473" s="4" t="str">
        <f t="shared" si="48"/>
        <v>att_protein_mutation</v>
      </c>
      <c r="I473" s="4" t="s">
        <v>2166</v>
      </c>
      <c r="J473" s="4" t="str">
        <f t="shared" si="49"/>
        <v>att_protein_mutation:ha</v>
      </c>
      <c r="L473" s="4" t="s">
        <v>2168</v>
      </c>
    </row>
    <row r="474" spans="3:12">
      <c r="C474" s="4" t="s">
        <v>2637</v>
      </c>
      <c r="D474" s="4" t="s">
        <v>2176</v>
      </c>
      <c r="F474" s="4" t="s">
        <v>2630</v>
      </c>
      <c r="G474" s="4" t="s">
        <v>2631</v>
      </c>
      <c r="H474" s="4" t="str">
        <f t="shared" si="48"/>
        <v>att_protein_mutation</v>
      </c>
      <c r="I474" s="4" t="s">
        <v>2175</v>
      </c>
      <c r="J474" s="4" t="str">
        <f t="shared" si="49"/>
        <v>att_protein_mutation:myc</v>
      </c>
      <c r="L474" s="4" t="s">
        <v>2177</v>
      </c>
    </row>
    <row r="475" spans="3:12">
      <c r="C475" s="4" t="s">
        <v>2638</v>
      </c>
      <c r="D475" s="4" t="s">
        <v>2164</v>
      </c>
      <c r="F475" s="4" t="s">
        <v>2630</v>
      </c>
      <c r="G475" s="4" t="s">
        <v>2631</v>
      </c>
      <c r="H475" s="4" t="str">
        <f t="shared" si="48"/>
        <v>att_protein_mutation</v>
      </c>
      <c r="I475" s="4" t="s">
        <v>2163</v>
      </c>
      <c r="J475" s="4" t="str">
        <f t="shared" si="49"/>
        <v>att_protein_mutation:gfp</v>
      </c>
      <c r="L475" s="4" t="s">
        <v>2165</v>
      </c>
    </row>
    <row r="476" spans="3:12">
      <c r="C476" s="4" t="s">
        <v>2639</v>
      </c>
      <c r="D476" s="4" t="s">
        <v>2170</v>
      </c>
      <c r="F476" s="4" t="s">
        <v>2630</v>
      </c>
      <c r="G476" s="4" t="s">
        <v>2631</v>
      </c>
      <c r="H476" s="4" t="str">
        <f t="shared" si="48"/>
        <v>att_protein_mutation</v>
      </c>
      <c r="I476" s="4" t="s">
        <v>2169</v>
      </c>
      <c r="J476" s="4" t="str">
        <f t="shared" si="49"/>
        <v>att_protein_mutation:his</v>
      </c>
      <c r="L476" s="4" t="s">
        <v>2171</v>
      </c>
    </row>
    <row r="478" spans="3:12">
      <c r="C478" s="4" t="s">
        <v>2640</v>
      </c>
      <c r="D478" s="4" t="s">
        <v>2193</v>
      </c>
      <c r="F478" s="4" t="s">
        <v>2641</v>
      </c>
      <c r="G478" s="4" t="s">
        <v>2642</v>
      </c>
      <c r="H478" s="4" t="str">
        <f>"att_"&amp;G478</f>
        <v>att_protein_position</v>
      </c>
      <c r="I478" s="4" t="s">
        <v>2192</v>
      </c>
      <c r="J478" s="4" t="str">
        <f>H478&amp;":"&amp;I478</f>
        <v>att_protein_position:nterm</v>
      </c>
      <c r="L478" s="4" t="s">
        <v>2194</v>
      </c>
    </row>
    <row r="479" spans="3:12">
      <c r="C479" s="4" t="s">
        <v>2643</v>
      </c>
      <c r="D479" s="4" t="s">
        <v>2190</v>
      </c>
      <c r="F479" s="4" t="s">
        <v>2641</v>
      </c>
      <c r="G479" s="4" t="s">
        <v>2642</v>
      </c>
      <c r="H479" s="4" t="str">
        <f>"att_"&amp;G479</f>
        <v>att_protein_position</v>
      </c>
      <c r="I479" s="4" t="s">
        <v>2189</v>
      </c>
      <c r="J479" s="4" t="str">
        <f>H479&amp;":"&amp;I479</f>
        <v>att_protein_position:cterm</v>
      </c>
      <c r="L479" s="4" t="s">
        <v>2191</v>
      </c>
    </row>
    <row r="480" spans="3:12">
      <c r="C480" s="4" t="s">
        <v>2186</v>
      </c>
      <c r="D480" s="4" t="s">
        <v>2187</v>
      </c>
      <c r="F480" s="4" t="s">
        <v>2641</v>
      </c>
      <c r="G480" s="4" t="s">
        <v>2642</v>
      </c>
      <c r="H480" s="4" t="str">
        <f>"att_"&amp;G480</f>
        <v>att_protein_position</v>
      </c>
      <c r="I480" s="4" t="s">
        <v>2186</v>
      </c>
      <c r="J480" s="4" t="str">
        <f>H480&amp;":"&amp;I480</f>
        <v>att_protein_position:aa</v>
      </c>
      <c r="L480" s="4" t="s">
        <v>2188</v>
      </c>
    </row>
    <row r="481" spans="3:12">
      <c r="C481" s="4" t="s">
        <v>2195</v>
      </c>
      <c r="D481" s="4" t="s">
        <v>2196</v>
      </c>
      <c r="F481" s="4" t="s">
        <v>2641</v>
      </c>
      <c r="G481" s="4" t="s">
        <v>2642</v>
      </c>
      <c r="H481" s="4" t="str">
        <f>"att_"&amp;G481</f>
        <v>att_protein_position</v>
      </c>
      <c r="I481" s="4" t="s">
        <v>2195</v>
      </c>
      <c r="J481" s="4" t="str">
        <f>H481&amp;":"&amp;I481</f>
        <v>att_protein_position:region</v>
      </c>
      <c r="L481" s="4" t="s">
        <v>2197</v>
      </c>
    </row>
    <row r="485" spans="3:12">
      <c r="C485" s="4" t="s">
        <v>2644</v>
      </c>
      <c r="D485" s="4" t="s">
        <v>191</v>
      </c>
      <c r="F485" s="4" t="s">
        <v>2645</v>
      </c>
      <c r="G485" s="4" t="s">
        <v>2186</v>
      </c>
      <c r="H485" s="4" t="s">
        <v>190</v>
      </c>
      <c r="I485" s="4" t="s">
        <v>189</v>
      </c>
      <c r="J485" s="4" t="str">
        <f t="shared" ref="J485:J503" si="50">H485&amp;":"&amp;I485</f>
        <v>att_aa:arginine</v>
      </c>
      <c r="L485" s="4" t="s">
        <v>192</v>
      </c>
    </row>
    <row r="486" spans="3:12">
      <c r="C486" s="4" t="s">
        <v>2644</v>
      </c>
      <c r="D486" s="4" t="s">
        <v>194</v>
      </c>
      <c r="F486" s="4" t="s">
        <v>2645</v>
      </c>
      <c r="G486" s="4" t="s">
        <v>2186</v>
      </c>
      <c r="H486" s="4" t="s">
        <v>190</v>
      </c>
      <c r="I486" s="4" t="s">
        <v>193</v>
      </c>
      <c r="J486" s="4" t="str">
        <f t="shared" si="50"/>
        <v>att_aa:asparagine</v>
      </c>
      <c r="L486" s="4" t="s">
        <v>195</v>
      </c>
    </row>
    <row r="487" spans="3:12">
      <c r="C487" s="4" t="s">
        <v>2644</v>
      </c>
      <c r="D487" s="4" t="s">
        <v>197</v>
      </c>
      <c r="F487" s="4" t="s">
        <v>2645</v>
      </c>
      <c r="G487" s="4" t="s">
        <v>2186</v>
      </c>
      <c r="H487" s="4" t="s">
        <v>190</v>
      </c>
      <c r="I487" s="4" t="s">
        <v>196</v>
      </c>
      <c r="J487" s="4" t="str">
        <f t="shared" si="50"/>
        <v>att_aa:asparticacid</v>
      </c>
      <c r="L487" s="4" t="s">
        <v>198</v>
      </c>
    </row>
    <row r="488" spans="3:12">
      <c r="C488" s="4" t="s">
        <v>2644</v>
      </c>
      <c r="D488" s="4" t="s">
        <v>200</v>
      </c>
      <c r="F488" s="4" t="s">
        <v>2645</v>
      </c>
      <c r="G488" s="4" t="s">
        <v>2186</v>
      </c>
      <c r="H488" s="4" t="s">
        <v>190</v>
      </c>
      <c r="I488" s="4" t="s">
        <v>199</v>
      </c>
      <c r="J488" s="4" t="str">
        <f t="shared" si="50"/>
        <v>att_aa:cysteine</v>
      </c>
      <c r="L488" s="4" t="s">
        <v>201</v>
      </c>
    </row>
    <row r="489" spans="3:12">
      <c r="C489" s="4" t="s">
        <v>2644</v>
      </c>
      <c r="D489" s="4" t="s">
        <v>203</v>
      </c>
      <c r="F489" s="4" t="s">
        <v>2645</v>
      </c>
      <c r="G489" s="4" t="s">
        <v>2186</v>
      </c>
      <c r="H489" s="4" t="s">
        <v>190</v>
      </c>
      <c r="I489" s="4" t="s">
        <v>202</v>
      </c>
      <c r="J489" s="4" t="str">
        <f t="shared" si="50"/>
        <v>att_aa:glutamicacid</v>
      </c>
      <c r="L489" s="4" t="s">
        <v>204</v>
      </c>
    </row>
    <row r="490" spans="3:12">
      <c r="C490" s="4" t="s">
        <v>2644</v>
      </c>
      <c r="D490" s="4" t="s">
        <v>206</v>
      </c>
      <c r="F490" s="4" t="s">
        <v>2645</v>
      </c>
      <c r="G490" s="4" t="s">
        <v>2186</v>
      </c>
      <c r="H490" s="4" t="s">
        <v>190</v>
      </c>
      <c r="I490" s="4" t="s">
        <v>205</v>
      </c>
      <c r="J490" s="4" t="str">
        <f t="shared" si="50"/>
        <v>att_aa:glutamine</v>
      </c>
      <c r="L490" s="4" t="s">
        <v>207</v>
      </c>
    </row>
    <row r="491" spans="3:12">
      <c r="C491" s="4" t="s">
        <v>2644</v>
      </c>
      <c r="D491" s="4" t="s">
        <v>209</v>
      </c>
      <c r="F491" s="4" t="s">
        <v>2645</v>
      </c>
      <c r="G491" s="4" t="s">
        <v>2186</v>
      </c>
      <c r="H491" s="4" t="s">
        <v>190</v>
      </c>
      <c r="I491" s="4" t="s">
        <v>208</v>
      </c>
      <c r="J491" s="4" t="str">
        <f t="shared" si="50"/>
        <v>att_aa:glycine</v>
      </c>
      <c r="L491" s="4" t="s">
        <v>210</v>
      </c>
    </row>
    <row r="492" spans="3:12">
      <c r="C492" s="4" t="s">
        <v>2644</v>
      </c>
      <c r="D492" s="4" t="s">
        <v>212</v>
      </c>
      <c r="F492" s="4" t="s">
        <v>2645</v>
      </c>
      <c r="G492" s="4" t="s">
        <v>2186</v>
      </c>
      <c r="H492" s="4" t="s">
        <v>190</v>
      </c>
      <c r="I492" s="4" t="s">
        <v>211</v>
      </c>
      <c r="J492" s="4" t="str">
        <f t="shared" si="50"/>
        <v>att_aa:histidine</v>
      </c>
      <c r="L492" s="4" t="s">
        <v>213</v>
      </c>
    </row>
    <row r="493" spans="3:12">
      <c r="C493" s="4" t="s">
        <v>2644</v>
      </c>
      <c r="D493" s="4" t="s">
        <v>215</v>
      </c>
      <c r="F493" s="4" t="s">
        <v>2645</v>
      </c>
      <c r="G493" s="4" t="s">
        <v>2186</v>
      </c>
      <c r="H493" s="4" t="s">
        <v>190</v>
      </c>
      <c r="I493" s="4" t="s">
        <v>214</v>
      </c>
      <c r="J493" s="4" t="str">
        <f t="shared" si="50"/>
        <v>att_aa:isoleucine</v>
      </c>
      <c r="L493" s="4" t="s">
        <v>216</v>
      </c>
    </row>
    <row r="494" spans="3:12">
      <c r="C494" s="4" t="s">
        <v>2644</v>
      </c>
      <c r="D494" s="4" t="s">
        <v>218</v>
      </c>
      <c r="F494" s="4" t="s">
        <v>2645</v>
      </c>
      <c r="G494" s="4" t="s">
        <v>2186</v>
      </c>
      <c r="H494" s="4" t="s">
        <v>190</v>
      </c>
      <c r="I494" s="4" t="s">
        <v>217</v>
      </c>
      <c r="J494" s="4" t="str">
        <f t="shared" si="50"/>
        <v>att_aa:leucine</v>
      </c>
      <c r="L494" s="4" t="s">
        <v>219</v>
      </c>
    </row>
    <row r="495" spans="3:12">
      <c r="C495" s="4" t="s">
        <v>2644</v>
      </c>
      <c r="D495" s="4" t="s">
        <v>221</v>
      </c>
      <c r="F495" s="4" t="s">
        <v>2645</v>
      </c>
      <c r="G495" s="4" t="s">
        <v>2186</v>
      </c>
      <c r="H495" s="4" t="s">
        <v>190</v>
      </c>
      <c r="I495" s="4" t="s">
        <v>220</v>
      </c>
      <c r="J495" s="4" t="str">
        <f t="shared" si="50"/>
        <v>att_aa:lysine</v>
      </c>
      <c r="L495" s="4" t="s">
        <v>222</v>
      </c>
    </row>
    <row r="496" spans="3:12">
      <c r="C496" s="4" t="s">
        <v>2644</v>
      </c>
      <c r="D496" s="4" t="s">
        <v>224</v>
      </c>
      <c r="F496" s="4" t="s">
        <v>2645</v>
      </c>
      <c r="G496" s="4" t="s">
        <v>2186</v>
      </c>
      <c r="H496" s="4" t="s">
        <v>190</v>
      </c>
      <c r="I496" s="4" t="s">
        <v>223</v>
      </c>
      <c r="J496" s="4" t="str">
        <f t="shared" si="50"/>
        <v>att_aa:methionine</v>
      </c>
      <c r="L496" s="4" t="s">
        <v>225</v>
      </c>
    </row>
    <row r="497" spans="3:12">
      <c r="C497" s="4" t="s">
        <v>2644</v>
      </c>
      <c r="D497" s="4" t="s">
        <v>227</v>
      </c>
      <c r="F497" s="4" t="s">
        <v>2645</v>
      </c>
      <c r="G497" s="4" t="s">
        <v>2186</v>
      </c>
      <c r="H497" s="4" t="s">
        <v>190</v>
      </c>
      <c r="I497" s="4" t="s">
        <v>226</v>
      </c>
      <c r="J497" s="4" t="str">
        <f t="shared" si="50"/>
        <v>att_aa:phenylalanine</v>
      </c>
      <c r="L497" s="4" t="s">
        <v>228</v>
      </c>
    </row>
    <row r="498" spans="3:12">
      <c r="C498" s="4" t="s">
        <v>2644</v>
      </c>
      <c r="D498" s="4" t="s">
        <v>230</v>
      </c>
      <c r="F498" s="4" t="s">
        <v>2645</v>
      </c>
      <c r="G498" s="4" t="s">
        <v>2186</v>
      </c>
      <c r="H498" s="4" t="s">
        <v>190</v>
      </c>
      <c r="I498" s="4" t="s">
        <v>229</v>
      </c>
      <c r="J498" s="4" t="str">
        <f t="shared" si="50"/>
        <v>att_aa:proline</v>
      </c>
      <c r="L498" s="4" t="s">
        <v>231</v>
      </c>
    </row>
    <row r="499" spans="3:12">
      <c r="C499" s="4" t="s">
        <v>2644</v>
      </c>
      <c r="D499" s="4" t="s">
        <v>233</v>
      </c>
      <c r="F499" s="4" t="s">
        <v>2645</v>
      </c>
      <c r="G499" s="4" t="s">
        <v>2186</v>
      </c>
      <c r="H499" s="4" t="s">
        <v>190</v>
      </c>
      <c r="I499" s="4" t="s">
        <v>232</v>
      </c>
      <c r="J499" s="4" t="str">
        <f t="shared" si="50"/>
        <v>att_aa:serine</v>
      </c>
      <c r="L499" s="4" t="s">
        <v>234</v>
      </c>
    </row>
    <row r="500" spans="3:12">
      <c r="C500" s="4" t="s">
        <v>2644</v>
      </c>
      <c r="D500" s="4" t="s">
        <v>236</v>
      </c>
      <c r="F500" s="4" t="s">
        <v>2645</v>
      </c>
      <c r="G500" s="4" t="s">
        <v>2186</v>
      </c>
      <c r="H500" s="4" t="s">
        <v>190</v>
      </c>
      <c r="I500" s="4" t="s">
        <v>235</v>
      </c>
      <c r="J500" s="4" t="str">
        <f t="shared" si="50"/>
        <v>att_aa:threonine</v>
      </c>
      <c r="L500" s="4" t="s">
        <v>237</v>
      </c>
    </row>
    <row r="501" spans="3:12">
      <c r="C501" s="4" t="s">
        <v>2644</v>
      </c>
      <c r="D501" s="4" t="s">
        <v>239</v>
      </c>
      <c r="F501" s="4" t="s">
        <v>2645</v>
      </c>
      <c r="G501" s="4" t="s">
        <v>2186</v>
      </c>
      <c r="H501" s="4" t="s">
        <v>190</v>
      </c>
      <c r="I501" s="4" t="s">
        <v>238</v>
      </c>
      <c r="J501" s="4" t="str">
        <f t="shared" si="50"/>
        <v>att_aa:tryptophan</v>
      </c>
      <c r="L501" s="4" t="s">
        <v>240</v>
      </c>
    </row>
    <row r="502" spans="3:12">
      <c r="C502" s="4" t="s">
        <v>2644</v>
      </c>
      <c r="D502" s="4" t="s">
        <v>242</v>
      </c>
      <c r="F502" s="4" t="s">
        <v>2645</v>
      </c>
      <c r="G502" s="4" t="s">
        <v>2186</v>
      </c>
      <c r="H502" s="4" t="s">
        <v>190</v>
      </c>
      <c r="I502" s="4" t="s">
        <v>241</v>
      </c>
      <c r="J502" s="4" t="str">
        <f t="shared" si="50"/>
        <v>att_aa:tyrosine</v>
      </c>
      <c r="L502" s="4" t="s">
        <v>243</v>
      </c>
    </row>
    <row r="503" spans="3:12">
      <c r="C503" s="4" t="s">
        <v>2644</v>
      </c>
      <c r="D503" s="4" t="s">
        <v>245</v>
      </c>
      <c r="F503" s="4" t="s">
        <v>2645</v>
      </c>
      <c r="G503" s="4" t="s">
        <v>2186</v>
      </c>
      <c r="H503" s="4" t="s">
        <v>190</v>
      </c>
      <c r="I503" s="4" t="s">
        <v>244</v>
      </c>
      <c r="J503" s="4" t="str">
        <f t="shared" si="50"/>
        <v>att_aa:valine</v>
      </c>
      <c r="L503" s="4" t="s">
        <v>246</v>
      </c>
    </row>
    <row r="507" spans="3:12">
      <c r="C507" s="4" t="s">
        <v>2646</v>
      </c>
      <c r="D507" s="4">
        <v>126</v>
      </c>
      <c r="F507" s="4" t="s">
        <v>162</v>
      </c>
      <c r="G507" s="4" t="s">
        <v>2647</v>
      </c>
      <c r="H507" s="4" t="s">
        <v>161</v>
      </c>
      <c r="I507" s="4" t="str">
        <f t="shared" ref="I507:I516" si="51">"tmt10_"&amp;D507</f>
        <v>tmt10_126</v>
      </c>
      <c r="J507" s="4" t="str">
        <f t="shared" ref="J507:J516" si="52">H507&amp;":"&amp;I507</f>
        <v>att_tmt_channel:tmt10_126</v>
      </c>
    </row>
    <row r="508" spans="3:12">
      <c r="C508" s="4" t="s">
        <v>2646</v>
      </c>
      <c r="D508" s="4" t="s">
        <v>2302</v>
      </c>
      <c r="F508" s="4" t="s">
        <v>162</v>
      </c>
      <c r="G508" s="4" t="s">
        <v>2647</v>
      </c>
      <c r="H508" s="4" t="s">
        <v>161</v>
      </c>
      <c r="I508" s="4" t="str">
        <f t="shared" si="51"/>
        <v>tmt10_127N</v>
      </c>
      <c r="J508" s="4" t="str">
        <f t="shared" si="52"/>
        <v>att_tmt_channel:tmt10_127N</v>
      </c>
    </row>
    <row r="509" spans="3:12">
      <c r="C509" s="4" t="s">
        <v>2646</v>
      </c>
      <c r="D509" s="4" t="s">
        <v>2300</v>
      </c>
      <c r="F509" s="4" t="s">
        <v>162</v>
      </c>
      <c r="G509" s="4" t="s">
        <v>2647</v>
      </c>
      <c r="H509" s="4" t="s">
        <v>161</v>
      </c>
      <c r="I509" s="4" t="str">
        <f t="shared" si="51"/>
        <v>tmt10_127C</v>
      </c>
      <c r="J509" s="4" t="str">
        <f t="shared" si="52"/>
        <v>att_tmt_channel:tmt10_127C</v>
      </c>
    </row>
    <row r="510" spans="3:12">
      <c r="C510" s="4" t="s">
        <v>2646</v>
      </c>
      <c r="D510" s="4" t="s">
        <v>2306</v>
      </c>
      <c r="F510" s="4" t="s">
        <v>162</v>
      </c>
      <c r="G510" s="4" t="s">
        <v>2647</v>
      </c>
      <c r="H510" s="4" t="s">
        <v>161</v>
      </c>
      <c r="I510" s="4" t="str">
        <f t="shared" si="51"/>
        <v>tmt10_128N</v>
      </c>
      <c r="J510" s="4" t="str">
        <f t="shared" si="52"/>
        <v>att_tmt_channel:tmt10_128N</v>
      </c>
    </row>
    <row r="511" spans="3:12">
      <c r="C511" s="4" t="s">
        <v>2646</v>
      </c>
      <c r="D511" s="4" t="s">
        <v>2304</v>
      </c>
      <c r="F511" s="4" t="s">
        <v>162</v>
      </c>
      <c r="G511" s="4" t="s">
        <v>2647</v>
      </c>
      <c r="H511" s="4" t="s">
        <v>161</v>
      </c>
      <c r="I511" s="4" t="str">
        <f t="shared" si="51"/>
        <v>tmt10_128C</v>
      </c>
      <c r="J511" s="4" t="str">
        <f t="shared" si="52"/>
        <v>att_tmt_channel:tmt10_128C</v>
      </c>
    </row>
    <row r="512" spans="3:12">
      <c r="C512" s="4" t="s">
        <v>2646</v>
      </c>
      <c r="D512" s="4" t="s">
        <v>2310</v>
      </c>
      <c r="F512" s="4" t="s">
        <v>162</v>
      </c>
      <c r="G512" s="4" t="s">
        <v>2647</v>
      </c>
      <c r="H512" s="4" t="s">
        <v>161</v>
      </c>
      <c r="I512" s="4" t="str">
        <f t="shared" si="51"/>
        <v>tmt10_129N</v>
      </c>
      <c r="J512" s="4" t="str">
        <f t="shared" si="52"/>
        <v>att_tmt_channel:tmt10_129N</v>
      </c>
    </row>
    <row r="513" spans="3:10">
      <c r="C513" s="4" t="s">
        <v>2646</v>
      </c>
      <c r="D513" s="4" t="s">
        <v>2308</v>
      </c>
      <c r="F513" s="4" t="s">
        <v>162</v>
      </c>
      <c r="G513" s="4" t="s">
        <v>2647</v>
      </c>
      <c r="H513" s="4" t="s">
        <v>161</v>
      </c>
      <c r="I513" s="4" t="str">
        <f t="shared" si="51"/>
        <v>tmt10_129C</v>
      </c>
      <c r="J513" s="4" t="str">
        <f t="shared" si="52"/>
        <v>att_tmt_channel:tmt10_129C</v>
      </c>
    </row>
    <row r="514" spans="3:10">
      <c r="C514" s="4" t="s">
        <v>2646</v>
      </c>
      <c r="D514" s="4" t="s">
        <v>2314</v>
      </c>
      <c r="F514" s="4" t="s">
        <v>162</v>
      </c>
      <c r="G514" s="4" t="s">
        <v>2647</v>
      </c>
      <c r="H514" s="4" t="s">
        <v>161</v>
      </c>
      <c r="I514" s="4" t="str">
        <f t="shared" si="51"/>
        <v>tmt10_130N</v>
      </c>
      <c r="J514" s="4" t="str">
        <f t="shared" si="52"/>
        <v>att_tmt_channel:tmt10_130N</v>
      </c>
    </row>
    <row r="515" spans="3:10">
      <c r="C515" s="4" t="s">
        <v>2646</v>
      </c>
      <c r="D515" s="4" t="s">
        <v>2312</v>
      </c>
      <c r="F515" s="4" t="s">
        <v>162</v>
      </c>
      <c r="G515" s="4" t="s">
        <v>2647</v>
      </c>
      <c r="H515" s="4" t="s">
        <v>161</v>
      </c>
      <c r="I515" s="4" t="str">
        <f t="shared" si="51"/>
        <v>tmt10_130C</v>
      </c>
      <c r="J515" s="4" t="str">
        <f t="shared" si="52"/>
        <v>att_tmt_channel:tmt10_130C</v>
      </c>
    </row>
    <row r="516" spans="3:10">
      <c r="C516" s="4" t="s">
        <v>2646</v>
      </c>
      <c r="D516" s="4">
        <v>131</v>
      </c>
      <c r="F516" s="4" t="s">
        <v>162</v>
      </c>
      <c r="G516" s="4" t="s">
        <v>2647</v>
      </c>
      <c r="H516" s="4" t="s">
        <v>161</v>
      </c>
      <c r="I516" s="4" t="str">
        <f t="shared" si="51"/>
        <v>tmt10_131</v>
      </c>
      <c r="J516" s="4" t="str">
        <f t="shared" si="52"/>
        <v>att_tmt_channel:tmt10_131</v>
      </c>
    </row>
    <row r="518" spans="3:10">
      <c r="C518" s="4" t="s">
        <v>2646</v>
      </c>
      <c r="D518" s="4">
        <v>126</v>
      </c>
      <c r="F518" s="4" t="s">
        <v>2648</v>
      </c>
      <c r="G518" s="4" t="s">
        <v>2647</v>
      </c>
      <c r="H518" s="4" t="s">
        <v>161</v>
      </c>
      <c r="I518" s="4" t="str">
        <f t="shared" ref="I518:I528" si="53">"tmt11_"&amp;D518</f>
        <v>tmt11_126</v>
      </c>
      <c r="J518" s="4" t="str">
        <f t="shared" ref="J518:J528" si="54">H518&amp;":"&amp;I518</f>
        <v>att_tmt_channel:tmt11_126</v>
      </c>
    </row>
    <row r="519" spans="3:10">
      <c r="C519" s="4" t="s">
        <v>2646</v>
      </c>
      <c r="D519" s="4" t="s">
        <v>2302</v>
      </c>
      <c r="F519" s="4" t="s">
        <v>2648</v>
      </c>
      <c r="G519" s="4" t="s">
        <v>2647</v>
      </c>
      <c r="H519" s="4" t="s">
        <v>161</v>
      </c>
      <c r="I519" s="4" t="str">
        <f t="shared" si="53"/>
        <v>tmt11_127N</v>
      </c>
      <c r="J519" s="4" t="str">
        <f t="shared" si="54"/>
        <v>att_tmt_channel:tmt11_127N</v>
      </c>
    </row>
    <row r="520" spans="3:10">
      <c r="C520" s="4" t="s">
        <v>2646</v>
      </c>
      <c r="D520" s="4" t="s">
        <v>2300</v>
      </c>
      <c r="F520" s="4" t="s">
        <v>2648</v>
      </c>
      <c r="G520" s="4" t="s">
        <v>2647</v>
      </c>
      <c r="H520" s="4" t="s">
        <v>161</v>
      </c>
      <c r="I520" s="4" t="str">
        <f t="shared" si="53"/>
        <v>tmt11_127C</v>
      </c>
      <c r="J520" s="4" t="str">
        <f t="shared" si="54"/>
        <v>att_tmt_channel:tmt11_127C</v>
      </c>
    </row>
    <row r="521" spans="3:10">
      <c r="C521" s="4" t="s">
        <v>2646</v>
      </c>
      <c r="D521" s="4" t="s">
        <v>2306</v>
      </c>
      <c r="F521" s="4" t="s">
        <v>2648</v>
      </c>
      <c r="G521" s="4" t="s">
        <v>2647</v>
      </c>
      <c r="H521" s="4" t="s">
        <v>161</v>
      </c>
      <c r="I521" s="4" t="str">
        <f t="shared" si="53"/>
        <v>tmt11_128N</v>
      </c>
      <c r="J521" s="4" t="str">
        <f t="shared" si="54"/>
        <v>att_tmt_channel:tmt11_128N</v>
      </c>
    </row>
    <row r="522" spans="3:10">
      <c r="C522" s="4" t="s">
        <v>2646</v>
      </c>
      <c r="D522" s="4" t="s">
        <v>2304</v>
      </c>
      <c r="F522" s="4" t="s">
        <v>2648</v>
      </c>
      <c r="G522" s="4" t="s">
        <v>2647</v>
      </c>
      <c r="H522" s="4" t="s">
        <v>161</v>
      </c>
      <c r="I522" s="4" t="str">
        <f t="shared" si="53"/>
        <v>tmt11_128C</v>
      </c>
      <c r="J522" s="4" t="str">
        <f t="shared" si="54"/>
        <v>att_tmt_channel:tmt11_128C</v>
      </c>
    </row>
    <row r="523" spans="3:10">
      <c r="C523" s="4" t="s">
        <v>2646</v>
      </c>
      <c r="D523" s="4" t="s">
        <v>2310</v>
      </c>
      <c r="F523" s="4" t="s">
        <v>2648</v>
      </c>
      <c r="G523" s="4" t="s">
        <v>2647</v>
      </c>
      <c r="H523" s="4" t="s">
        <v>161</v>
      </c>
      <c r="I523" s="4" t="str">
        <f t="shared" si="53"/>
        <v>tmt11_129N</v>
      </c>
      <c r="J523" s="4" t="str">
        <f t="shared" si="54"/>
        <v>att_tmt_channel:tmt11_129N</v>
      </c>
    </row>
    <row r="524" spans="3:10">
      <c r="C524" s="4" t="s">
        <v>2646</v>
      </c>
      <c r="D524" s="4" t="s">
        <v>2308</v>
      </c>
      <c r="F524" s="4" t="s">
        <v>2648</v>
      </c>
      <c r="G524" s="4" t="s">
        <v>2647</v>
      </c>
      <c r="H524" s="4" t="s">
        <v>161</v>
      </c>
      <c r="I524" s="4" t="str">
        <f t="shared" si="53"/>
        <v>tmt11_129C</v>
      </c>
      <c r="J524" s="4" t="str">
        <f t="shared" si="54"/>
        <v>att_tmt_channel:tmt11_129C</v>
      </c>
    </row>
    <row r="525" spans="3:10">
      <c r="C525" s="4" t="s">
        <v>2646</v>
      </c>
      <c r="D525" s="4" t="s">
        <v>2314</v>
      </c>
      <c r="F525" s="4" t="s">
        <v>2648</v>
      </c>
      <c r="G525" s="4" t="s">
        <v>2647</v>
      </c>
      <c r="H525" s="4" t="s">
        <v>161</v>
      </c>
      <c r="I525" s="4" t="str">
        <f t="shared" si="53"/>
        <v>tmt11_130N</v>
      </c>
      <c r="J525" s="4" t="str">
        <f t="shared" si="54"/>
        <v>att_tmt_channel:tmt11_130N</v>
      </c>
    </row>
    <row r="526" spans="3:10">
      <c r="C526" s="4" t="s">
        <v>2646</v>
      </c>
      <c r="D526" s="4" t="s">
        <v>2312</v>
      </c>
      <c r="F526" s="4" t="s">
        <v>2648</v>
      </c>
      <c r="G526" s="4" t="s">
        <v>2647</v>
      </c>
      <c r="H526" s="4" t="s">
        <v>161</v>
      </c>
      <c r="I526" s="4" t="str">
        <f t="shared" si="53"/>
        <v>tmt11_130C</v>
      </c>
      <c r="J526" s="4" t="str">
        <f t="shared" si="54"/>
        <v>att_tmt_channel:tmt11_130C</v>
      </c>
    </row>
    <row r="527" spans="3:10">
      <c r="C527" s="4" t="s">
        <v>2646</v>
      </c>
      <c r="D527" s="4" t="s">
        <v>2328</v>
      </c>
      <c r="F527" s="4" t="s">
        <v>2648</v>
      </c>
      <c r="G527" s="4" t="s">
        <v>2647</v>
      </c>
      <c r="H527" s="4" t="s">
        <v>161</v>
      </c>
      <c r="I527" s="4" t="str">
        <f t="shared" si="53"/>
        <v>tmt11_131N</v>
      </c>
      <c r="J527" s="4" t="str">
        <f t="shared" si="54"/>
        <v>att_tmt_channel:tmt11_131N</v>
      </c>
    </row>
    <row r="528" spans="3:10">
      <c r="C528" s="4" t="s">
        <v>2646</v>
      </c>
      <c r="D528" s="4" t="s">
        <v>2326</v>
      </c>
      <c r="F528" s="4" t="s">
        <v>2648</v>
      </c>
      <c r="G528" s="4" t="s">
        <v>2647</v>
      </c>
      <c r="H528" s="4" t="s">
        <v>161</v>
      </c>
      <c r="I528" s="4" t="str">
        <f t="shared" si="53"/>
        <v>tmt11_131C</v>
      </c>
      <c r="J528" s="4" t="str">
        <f t="shared" si="54"/>
        <v>att_tmt_channel:tmt11_131C</v>
      </c>
    </row>
    <row r="531" spans="3:10">
      <c r="C531" s="4" t="s">
        <v>2646</v>
      </c>
      <c r="D531" s="4">
        <v>126</v>
      </c>
      <c r="F531" s="4" t="s">
        <v>2649</v>
      </c>
      <c r="G531" s="4" t="s">
        <v>2647</v>
      </c>
      <c r="H531" s="4" t="s">
        <v>161</v>
      </c>
      <c r="I531" s="4" t="str">
        <f t="shared" ref="I531:I536" si="55">"tmt6_"&amp;D531</f>
        <v>tmt6_126</v>
      </c>
      <c r="J531" s="4" t="str">
        <f t="shared" ref="J531:J536" si="56">H531&amp;":"&amp;I531</f>
        <v>att_tmt_channel:tmt6_126</v>
      </c>
    </row>
    <row r="532" spans="3:10">
      <c r="C532" s="4" t="s">
        <v>2646</v>
      </c>
      <c r="D532" s="4">
        <v>127</v>
      </c>
      <c r="F532" s="4" t="s">
        <v>2649</v>
      </c>
      <c r="G532" s="4" t="s">
        <v>2647</v>
      </c>
      <c r="H532" s="4" t="s">
        <v>161</v>
      </c>
      <c r="I532" s="4" t="str">
        <f t="shared" si="55"/>
        <v>tmt6_127</v>
      </c>
      <c r="J532" s="4" t="str">
        <f t="shared" si="56"/>
        <v>att_tmt_channel:tmt6_127</v>
      </c>
    </row>
    <row r="533" spans="3:10">
      <c r="C533" s="4" t="s">
        <v>2646</v>
      </c>
      <c r="D533" s="4">
        <v>128</v>
      </c>
      <c r="F533" s="4" t="s">
        <v>2649</v>
      </c>
      <c r="G533" s="4" t="s">
        <v>2647</v>
      </c>
      <c r="H533" s="4" t="s">
        <v>161</v>
      </c>
      <c r="I533" s="4" t="str">
        <f t="shared" si="55"/>
        <v>tmt6_128</v>
      </c>
      <c r="J533" s="4" t="str">
        <f t="shared" si="56"/>
        <v>att_tmt_channel:tmt6_128</v>
      </c>
    </row>
    <row r="534" spans="3:10">
      <c r="C534" s="4" t="s">
        <v>2646</v>
      </c>
      <c r="D534" s="4">
        <v>129</v>
      </c>
      <c r="F534" s="4" t="s">
        <v>2649</v>
      </c>
      <c r="G534" s="4" t="s">
        <v>2647</v>
      </c>
      <c r="H534" s="4" t="s">
        <v>161</v>
      </c>
      <c r="I534" s="4" t="str">
        <f t="shared" si="55"/>
        <v>tmt6_129</v>
      </c>
      <c r="J534" s="4" t="str">
        <f t="shared" si="56"/>
        <v>att_tmt_channel:tmt6_129</v>
      </c>
    </row>
    <row r="535" spans="3:10">
      <c r="C535" s="4" t="s">
        <v>2646</v>
      </c>
      <c r="D535" s="4">
        <v>130</v>
      </c>
      <c r="F535" s="4" t="s">
        <v>2649</v>
      </c>
      <c r="G535" s="4" t="s">
        <v>2647</v>
      </c>
      <c r="H535" s="4" t="s">
        <v>161</v>
      </c>
      <c r="I535" s="4" t="str">
        <f t="shared" si="55"/>
        <v>tmt6_130</v>
      </c>
      <c r="J535" s="4" t="str">
        <f t="shared" si="56"/>
        <v>att_tmt_channel:tmt6_130</v>
      </c>
    </row>
    <row r="536" spans="3:10">
      <c r="C536" s="4" t="s">
        <v>2646</v>
      </c>
      <c r="D536" s="4">
        <v>131</v>
      </c>
      <c r="F536" s="4" t="s">
        <v>2649</v>
      </c>
      <c r="G536" s="4" t="s">
        <v>2647</v>
      </c>
      <c r="H536" s="4" t="s">
        <v>161</v>
      </c>
      <c r="I536" s="4" t="str">
        <f t="shared" si="55"/>
        <v>tmt6_131</v>
      </c>
      <c r="J536" s="4" t="str">
        <f t="shared" si="56"/>
        <v>att_tmt_channel:tmt6_131</v>
      </c>
    </row>
    <row r="539" spans="3:10">
      <c r="C539" s="4" t="s">
        <v>2646</v>
      </c>
      <c r="D539" s="4">
        <v>126</v>
      </c>
      <c r="F539" s="4" t="s">
        <v>2650</v>
      </c>
      <c r="G539" s="4" t="s">
        <v>2647</v>
      </c>
      <c r="H539" s="4" t="s">
        <v>161</v>
      </c>
      <c r="I539" s="4" t="str">
        <f t="shared" ref="I539:I556" si="57">"tmt18_"&amp;D539</f>
        <v>tmt18_126</v>
      </c>
      <c r="J539" s="4" t="str">
        <f t="shared" ref="J539:J556" si="58">H539&amp;":"&amp;I539</f>
        <v>att_tmt_channel:tmt18_126</v>
      </c>
    </row>
    <row r="540" spans="3:10">
      <c r="C540" s="4" t="s">
        <v>2646</v>
      </c>
      <c r="D540" s="4" t="s">
        <v>2302</v>
      </c>
      <c r="F540" s="4" t="s">
        <v>2650</v>
      </c>
      <c r="G540" s="4" t="s">
        <v>2647</v>
      </c>
      <c r="H540" s="4" t="s">
        <v>161</v>
      </c>
      <c r="I540" s="4" t="str">
        <f t="shared" si="57"/>
        <v>tmt18_127N</v>
      </c>
      <c r="J540" s="4" t="str">
        <f t="shared" si="58"/>
        <v>att_tmt_channel:tmt18_127N</v>
      </c>
    </row>
    <row r="541" spans="3:10">
      <c r="C541" s="4" t="s">
        <v>2646</v>
      </c>
      <c r="D541" s="4" t="s">
        <v>2300</v>
      </c>
      <c r="F541" s="4" t="s">
        <v>2650</v>
      </c>
      <c r="G541" s="4" t="s">
        <v>2647</v>
      </c>
      <c r="H541" s="4" t="s">
        <v>161</v>
      </c>
      <c r="I541" s="4" t="str">
        <f t="shared" si="57"/>
        <v>tmt18_127C</v>
      </c>
      <c r="J541" s="4" t="str">
        <f t="shared" si="58"/>
        <v>att_tmt_channel:tmt18_127C</v>
      </c>
    </row>
    <row r="542" spans="3:10">
      <c r="C542" s="4" t="s">
        <v>2646</v>
      </c>
      <c r="D542" s="4" t="s">
        <v>2306</v>
      </c>
      <c r="F542" s="4" t="s">
        <v>2650</v>
      </c>
      <c r="G542" s="4" t="s">
        <v>2647</v>
      </c>
      <c r="H542" s="4" t="s">
        <v>161</v>
      </c>
      <c r="I542" s="4" t="str">
        <f t="shared" si="57"/>
        <v>tmt18_128N</v>
      </c>
      <c r="J542" s="4" t="str">
        <f t="shared" si="58"/>
        <v>att_tmt_channel:tmt18_128N</v>
      </c>
    </row>
    <row r="543" spans="3:10">
      <c r="C543" s="4" t="s">
        <v>2646</v>
      </c>
      <c r="D543" s="4" t="s">
        <v>2304</v>
      </c>
      <c r="F543" s="4" t="s">
        <v>2650</v>
      </c>
      <c r="G543" s="4" t="s">
        <v>2647</v>
      </c>
      <c r="H543" s="4" t="s">
        <v>161</v>
      </c>
      <c r="I543" s="4" t="str">
        <f t="shared" si="57"/>
        <v>tmt18_128C</v>
      </c>
      <c r="J543" s="4" t="str">
        <f t="shared" si="58"/>
        <v>att_tmt_channel:tmt18_128C</v>
      </c>
    </row>
    <row r="544" spans="3:10">
      <c r="C544" s="4" t="s">
        <v>2646</v>
      </c>
      <c r="D544" s="4" t="s">
        <v>2310</v>
      </c>
      <c r="F544" s="4" t="s">
        <v>2650</v>
      </c>
      <c r="G544" s="4" t="s">
        <v>2647</v>
      </c>
      <c r="H544" s="4" t="s">
        <v>161</v>
      </c>
      <c r="I544" s="4" t="str">
        <f t="shared" si="57"/>
        <v>tmt18_129N</v>
      </c>
      <c r="J544" s="4" t="str">
        <f t="shared" si="58"/>
        <v>att_tmt_channel:tmt18_129N</v>
      </c>
    </row>
    <row r="545" spans="3:10">
      <c r="C545" s="4" t="s">
        <v>2646</v>
      </c>
      <c r="D545" s="4" t="s">
        <v>2308</v>
      </c>
      <c r="F545" s="4" t="s">
        <v>2650</v>
      </c>
      <c r="G545" s="4" t="s">
        <v>2647</v>
      </c>
      <c r="H545" s="4" t="s">
        <v>161</v>
      </c>
      <c r="I545" s="4" t="str">
        <f t="shared" si="57"/>
        <v>tmt18_129C</v>
      </c>
      <c r="J545" s="4" t="str">
        <f t="shared" si="58"/>
        <v>att_tmt_channel:tmt18_129C</v>
      </c>
    </row>
    <row r="546" spans="3:10">
      <c r="C546" s="4" t="s">
        <v>2646</v>
      </c>
      <c r="D546" s="4" t="s">
        <v>2314</v>
      </c>
      <c r="F546" s="4" t="s">
        <v>2650</v>
      </c>
      <c r="G546" s="4" t="s">
        <v>2647</v>
      </c>
      <c r="H546" s="4" t="s">
        <v>161</v>
      </c>
      <c r="I546" s="4" t="str">
        <f t="shared" si="57"/>
        <v>tmt18_130N</v>
      </c>
      <c r="J546" s="4" t="str">
        <f t="shared" si="58"/>
        <v>att_tmt_channel:tmt18_130N</v>
      </c>
    </row>
    <row r="547" spans="3:10">
      <c r="C547" s="4" t="s">
        <v>2646</v>
      </c>
      <c r="D547" s="4" t="s">
        <v>2312</v>
      </c>
      <c r="F547" s="4" t="s">
        <v>2650</v>
      </c>
      <c r="G547" s="4" t="s">
        <v>2647</v>
      </c>
      <c r="H547" s="4" t="s">
        <v>161</v>
      </c>
      <c r="I547" s="4" t="str">
        <f t="shared" si="57"/>
        <v>tmt18_130C</v>
      </c>
      <c r="J547" s="4" t="str">
        <f t="shared" si="58"/>
        <v>att_tmt_channel:tmt18_130C</v>
      </c>
    </row>
    <row r="548" spans="3:10">
      <c r="C548" s="4" t="s">
        <v>2646</v>
      </c>
      <c r="D548" s="4" t="s">
        <v>2328</v>
      </c>
      <c r="F548" s="4" t="s">
        <v>2650</v>
      </c>
      <c r="G548" s="4" t="s">
        <v>2647</v>
      </c>
      <c r="H548" s="4" t="s">
        <v>161</v>
      </c>
      <c r="I548" s="4" t="str">
        <f t="shared" si="57"/>
        <v>tmt18_131N</v>
      </c>
      <c r="J548" s="4" t="str">
        <f t="shared" si="58"/>
        <v>att_tmt_channel:tmt18_131N</v>
      </c>
    </row>
    <row r="549" spans="3:10">
      <c r="C549" s="4" t="s">
        <v>2646</v>
      </c>
      <c r="D549" s="4" t="s">
        <v>2326</v>
      </c>
      <c r="F549" s="4" t="s">
        <v>2650</v>
      </c>
      <c r="G549" s="4" t="s">
        <v>2647</v>
      </c>
      <c r="H549" s="4" t="s">
        <v>161</v>
      </c>
      <c r="I549" s="4" t="str">
        <f t="shared" si="57"/>
        <v>tmt18_131C</v>
      </c>
      <c r="J549" s="4" t="str">
        <f t="shared" si="58"/>
        <v>att_tmt_channel:tmt18_131C</v>
      </c>
    </row>
    <row r="550" spans="3:10">
      <c r="C550" s="4" t="s">
        <v>2646</v>
      </c>
      <c r="D550" s="4" t="s">
        <v>2343</v>
      </c>
      <c r="F550" s="4" t="s">
        <v>2650</v>
      </c>
      <c r="G550" s="4" t="s">
        <v>2647</v>
      </c>
      <c r="H550" s="4" t="s">
        <v>161</v>
      </c>
      <c r="I550" s="4" t="str">
        <f t="shared" si="57"/>
        <v>tmt18_132N</v>
      </c>
      <c r="J550" s="4" t="str">
        <f t="shared" si="58"/>
        <v>att_tmt_channel:tmt18_132N</v>
      </c>
    </row>
    <row r="551" spans="3:10">
      <c r="C551" s="4" t="s">
        <v>2646</v>
      </c>
      <c r="D551" s="4" t="s">
        <v>2341</v>
      </c>
      <c r="F551" s="4" t="s">
        <v>2650</v>
      </c>
      <c r="G551" s="4" t="s">
        <v>2647</v>
      </c>
      <c r="H551" s="4" t="s">
        <v>161</v>
      </c>
      <c r="I551" s="4" t="str">
        <f t="shared" si="57"/>
        <v>tmt18_132C</v>
      </c>
      <c r="J551" s="4" t="str">
        <f t="shared" si="58"/>
        <v>att_tmt_channel:tmt18_132C</v>
      </c>
    </row>
    <row r="552" spans="3:10">
      <c r="C552" s="4" t="s">
        <v>2646</v>
      </c>
      <c r="D552" s="4" t="s">
        <v>2347</v>
      </c>
      <c r="F552" s="4" t="s">
        <v>2650</v>
      </c>
      <c r="G552" s="4" t="s">
        <v>2647</v>
      </c>
      <c r="H552" s="4" t="s">
        <v>161</v>
      </c>
      <c r="I552" s="4" t="str">
        <f t="shared" si="57"/>
        <v>tmt18_133N</v>
      </c>
      <c r="J552" s="4" t="str">
        <f t="shared" si="58"/>
        <v>att_tmt_channel:tmt18_133N</v>
      </c>
    </row>
    <row r="553" spans="3:10">
      <c r="C553" s="4" t="s">
        <v>2646</v>
      </c>
      <c r="D553" s="4" t="s">
        <v>2345</v>
      </c>
      <c r="F553" s="4" t="s">
        <v>2650</v>
      </c>
      <c r="G553" s="4" t="s">
        <v>2647</v>
      </c>
      <c r="H553" s="4" t="s">
        <v>161</v>
      </c>
      <c r="I553" s="4" t="str">
        <f t="shared" si="57"/>
        <v>tmt18_133C</v>
      </c>
      <c r="J553" s="4" t="str">
        <f t="shared" si="58"/>
        <v>att_tmt_channel:tmt18_133C</v>
      </c>
    </row>
    <row r="554" spans="3:10">
      <c r="C554" s="4" t="s">
        <v>2646</v>
      </c>
      <c r="D554" s="4" t="s">
        <v>2351</v>
      </c>
      <c r="F554" s="4" t="s">
        <v>2650</v>
      </c>
      <c r="G554" s="4" t="s">
        <v>2647</v>
      </c>
      <c r="H554" s="4" t="s">
        <v>161</v>
      </c>
      <c r="I554" s="4" t="str">
        <f t="shared" si="57"/>
        <v>tmt18_134N</v>
      </c>
      <c r="J554" s="4" t="str">
        <f t="shared" si="58"/>
        <v>att_tmt_channel:tmt18_134N</v>
      </c>
    </row>
    <row r="555" spans="3:10">
      <c r="C555" s="4" t="s">
        <v>2646</v>
      </c>
      <c r="D555" s="4" t="s">
        <v>2349</v>
      </c>
      <c r="F555" s="4" t="s">
        <v>2650</v>
      </c>
      <c r="G555" s="4" t="s">
        <v>2647</v>
      </c>
      <c r="H555" s="4" t="s">
        <v>161</v>
      </c>
      <c r="I555" s="4" t="str">
        <f t="shared" si="57"/>
        <v>tmt18_134C</v>
      </c>
      <c r="J555" s="4" t="str">
        <f t="shared" si="58"/>
        <v>att_tmt_channel:tmt18_134C</v>
      </c>
    </row>
    <row r="556" spans="3:10">
      <c r="C556" s="4" t="s">
        <v>2646</v>
      </c>
      <c r="D556" s="4" t="s">
        <v>2353</v>
      </c>
      <c r="F556" s="4" t="s">
        <v>2650</v>
      </c>
      <c r="G556" s="4" t="s">
        <v>2647</v>
      </c>
      <c r="H556" s="4" t="s">
        <v>161</v>
      </c>
      <c r="I556" s="4" t="str">
        <f t="shared" si="57"/>
        <v>tmt18_135N</v>
      </c>
      <c r="J556" s="4" t="str">
        <f t="shared" si="58"/>
        <v>att_tmt_channel:tmt18_135N</v>
      </c>
    </row>
    <row r="562" spans="3:10">
      <c r="C562" s="4" t="s">
        <v>2651</v>
      </c>
      <c r="D562" s="4" t="s">
        <v>2373</v>
      </c>
      <c r="F562" s="4" t="s">
        <v>2652</v>
      </c>
      <c r="G562" s="4" t="s">
        <v>2653</v>
      </c>
      <c r="H562" s="4" t="s">
        <v>2654</v>
      </c>
      <c r="I562" s="4" t="s">
        <v>2372</v>
      </c>
      <c r="J562" s="4" t="str">
        <f>H562&amp;":"&amp;I562</f>
        <v>att_user_group:mitoprotea</v>
      </c>
    </row>
    <row r="563" spans="3:10">
      <c r="C563" s="4" t="s">
        <v>2651</v>
      </c>
      <c r="D563" s="4" t="s">
        <v>2376</v>
      </c>
      <c r="F563" s="4" t="s">
        <v>2652</v>
      </c>
      <c r="G563" s="4" t="s">
        <v>2653</v>
      </c>
      <c r="H563" s="4" t="s">
        <v>2654</v>
      </c>
      <c r="I563" s="4" t="s">
        <v>2375</v>
      </c>
      <c r="J563" s="4" t="str">
        <f>H563&amp;":"&amp;I563</f>
        <v>att_user_group:molageing</v>
      </c>
    </row>
    <row r="566" spans="3:10">
      <c r="C566" s="4" t="s">
        <v>2655</v>
      </c>
      <c r="D566" s="4" t="s">
        <v>2367</v>
      </c>
      <c r="F566" s="4" t="s">
        <v>169</v>
      </c>
      <c r="G566" s="4" t="s">
        <v>2656</v>
      </c>
      <c r="H566" s="4" t="s">
        <v>168</v>
      </c>
      <c r="I566" s="4" t="s">
        <v>2366</v>
      </c>
      <c r="J566" s="4" t="str">
        <f>H566&amp;":"&amp;I566</f>
        <v>att_user_institute:mpiage</v>
      </c>
    </row>
    <row r="567" spans="3:10">
      <c r="C567" s="4" t="s">
        <v>2655</v>
      </c>
      <c r="D567" s="4" t="s">
        <v>2364</v>
      </c>
      <c r="F567" s="4" t="s">
        <v>169</v>
      </c>
      <c r="G567" s="4" t="s">
        <v>2656</v>
      </c>
      <c r="H567" s="4" t="s">
        <v>168</v>
      </c>
      <c r="I567" s="4" t="s">
        <v>2363</v>
      </c>
      <c r="J567" s="4" t="str">
        <f>H567&amp;":"&amp;I567</f>
        <v>att_user_institute:cecad</v>
      </c>
    </row>
    <row r="568" spans="3:10">
      <c r="C568" s="4" t="s">
        <v>2655</v>
      </c>
      <c r="D568" s="4" t="s">
        <v>2370</v>
      </c>
      <c r="F568" s="4" t="s">
        <v>169</v>
      </c>
      <c r="G568" s="4" t="s">
        <v>2656</v>
      </c>
      <c r="H568" s="4" t="s">
        <v>168</v>
      </c>
      <c r="I568" s="4" t="s">
        <v>2369</v>
      </c>
      <c r="J568" s="4" t="str">
        <f>H568&amp;":"&amp;I568</f>
        <v>att_user_institute:mpimetab</v>
      </c>
    </row>
    <row r="569" spans="3:10">
      <c r="C569" s="4" t="s">
        <v>2655</v>
      </c>
      <c r="D569" s="4" t="s">
        <v>2361</v>
      </c>
      <c r="F569" s="4" t="s">
        <v>169</v>
      </c>
      <c r="G569" s="4" t="s">
        <v>2656</v>
      </c>
      <c r="H569" s="4" t="s">
        <v>168</v>
      </c>
      <c r="I569" s="4" t="s">
        <v>2360</v>
      </c>
      <c r="J569" s="4"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sheetData>
    <row r="1" spans="1:2">
      <c r="B1" t="s">
        <v>2657</v>
      </c>
    </row>
    <row r="3" spans="1:2">
      <c r="A3">
        <v>-2</v>
      </c>
      <c r="B3" t="s">
        <v>2658</v>
      </c>
    </row>
    <row r="4" spans="1:2">
      <c r="A4">
        <v>-1</v>
      </c>
      <c r="B4" t="s">
        <v>2659</v>
      </c>
    </row>
    <row r="5" spans="1:2">
      <c r="A5">
        <v>0</v>
      </c>
      <c r="B5" t="s">
        <v>2660</v>
      </c>
    </row>
    <row r="6" spans="1:2">
      <c r="A6">
        <v>1</v>
      </c>
      <c r="B6" t="s">
        <v>2661</v>
      </c>
    </row>
    <row r="7" spans="1:2">
      <c r="A7">
        <v>2</v>
      </c>
      <c r="B7" t="s">
        <v>2662</v>
      </c>
    </row>
    <row r="8" spans="1:2">
      <c r="A8">
        <v>3</v>
      </c>
      <c r="B8" t="s">
        <v>2663</v>
      </c>
    </row>
    <row r="9" spans="1:2">
      <c r="A9">
        <v>4</v>
      </c>
      <c r="B9" t="s">
        <v>2664</v>
      </c>
    </row>
    <row r="10" spans="1:2">
      <c r="A10">
        <v>5</v>
      </c>
      <c r="B10" t="s">
        <v>2665</v>
      </c>
    </row>
    <row r="12" spans="1:2">
      <c r="B12" t="s">
        <v>2666</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2026-06-04T20:27:44Z</dcterms:modified>
  <dc:language>en-GB</dc:language>
</cp:coreProperties>
</file>