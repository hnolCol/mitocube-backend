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F315BAD6-6DA8-4A4D-890C-345BF3C6DAAB}" xr6:coauthVersionLast="47" xr6:coauthVersionMax="47" xr10:uidLastSave="{00000000-0000-0000-0000-000000000000}"/>
  <bookViews>
    <workbookView xWindow="13640" yWindow="3260" windowWidth="38400" windowHeight="2856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26" i="2" l="1"/>
  <c r="C25" i="2"/>
  <c r="C770" i="2"/>
  <c r="C312" i="2"/>
  <c r="C399" i="2"/>
  <c r="C400" i="2"/>
  <c r="C398" i="2"/>
  <c r="C644"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C802" i="2"/>
  <c r="C858" i="2"/>
  <c r="C857" i="2"/>
  <c r="C851" i="2"/>
  <c r="C856" i="2"/>
  <c r="C362" i="2"/>
  <c r="C820" i="2" l="1"/>
  <c r="C464" i="2"/>
  <c r="C1000" i="2"/>
  <c r="C999" i="2"/>
  <c r="C998" i="2"/>
  <c r="C997" i="2"/>
  <c r="C995" i="2"/>
  <c r="C423" i="2"/>
  <c r="C374" i="2"/>
  <c r="C128" i="2"/>
  <c r="C228" i="2"/>
  <c r="C954" i="2"/>
  <c r="C953" i="2"/>
  <c r="C952" i="2"/>
  <c r="C951" i="2"/>
  <c r="C950" i="2"/>
  <c r="C190" i="2"/>
  <c r="C994" i="2"/>
  <c r="C993" i="2"/>
  <c r="C992" i="2"/>
  <c r="C991" i="2"/>
  <c r="C990" i="2"/>
  <c r="C989" i="2"/>
  <c r="C3" i="2"/>
  <c r="C4" i="2"/>
  <c r="C5" i="2"/>
  <c r="C6" i="2"/>
  <c r="C7" i="2"/>
  <c r="C8" i="2"/>
  <c r="C9" i="2"/>
  <c r="C10" i="2"/>
  <c r="C11" i="2"/>
  <c r="C12" i="2"/>
  <c r="C13" i="2"/>
  <c r="C14" i="2"/>
  <c r="C15" i="2"/>
  <c r="C16" i="2"/>
  <c r="C17" i="2"/>
  <c r="C18" i="2"/>
  <c r="C19" i="2"/>
  <c r="C20" i="2"/>
  <c r="C21" i="2"/>
  <c r="C22" i="2"/>
  <c r="C23" i="2"/>
  <c r="C24"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1" i="2"/>
  <c r="C192" i="2"/>
  <c r="C193" i="2"/>
  <c r="C194" i="2"/>
  <c r="C195" i="2"/>
  <c r="C196" i="2"/>
  <c r="C197" i="2"/>
  <c r="C198" i="2"/>
  <c r="C199" i="2"/>
  <c r="C200" i="2"/>
  <c r="C201" i="2"/>
  <c r="C202" i="2"/>
  <c r="C203" i="2"/>
  <c r="C204" i="2"/>
  <c r="C206" i="2"/>
  <c r="C207" i="2"/>
  <c r="C208" i="2"/>
  <c r="C209" i="2"/>
  <c r="C210" i="2"/>
  <c r="C211" i="2"/>
  <c r="C212" i="2"/>
  <c r="C213" i="2"/>
  <c r="C214" i="2"/>
  <c r="C215" i="2"/>
  <c r="C216" i="2"/>
  <c r="C217" i="2"/>
  <c r="C218" i="2"/>
  <c r="C219" i="2"/>
  <c r="C220" i="2"/>
  <c r="C221" i="2"/>
  <c r="C222" i="2"/>
  <c r="C223" i="2"/>
  <c r="C224" i="2"/>
  <c r="C225" i="2"/>
  <c r="C226" i="2"/>
  <c r="C227"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3" i="2"/>
  <c r="C364" i="2"/>
  <c r="C365" i="2"/>
  <c r="C366" i="2"/>
  <c r="C367" i="2"/>
  <c r="C368" i="2"/>
  <c r="C369" i="2"/>
  <c r="C370" i="2"/>
  <c r="C371" i="2"/>
  <c r="C372" i="2"/>
  <c r="C373" i="2"/>
  <c r="C376" i="2"/>
  <c r="C377" i="2"/>
  <c r="C378" i="2"/>
  <c r="C379" i="2"/>
  <c r="C380" i="2"/>
  <c r="C381" i="2"/>
  <c r="C382" i="2"/>
  <c r="C383" i="2"/>
  <c r="C384" i="2"/>
  <c r="C385" i="2"/>
  <c r="C386" i="2"/>
  <c r="C387" i="2"/>
  <c r="C388" i="2"/>
  <c r="C389" i="2"/>
  <c r="C390" i="2"/>
  <c r="C391" i="2"/>
  <c r="C392" i="2"/>
  <c r="C393" i="2"/>
  <c r="C394" i="2"/>
  <c r="C395" i="2"/>
  <c r="C396" i="2"/>
  <c r="C397" i="2"/>
  <c r="C404" i="2"/>
  <c r="C405" i="2"/>
  <c r="C406" i="2"/>
  <c r="C407" i="2"/>
  <c r="C408" i="2"/>
  <c r="C409" i="2"/>
  <c r="C410" i="2"/>
  <c r="C411" i="2"/>
  <c r="C412" i="2"/>
  <c r="C413" i="2"/>
  <c r="C414" i="2"/>
  <c r="C415" i="2"/>
  <c r="C416" i="2"/>
  <c r="C417" i="2"/>
  <c r="C418" i="2"/>
  <c r="C419" i="2"/>
  <c r="C420" i="2"/>
  <c r="C421" i="2"/>
  <c r="C422"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3" i="2"/>
  <c r="C804" i="2"/>
  <c r="C805" i="2"/>
  <c r="C806" i="2"/>
  <c r="C807" i="2"/>
  <c r="C808" i="2"/>
  <c r="C809" i="2"/>
  <c r="C810" i="2"/>
  <c r="C811" i="2"/>
  <c r="C812" i="2"/>
  <c r="C813" i="2"/>
  <c r="C814" i="2"/>
  <c r="C815" i="2"/>
  <c r="C816" i="2"/>
  <c r="C817" i="2"/>
  <c r="C818" i="2"/>
  <c r="C819"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2" i="2"/>
  <c r="C853" i="2"/>
  <c r="C854" i="2"/>
  <c r="C855"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<sst xmlns="http://schemas.openxmlformats.org/spreadsheetml/2006/main" count="14007" uniqueCount="4596">
  <si>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</si>
  <si>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</si>
  <si>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</si>
  <si>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</si>
  <si>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</si>
  <si>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</si>
  <si>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</si>
  <si>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</si>
  <si>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</si>
  <si>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</si>
  <si>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</si>
  <si>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</si>
  <si>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</si>
  <si>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</si>
  <si>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</si>
  <si>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</si>
  <si>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</si>
  <si>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</si>
  <si>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</si>
  <si>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</si>
  <si>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</si>
  <si>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</si>
  <si>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</si>
  <si>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</si>
  <si>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</si>
  <si>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</si>
  <si>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</si>
  <si>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</si>
  <si>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</si>
  <si>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</si>
  <si>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</si>
  <si>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</si>
  <si>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</si>
  <si>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</si>
  <si>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</si>
  <si>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</si>
  <si>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</si>
  <si>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</si>
  <si>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</si>
  <si>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</si>
  <si>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</si>
  <si>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</si>
  <si>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</si>
  <si>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</si>
  <si>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</si>
  <si>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</si>
  <si>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</si>
  <si>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</si>
  <si>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</si>
  <si>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</si>
  <si>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</si>
  <si>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</si>
  <si>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</si>
  <si>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</si>
  <si>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</si>
  <si>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</si>
  <si>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</si>
  <si>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</si>
  <si>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</si>
  <si>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</si>
  <si>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</si>
  <si>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</si>
  <si>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</si>
  <si>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</si>
  <si>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</si>
  <si>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</si>
  <si>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</si>
  <si>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</si>
  <si>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</si>
  <si>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</si>
  <si>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</si>
  <si>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</si>
  <si>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</si>
  <si>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</si>
  <si>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</si>
  <si>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</si>
  <si>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</si>
  <si>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</si>
  <si>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</si>
  <si>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</si>
  <si>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</si>
  <si>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</si>
  <si>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</si>
  <si>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</si>
  <si>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</si>
  <si>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</si>
  <si>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</si>
  <si>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</si>
  <si>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</si>
  <si>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</si>
  <si>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</si>
  <si>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</si>
  <si>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</si>
  <si>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</si>
  <si>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</si>
  <si>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</si>
  <si>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</si>
  <si>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</si>
  <si>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</si>
  <si>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</si>
  <si>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</si>
  <si>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</si>
  <si>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</si>
  <si>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</si>
  <si>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</si>
  <si>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</si>
  <si>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</si>
  <si>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</si>
  <si>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</si>
  <si>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</si>
  <si>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</si>
  <si>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</si>
  <si>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</si>
  <si>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</si>
  <si>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</si>
  <si>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</si>
  <si>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</si>
  <si>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</si>
  <si>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</si>
  <si>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</si>
  <si>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</si>
  <si>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</si>
  <si>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</si>
  <si>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</si>
  <si>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</si>
  <si>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</si>
  <si>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</si>
  <si>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</si>
  <si>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</si>
  <si>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</si>
  <si>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</si>
  <si>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</si>
  <si>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</si>
  <si>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</si>
  <si>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</si>
  <si>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</si>
  <si>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</si>
  <si>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</si>
  <si>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</si>
  <si>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</si>
  <si>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</si>
  <si>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</si>
  <si>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</si>
  <si>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</si>
  <si>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</si>
  <si>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</si>
  <si>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</si>
  <si>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</si>
  <si>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</si>
  <si>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</si>
  <si>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</si>
  <si>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</si>
  <si>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</si>
  <si>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</si>
  <si>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</si>
  <si>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</si>
  <si>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</si>
  <si>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</si>
  <si>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</si>
  <si>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</si>
  <si>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</si>
  <si>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</si>
  <si>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</si>
  <si>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</si>
  <si>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</si>
  <si>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</si>
  <si>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</si>
  <si>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</si>
  <si>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</si>
  <si>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</si>
  <si>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</si>
  <si>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</si>
  <si>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</si>
  <si>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</si>
  <si>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</si>
  <si>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</si>
  <si>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</si>
  <si>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</si>
  <si>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</si>
  <si>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</si>
  <si>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</si>
  <si>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</si>
  <si>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</si>
  <si>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</si>
  <si>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</si>
  <si>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</si>
  <si>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</si>
  <si>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</si>
  <si>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</si>
  <si>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</si>
  <si>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</si>
  <si>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</si>
  <si>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</si>
  <si>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</si>
  <si>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</si>
  <si>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</si>
  <si>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</si>
  <si>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</si>
  <si>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</si>
  <si>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</si>
  <si>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</si>
  <si>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</si>
  <si>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</si>
  <si>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</si>
  <si>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</si>
  <si>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</si>
  <si>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</si>
  <si>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</si>
  <si>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</si>
  <si>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</si>
  <si>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</si>
  <si>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</si>
  <si>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</si>
  <si>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</si>
  <si>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</si>
  <si>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</si>
  <si>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</si>
  <si>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</si>
  <si>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</si>
  <si>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</si>
  <si>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</si>
  <si>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</si>
  <si>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</si>
  <si>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</si>
  <si>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</si>
  <si>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</si>
  <si>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</si>
  <si>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</si>
  <si>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</si>
  <si>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</si>
  <si>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</si>
  <si>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</si>
  <si>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</si>
  <si>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</si>
  <si>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</si>
  <si>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</si>
  <si>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</si>
  <si>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</si>
  <si>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</si>
  <si>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</si>
  <si>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</si>
  <si>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</si>
  <si>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</si>
  <si>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</si>
  <si>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</si>
  <si>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</si>
  <si>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</si>
  <si>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</si>
  <si>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</si>
  <si>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</si>
  <si>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</si>
  <si>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</si>
  <si>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</si>
  <si>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</si>
  <si>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</si>
  <si>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</si>
  <si>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</si>
  <si>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</si>
  <si>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</si>
  <si>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</si>
  <si>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</si>
  <si>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</si>
  <si>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</si>
  <si>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</si>
  <si>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</si>
  <si>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</si>
  <si>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</si>
  <si>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</si>
  <si>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</si>
  <si>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</si>
  <si>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</si>
  <si>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</si>
  <si>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</si>
  <si>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</si>
  <si>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</si>
  <si>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</si>
  <si>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</si>
  <si>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</si>
  <si>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</si>
  <si>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</si>
  <si>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</si>
  <si>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</si>
  <si>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</si>
  <si>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</si>
  <si>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</si>
  <si>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</si>
  <si>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</si>
  <si>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</si>
  <si>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</si>
  <si>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</si>
  <si>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</si>
  <si>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</si>
  <si>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</si>
  <si>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</si>
  <si>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</si>
  <si>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</si>
  <si>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</si>
  <si>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</si>
  <si>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</si>
  <si>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</si>
  <si>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</si>
  <si>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</si>
  <si>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</si>
  <si>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</si>
  <si>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</si>
  <si>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</si>
  <si>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</si>
  <si>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</si>
  <si>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</si>
  <si>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</si>
  <si>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</si>
  <si>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</si>
  <si>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</si>
  <si>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</si>
  <si>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</si>
  <si>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</si>
  <si>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</si>
  <si>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</si>
  <si>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</si>
  <si>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</si>
  <si>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</si>
  <si>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</si>
  <si>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</si>
  <si>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</si>
  <si>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</si>
  <si>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</si>
  <si>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</si>
  <si>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</si>
  <si>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</si>
  <si>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</si>
  <si>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</si>
  <si>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</si>
  <si>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</si>
  <si>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</si>
  <si>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</si>
  <si>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</si>
  <si>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</si>
  <si>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</si>
  <si>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</si>
  <si>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</si>
  <si>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</si>
  <si>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</si>
  <si>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</si>
  <si>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</si>
  <si>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</si>
  <si>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</si>
  <si>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</si>
  <si>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</si>
  <si>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</si>
  <si>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</si>
  <si>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</si>
  <si>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</si>
  <si>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</si>
  <si>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</si>
  <si>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</si>
  <si>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</si>
  <si>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</si>
  <si>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</si>
  <si>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</si>
  <si>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</si>
  <si>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</si>
  <si>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</si>
  <si>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</si>
  <si>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</si>
  <si>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</si>
  <si>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</si>
  <si>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</si>
  <si>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</si>
  <si>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</si>
  <si>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</si>
  <si>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</si>
  <si>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</si>
  <si>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</si>
  <si>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</si>
  <si>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</si>
  <si>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</si>
  <si>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</si>
  <si>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</si>
  <si>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</si>
  <si>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</si>
  <si>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</si>
  <si>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</si>
  <si>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</si>
  <si>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</si>
  <si>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</si>
  <si>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</si>
  <si>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</si>
  <si>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</si>
  <si>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</si>
  <si>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</si>
  <si>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</si>
  <si>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</si>
  <si>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</si>
  <si>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</si>
  <si>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</si>
  <si>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</si>
  <si>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</si>
  <si>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</si>
  <si>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</si>
  <si>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</si>
  <si>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</si>
  <si>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</si>
  <si>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</si>
  <si>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</si>
  <si>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</si>
  <si>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</si>
  <si>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</si>
  <si>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</si>
  <si>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</si>
  <si>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</si>
  <si>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</si>
  <si>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</si>
  <si>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</si>
  <si>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</si>
  <si>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</si>
  <si>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</si>
  <si>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</si>
  <si>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</si>
  <si>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</si>
  <si>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</si>
  <si>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</si>
  <si>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</si>
  <si>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</si>
  <si>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</si>
  <si>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</si>
  <si>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</si>
  <si>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</si>
  <si>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</si>
  <si>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</si>
  <si>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</si>
  <si>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</si>
  <si>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</si>
  <si>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</si>
  <si>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</si>
  <si>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</si>
  <si>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</si>
  <si>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</si>
  <si>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</si>
  <si>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</si>
  <si>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</si>
  <si>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</si>
  <si>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</si>
  <si>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</si>
  <si>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</si>
  <si>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</si>
  <si>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</si>
  <si>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</si>
  <si>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</si>
  <si>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</si>
  <si>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</si>
  <si>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</si>
  <si>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</si>
  <si>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</si>
  <si>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</si>
  <si>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</si>
  <si>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</si>
  <si>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</si>
  <si>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</si>
  <si>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</si>
  <si>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</si>
  <si>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</si>
  <si>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</si>
  <si>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</si>
  <si>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</si>
  <si>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</si>
  <si>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</si>
  <si>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</si>
  <si>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</si>
  <si>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</si>
  <si>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</si>
  <si>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</si>
  <si>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</si>
  <si>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</si>
  <si>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</si>
  <si>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</si>
  <si>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</si>
  <si>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</si>
  <si>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</si>
  <si>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</si>
  <si>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</si>
  <si>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</si>
  <si>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</si>
  <si>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</si>
  <si>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</si>
  <si>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</si>
  <si>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</si>
  <si>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</si>
  <si>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</si>
  <si>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</si>
  <si>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</si>
  <si>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</si>
  <si>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</si>
  <si>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</si>
  <si>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</si>
  <si>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</si>
  <si>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</si>
  <si>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</si>
  <si>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</si>
  <si>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</si>
  <si>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</si>
  <si>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</si>
  <si>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</si>
  <si>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</si>
  <si>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</si>
  <si>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</si>
  <si>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</si>
  <si>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</si>
  <si>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</si>
  <si>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</si>
  <si>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</si>
  <si>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</si>
  <si>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</si>
  <si>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</si>
  <si>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</si>
  <si>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</si>
  <si>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</si>
  <si>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</si>
  <si>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</si>
  <si>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</si>
  <si>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</si>
  <si>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</si>
  <si>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</si>
  <si>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</si>
  <si>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</si>
  <si>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</si>
  <si>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</si>
  <si>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</si>
  <si>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</si>
  <si>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</si>
  <si>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</si>
  <si>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</si>
  <si>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</si>
  <si>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</si>
  <si>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</si>
  <si>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</si>
  <si>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</si>
  <si>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</si>
  <si>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</si>
  <si>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</si>
  <si>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</si>
  <si>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</si>
  <si>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</si>
  <si>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</si>
  <si>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</si>
  <si>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</si>
  <si>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</si>
  <si>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</si>
  <si>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</si>
  <si>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</si>
  <si>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</si>
  <si>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</si>
  <si>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</si>
  <si>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</si>
  <si>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</si>
  <si>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</si>
  <si>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</si>
  <si>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</si>
  <si>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</si>
  <si>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</si>
  <si>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</si>
  <si>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</si>
  <si>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</si>
  <si>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</si>
  <si>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</si>
  <si>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</si>
  <si>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</si>
  <si>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</si>
  <si>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</si>
  <si>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</si>
  <si>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</si>
  <si>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</si>
  <si>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</si>
  <si>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</si>
  <si>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</si>
  <si>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</si>
  <si>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</si>
  <si>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</si>
  <si>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</si>
  <si>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</si>
  <si>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</si>
  <si>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</si>
  <si>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</si>
  <si>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</si>
  <si>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</si>
  <si>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</si>
  <si>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</si>
  <si>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</si>
  <si>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</si>
  <si>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</si>
  <si>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</si>
  <si>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</si>
  <si>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</si>
  <si>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</si>
  <si>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</si>
  <si>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</si>
  <si>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</si>
  <si>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</si>
  <si>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</si>
  <si>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</si>
  <si>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</si>
  <si>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</si>
  <si>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</si>
  <si>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</si>
  <si>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</si>
  <si>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</si>
  <si>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</si>
  <si>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</si>
  <si>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</si>
  <si>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</si>
  <si>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</si>
  <si>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</si>
  <si>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</si>
  <si>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</si>
  <si>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</si>
  <si>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</si>
  <si>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</si>
  <si>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</si>
  <si>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</si>
  <si>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</si>
  <si>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</si>
  <si>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</si>
  <si>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</si>
  <si>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</si>
  <si>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</si>
  <si>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</si>
  <si>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</si>
  <si>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</si>
  <si>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</si>
  <si>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</si>
  <si>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</si>
  <si>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</si>
  <si>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</si>
  <si>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</si>
  <si>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</si>
  <si>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</si>
  <si>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</si>
  <si>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</si>
  <si>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</si>
  <si>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</si>
  <si>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</si>
  <si>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</si>
  <si>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</si>
  <si>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</si>
  <si>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</si>
  <si>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</si>
  <si>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</si>
  <si>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</si>
  <si>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</si>
  <si>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</si>
  <si>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</si>
  <si>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</si>
  <si>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</si>
  <si>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</si>
  <si>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</si>
  <si>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</si>
  <si>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</si>
  <si>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</si>
  <si>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</si>
  <si>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</si>
  <si>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</si>
  <si>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</si>
  <si>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</si>
  <si>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</si>
  <si>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</si>
  <si>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</si>
  <si>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</si>
  <si>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</si>
  <si>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</si>
  <si>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</si>
  <si>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</si>
  <si>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</si>
  <si>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</si>
  <si>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</si>
  <si>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</si>
  <si>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</si>
  <si>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</si>
  <si>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</si>
  <si>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</si>
  <si>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</si>
  <si>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</si>
  <si>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</si>
  <si>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</si>
  <si>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</si>
  <si>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</si>
  <si>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</si>
  <si>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</si>
  <si>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</si>
  <si>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</si>
  <si>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</si>
  <si>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</si>
  <si>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</si>
  <si>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</si>
  <si>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</si>
  <si>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</si>
  <si>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</si>
  <si>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</si>
  <si>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</si>
  <si>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</si>
  <si>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</si>
  <si>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</si>
  <si>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</si>
  <si>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</si>
  <si>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</si>
  <si>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</si>
  <si>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</si>
  <si>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</si>
  <si>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</si>
  <si>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</si>
  <si>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</si>
  <si>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</si>
  <si>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</si>
  <si>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</si>
  <si>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</si>
  <si>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</si>
  <si>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</si>
  <si>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</si>
  <si>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</si>
  <si>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</si>
  <si>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</si>
  <si>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</si>
  <si>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</si>
  <si>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</si>
  <si>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</si>
  <si>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</si>
  <si>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</si>
  <si>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</si>
  <si>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</si>
  <si>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</si>
  <si>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</si>
  <si>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</si>
  <si>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</si>
  <si>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</si>
  <si>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</si>
  <si>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</si>
  <si>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</si>
  <si>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</si>
  <si>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</si>
  <si>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</si>
  <si>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</si>
  <si>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</si>
  <si>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</si>
  <si>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</si>
  <si>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</si>
  <si>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</si>
  <si>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</si>
  <si>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</si>
  <si>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</si>
  <si>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</si>
  <si>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</si>
  <si>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</si>
  <si>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</si>
  <si>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</si>
  <si>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</si>
  <si>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</si>
  <si>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</si>
  <si>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</si>
  <si>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</si>
  <si>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</si>
  <si>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</si>
  <si>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</si>
  <si>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</si>
  <si>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</si>
  <si>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</si>
  <si>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</si>
  <si>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</si>
  <si>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</si>
  <si>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</si>
  <si>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</si>
  <si>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</si>
  <si>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</si>
  <si>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</si>
  <si>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</si>
  <si>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</si>
  <si>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</si>
  <si>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</si>
  <si>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</si>
  <si>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</si>
  <si>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</si>
  <si>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</si>
  <si>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</si>
  <si>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</si>
  <si>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</si>
  <si>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</si>
  <si>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</si>
  <si>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</si>
  <si>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</si>
  <si>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</si>
  <si>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</si>
  <si>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</si>
  <si>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</si>
  <si>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</si>
  <si>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</si>
  <si>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</si>
  <si>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</si>
  <si>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</si>
  <si>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</si>
  <si>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</si>
  <si>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</si>
  <si>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</si>
  <si>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</si>
  <si>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</si>
  <si>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</si>
  <si>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</si>
  <si>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</si>
  <si>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</si>
  <si>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</si>
  <si>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</si>
  <si>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</si>
  <si>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</si>
  <si>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</si>
  <si>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</si>
  <si>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</si>
  <si>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</si>
  <si>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</si>
  <si>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</si>
  <si>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</si>
  <si>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</si>
  <si>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</si>
  <si>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</si>
  <si>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</si>
  <si>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</si>
  <si>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</si>
  <si>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</si>
  <si>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</si>
  <si>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</si>
  <si>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</si>
  <si>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</si>
  <si>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</si>
  <si>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</si>
  <si>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</si>
  <si>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</si>
  <si>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</si>
  <si>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</si>
  <si>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</si>
  <si>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</si>
  <si>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</si>
  <si>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</si>
  <si>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</si>
  <si>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</si>
  <si>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</si>
  <si>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</si>
  <si>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</si>
  <si>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</si>
  <si>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</si>
  <si>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</si>
  <si>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</si>
  <si>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</si>
  <si>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</si>
  <si>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</si>
  <si>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</si>
  <si>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</si>
  <si>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</si>
  <si>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</si>
  <si>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</si>
  <si>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</si>
  <si>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</si>
  <si>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</si>
  <si>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</si>
  <si>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</si>
  <si>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</si>
  <si>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</si>
  <si>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</si>
  <si>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</si>
  <si>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</si>
  <si>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</si>
  <si>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</si>
  <si>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</si>
  <si>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</si>
  <si>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</si>
  <si>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</si>
  <si>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</si>
  <si>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</si>
  <si>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</si>
  <si>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</si>
  <si>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</si>
  <si>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</si>
  <si>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</si>
  <si>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</si>
  <si>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</si>
  <si>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</si>
  <si>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</si>
  <si>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</si>
  <si>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</si>
  <si>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</si>
  <si>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</si>
  <si>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</si>
  <si>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</si>
  <si>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</si>
  <si>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</si>
  <si>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</si>
  <si>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</si>
  <si>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</si>
  <si>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</si>
  <si>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</si>
  <si>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</si>
  <si>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</si>
  <si>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</si>
  <si>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</si>
  <si>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</si>
  <si>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</si>
  <si>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</si>
  <si>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</si>
  <si>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</si>
  <si>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</si>
  <si>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</si>
  <si>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</si>
  <si>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</si>
  <si>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</si>
  <si>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</si>
  <si>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</si>
  <si>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</si>
  <si>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</si>
  <si>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</si>
  <si>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</si>
  <si>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</si>
  <si>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</si>
  <si>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</si>
  <si>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</si>
  <si>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</si>
  <si>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</si>
  <si>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</si>
  <si>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</si>
  <si>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</si>
  <si>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</si>
  <si>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</si>
  <si>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</si>
  <si>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</si>
  <si>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</si>
  <si>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</si>
  <si>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</si>
  <si>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</si>
  <si>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</si>
  <si>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</si>
  <si>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</si>
  <si>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</si>
  <si>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</si>
  <si>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</si>
  <si>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</si>
  <si>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</si>
  <si>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</si>
  <si>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</si>
  <si>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</si>
  <si>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</si>
  <si>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</si>
  <si>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</si>
  <si>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</si>
  <si>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</si>
  <si>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</si>
  <si>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</si>
  <si>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</si>
  <si>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</si>
  <si>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</si>
  <si>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</si>
  <si>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</si>
  <si>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</si>
  <si>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</si>
  <si>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</si>
  <si>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</si>
  <si>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</si>
  <si>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</si>
  <si>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</si>
  <si>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</si>
  <si>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</si>
  <si>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</si>
  <si>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</si>
  <si>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</si>
  <si>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</si>
  <si>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</si>
  <si>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</si>
  <si>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</si>
  <si>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</si>
  <si>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</si>
  <si>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</si>
  <si>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</si>
  <si>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</si>
  <si>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</si>
  <si>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</si>
  <si>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</si>
  <si>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</si>
  <si>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</si>
  <si>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</si>
  <si>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</si>
  <si>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</si>
  <si>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</si>
  <si>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</si>
  <si>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</si>
  <si>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</si>
  <si>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</si>
  <si>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</si>
  <si>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</si>
  <si>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</si>
  <si>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</si>
  <si>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</si>
  <si>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</si>
  <si>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</si>
  <si>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</si>
  <si>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</si>
  <si>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</si>
  <si>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</si>
  <si>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</si>
  <si>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</si>
  <si>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</si>
  <si>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</si>
  <si>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</si>
  <si>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</si>
  <si>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</si>
  <si>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</si>
  <si>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</si>
  <si>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</si>
  <si>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</si>
  <si>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</si>
  <si>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</si>
  <si>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</si>
  <si>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</si>
  <si>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</si>
  <si>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</si>
  <si>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</si>
  <si>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</si>
  <si>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</si>
  <si>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</si>
  <si>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</si>
  <si>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</si>
  <si>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</si>
  <si>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</si>
  <si>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</si>
  <si>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</si>
  <si>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</si>
  <si>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</si>
  <si>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</si>
  <si>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</si>
  <si>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</si>
  <si>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</si>
  <si>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</si>
  <si>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</si>
  <si>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</si>
  <si>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</si>
  <si>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</si>
  <si>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</si>
  <si>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</si>
  <si>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</si>
  <si>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</si>
  <si>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</si>
  <si>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</si>
  <si>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</si>
  <si>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</si>
  <si>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</si>
  <si>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</si>
  <si>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</si>
  <si>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</si>
  <si>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</si>
  <si>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</si>
  <si>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</si>
  <si>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</si>
  <si>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</si>
  <si>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</si>
  <si>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</si>
  <si>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</si>
  <si>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</si>
  <si>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</si>
  <si>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</si>
  <si>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</si>
  <si>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</si>
  <si>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</si>
  <si>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</si>
  <si>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</si>
  <si>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</si>
  <si>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</si>
  <si>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</si>
  <si>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</si>
  <si>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</si>
  <si>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</si>
  <si>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</si>
  <si>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</si>
  <si>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</si>
  <si>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</si>
  <si>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</si>
  <si>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</si>
  <si>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</si>
  <si>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</si>
  <si>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</si>
  <si>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</si>
  <si>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</si>
  <si>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</si>
  <si>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</si>
  <si>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</si>
  <si>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</si>
  <si>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</si>
  <si>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</si>
  <si>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</si>
  <si>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</si>
  <si>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</si>
  <si>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</si>
  <si>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</si>
  <si>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</si>
  <si>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</si>
  <si>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</si>
  <si>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</si>
  <si>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</si>
  <si>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</si>
  <si>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</si>
  <si>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</si>
  <si>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</si>
  <si>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</si>
  <si>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</si>
  <si>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</si>
  <si>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</si>
  <si>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</si>
  <si>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</si>
  <si>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</si>
  <si>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</si>
  <si>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</si>
  <si>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</si>
  <si>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</si>
  <si>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</si>
  <si>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</si>
  <si>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</si>
  <si>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</si>
  <si>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</si>
  <si>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</si>
  <si>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</si>
  <si>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</si>
  <si>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</si>
  <si>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</si>
  <si>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</si>
  <si>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</si>
  <si>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</si>
  <si>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</si>
  <si>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</si>
  <si>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</si>
  <si>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</si>
  <si>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</si>
  <si>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</si>
  <si>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</si>
  <si>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</si>
  <si>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</si>
  <si>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</si>
  <si>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</si>
  <si>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</si>
  <si>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</si>
  <si>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</si>
  <si>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</si>
  <si>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</si>
  <si>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</si>
  <si>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</si>
  <si>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</si>
  <si>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</si>
  <si>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</si>
  <si>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</si>
  <si>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</si>
  <si>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</si>
  <si>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</si>
  <si>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</si>
  <si>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</si>
  <si>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</si>
  <si>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</si>
  <si>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</si>
  <si>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</si>
  <si>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</si>
  <si>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</si>
  <si>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</si>
  <si>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</si>
  <si>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</si>
  <si>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</si>
  <si>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</si>
  <si>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</si>
  <si>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</si>
  <si>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</si>
  <si>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</si>
  <si>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</si>
  <si>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</si>
  <si>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</si>
  <si>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</si>
  <si>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</si>
  <si>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</si>
  <si>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</si>
  <si>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</si>
  <si>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</si>
  <si>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</si>
  <si>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</si>
  <si>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</si>
  <si>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</si>
  <si>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</si>
  <si>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</si>
  <si>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</si>
  <si>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</si>
  <si>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</si>
  <si>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</si>
  <si>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</si>
  <si>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</si>
  <si>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</si>
  <si>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</si>
  <si>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</si>
  <si>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</si>
  <si>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</si>
  <si>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</si>
  <si>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</si>
  <si>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</si>
  <si>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</si>
  <si>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</si>
  <si>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</si>
  <si>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</si>
  <si>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</si>
  <si>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</si>
  <si>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</si>
  <si>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</si>
  <si>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</si>
  <si>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</si>
  <si>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</si>
  <si>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</si>
  <si>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</si>
  <si>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</si>
  <si>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</si>
  <si>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</si>
  <si>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</si>
  <si>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</si>
  <si>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</si>
  <si>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</si>
  <si>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</si>
  <si>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</si>
  <si>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</si>
  <si>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</si>
  <si>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</si>
  <si>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</si>
  <si>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</si>
  <si>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</si>
  <si>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</si>
  <si>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</si>
  <si>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</si>
  <si>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</si>
  <si>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</si>
  <si>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</si>
  <si>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</si>
  <si>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</si>
  <si>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</si>
  <si>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</si>
  <si>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</si>
  <si>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</si>
  <si>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</si>
  <si>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</si>
  <si>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</si>
  <si>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</si>
  <si>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</si>
  <si>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</si>
  <si>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</si>
  <si>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</si>
  <si>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</si>
  <si>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</si>
  <si>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</si>
  <si>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</si>
  <si>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</si>
  <si>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</si>
  <si>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</si>
  <si>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</si>
  <si>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</si>
  <si>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</si>
  <si>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</si>
  <si>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</si>
  <si>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</si>
  <si>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</si>
  <si>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</si>
  <si>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</si>
  <si>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</si>
  <si>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</si>
  <si>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</si>
  <si>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</si>
  <si>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</si>
  <si>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</si>
  <si>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</si>
  <si>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</si>
  <si>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</si>
  <si>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</si>
  <si>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</si>
  <si>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</si>
  <si>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</si>
  <si>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</si>
  <si>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</si>
  <si>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</si>
  <si>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</si>
  <si>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</si>
  <si>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</si>
  <si>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</si>
  <si>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</si>
  <si>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</si>
  <si>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</si>
  <si>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</si>
  <si>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</si>
  <si>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</si>
  <si>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</si>
  <si>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</si>
  <si>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</si>
  <si>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</si>
  <si>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</si>
  <si>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</si>
  <si>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</si>
  <si>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</si>
  <si>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</si>
  <si>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</si>
  <si>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</si>
  <si>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</si>
  <si>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</si>
  <si>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</si>
  <si>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</si>
  <si>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</si>
  <si>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</si>
  <si>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</si>
  <si>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</si>
  <si>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</si>
  <si>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</si>
  <si>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</si>
  <si>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</si>
  <si>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</si>
  <si>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</si>
  <si>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</si>
  <si>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</si>
  <si>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</si>
  <si>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</si>
  <si>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</si>
  <si>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</si>
  <si>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</si>
  <si>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</si>
  <si>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</si>
  <si>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</si>
  <si>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</si>
  <si>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</si>
  <si>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</si>
  <si>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</si>
  <si>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</si>
  <si>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</si>
  <si>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</si>
  <si>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</si>
  <si>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</si>
  <si>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</si>
  <si>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</si>
  <si>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</si>
  <si>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</si>
  <si>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</si>
  <si>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</si>
  <si>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</si>
  <si>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</si>
  <si>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</si>
  <si>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</si>
  <si>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</si>
  <si>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</si>
  <si>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</si>
  <si>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</si>
  <si>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</si>
  <si>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</si>
  <si>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</si>
  <si>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</si>
  <si>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</si>
  <si>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</si>
  <si>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</si>
  <si>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</si>
  <si>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</si>
  <si>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</si>
  <si>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</si>
  <si>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</si>
  <si>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</si>
  <si>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</si>
  <si>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</si>
  <si>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</si>
  <si>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</si>
  <si>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</si>
  <si>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</si>
  <si>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</si>
  <si>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</si>
  <si>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</si>
  <si>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</si>
  <si>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</si>
  <si>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</si>
  <si>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</si>
  <si>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</si>
  <si>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</si>
  <si>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</si>
  <si>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</si>
  <si>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</si>
  <si>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</si>
  <si>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</si>
  <si>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</si>
  <si>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</si>
  <si>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</si>
  <si>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</si>
  <si>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</si>
  <si>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</si>
  <si>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</si>
  <si>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</si>
  <si>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</si>
  <si>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</si>
  <si>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</si>
  <si>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</si>
  <si>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</si>
  <si>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</si>
  <si>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</si>
  <si>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</si>
  <si>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</si>
  <si>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</si>
  <si>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</si>
  <si>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</si>
  <si>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</si>
  <si>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</si>
  <si>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</si>
  <si>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</si>
  <si>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</si>
  <si>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</si>
  <si>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</si>
  <si>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</si>
  <si>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</si>
  <si>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</si>
  <si>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</si>
  <si>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</si>
  <si>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</si>
  <si>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</si>
  <si>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</si>
  <si>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</si>
  <si>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</si>
  <si>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</si>
  <si>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</si>
  <si>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</si>
  <si>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</si>
  <si>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</si>
  <si>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</si>
  <si>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</si>
  <si>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</si>
  <si>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</si>
  <si>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</si>
  <si>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</si>
  <si>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</si>
  <si>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</si>
  <si>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</si>
  <si>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</si>
  <si>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</si>
  <si>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</si>
  <si>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</si>
  <si>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</si>
  <si>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</si>
  <si>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</si>
  <si>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</si>
  <si>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</si>
  <si>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</si>
  <si>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</si>
  <si>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</si>
  <si>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</si>
  <si>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</si>
  <si>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</si>
  <si>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</si>
  <si>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</si>
  <si>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</si>
  <si>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</si>
  <si>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</si>
  <si>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</si>
  <si>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</si>
  <si>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</si>
  <si>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</si>
  <si>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</si>
  <si>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</si>
  <si>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</si>
  <si>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</si>
  <si>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</si>
  <si>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</si>
  <si>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</si>
  <si>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</si>
  <si>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</si>
  <si>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</si>
  <si>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</si>
  <si>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</si>
  <si>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</si>
  <si>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</si>
  <si>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</si>
  <si>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</si>
  <si>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</si>
  <si>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</si>
  <si>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</si>
  <si>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</si>
  <si>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</si>
  <si>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</si>
  <si>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</si>
  <si>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</si>
  <si>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</si>
  <si>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</si>
  <si>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</si>
  <si>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</si>
  <si>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</si>
  <si>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</si>
  <si>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</si>
  <si>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</si>
  <si>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</si>
  <si>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</si>
  <si>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</si>
  <si>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</si>
  <si>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</si>
  <si>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</si>
  <si>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</si>
  <si>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</si>
  <si>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</si>
  <si>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</si>
  <si>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</si>
  <si>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</si>
  <si>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</si>
  <si>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</si>
  <si>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</si>
  <si>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</si>
  <si>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</si>
  <si>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</si>
  <si>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</si>
  <si>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</si>
  <si>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</si>
  <si>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</si>
  <si>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</si>
  <si>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</si>
  <si>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</si>
  <si>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</si>
  <si>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</si>
  <si>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</si>
  <si>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</si>
  <si>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</si>
  <si>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</si>
  <si>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</si>
  <si>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</si>
  <si>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</si>
  <si>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</si>
  <si>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</si>
  <si>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</si>
  <si>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</si>
  <si>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</si>
  <si>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</si>
  <si>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</si>
  <si>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</si>
  <si>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</si>
  <si>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</si>
  <si>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</si>
  <si>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</si>
  <si>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</si>
  <si>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</si>
  <si>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</si>
  <si>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</si>
  <si>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</si>
  <si>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</si>
  <si>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</si>
  <si>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</si>
  <si>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</si>
  <si>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</si>
  <si>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</si>
  <si>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</si>
  <si>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</si>
  <si>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</si>
  <si>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</si>
  <si>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</si>
  <si>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</si>
  <si>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</si>
  <si>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</si>
  <si>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</si>
  <si>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</si>
  <si>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</si>
  <si>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</si>
  <si>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</si>
  <si>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</si>
  <si>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</si>
  <si>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</si>
  <si>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</si>
  <si>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</si>
  <si>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</si>
  <si>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</si>
  <si>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</si>
  <si>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</si>
  <si>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</si>
  <si>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</si>
  <si>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</si>
  <si>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</si>
  <si>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</si>
  <si>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</si>
  <si>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</si>
  <si>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</si>
  <si>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</si>
  <si>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</si>
  <si>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</si>
  <si>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</si>
  <si>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</si>
  <si>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</si>
  <si>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</si>
  <si>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</si>
  <si>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</si>
  <si>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</si>
  <si>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</si>
  <si>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</si>
  <si>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</si>
  <si>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</si>
  <si>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</si>
  <si>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</si>
  <si>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</si>
  <si>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</si>
  <si>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</si>
  <si>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</si>
  <si>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</si>
  <si>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</si>
  <si>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</si>
  <si>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</si>
  <si>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</si>
  <si>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</si>
  <si>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</si>
  <si>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</si>
  <si>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</si>
  <si>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</si>
  <si>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</si>
  <si>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</si>
  <si>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</si>
  <si>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</si>
  <si>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</si>
  <si>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</si>
  <si>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</si>
  <si>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</si>
  <si>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</si>
  <si>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</si>
  <si>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</si>
  <si>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</si>
  <si>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</si>
  <si>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</si>
  <si>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</si>
  <si>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</si>
  <si>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</si>
  <si>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</si>
  <si>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</si>
  <si>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</si>
  <si>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</si>
  <si>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</si>
  <si>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</si>
  <si>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</si>
  <si>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</si>
  <si>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</si>
  <si>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</si>
  <si>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</si>
  <si>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</si>
  <si>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</si>
  <si>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</si>
  <si>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</si>
  <si>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</si>
  <si>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</si>
  <si>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</si>
  <si>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</si>
  <si>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</si>
  <si>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</si>
  <si>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</si>
  <si>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</si>
  <si>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</si>
  <si>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</si>
  <si>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</si>
  <si>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</si>
  <si>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</si>
  <si>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</si>
  <si>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</si>
  <si>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</si>
  <si>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</si>
  <si>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</si>
  <si>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</si>
  <si>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</si>
  <si>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</si>
  <si>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</si>
  <si>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</si>
  <si>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</si>
  <si>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</si>
  <si>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</si>
  <si>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</si>
  <si>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</si>
  <si>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</si>
  <si>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</si>
  <si>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</si>
  <si>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</si>
  <si>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</si>
  <si>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</si>
  <si>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</si>
  <si>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</si>
  <si>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</si>
  <si>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</si>
  <si>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</si>
  <si>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</si>
  <si>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</si>
  <si>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</si>
  <si>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</si>
  <si>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</si>
  <si>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</si>
  <si>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</si>
  <si>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</si>
  <si>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</si>
  <si>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</si>
  <si>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</si>
  <si>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</si>
  <si>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</si>
  <si>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</si>
  <si>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</si>
  <si>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</si>
  <si>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</si>
  <si>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</si>
  <si>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</si>
  <si>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</si>
  <si>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</si>
  <si>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</si>
  <si>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</si>
  <si>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</si>
  <si>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</si>
  <si>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</si>
  <si>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</si>
  <si>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</si>
  <si>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</si>
  <si>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</si>
  <si>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</si>
  <si>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</si>
  <si>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</si>
  <si>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</si>
  <si>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</si>
  <si>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</si>
  <si>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</si>
  <si>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</si>
  <si>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</si>
  <si>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</si>
  <si>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</si>
  <si>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</si>
  <si>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</si>
  <si>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</si>
  <si>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</si>
  <si>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</si>
  <si>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</si>
  <si>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</si>
  <si>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</si>
  <si>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</si>
  <si>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</si>
  <si>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</si>
  <si>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</si>
  <si>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</si>
  <si>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</si>
  <si>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</si>
  <si>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</si>
  <si>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</si>
  <si>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</si>
  <si>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</si>
  <si>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</si>
  <si>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</si>
  <si>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</si>
  <si>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</si>
  <si>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</si>
  <si>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</si>
  <si>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</si>
  <si>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</si>
  <si>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</si>
  <si>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</si>
  <si>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</si>
  <si>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</si>
  <si>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</si>
  <si>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</si>
  <si>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</si>
  <si>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</si>
  <si>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</si>
  <si>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</si>
  <si>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</si>
  <si>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</si>
  <si>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</si>
  <si>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</si>
  <si>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</si>
  <si>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</si>
  <si>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</si>
  <si>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</si>
  <si>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</si>
  <si>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</si>
  <si>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</si>
  <si>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</si>
  <si>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</si>
  <si>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</si>
  <si>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</si>
  <si>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</si>
  <si>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</si>
  <si>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</si>
  <si>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</si>
  <si>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</si>
  <si>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</si>
  <si>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</si>
  <si>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</si>
  <si>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</si>
  <si>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</si>
  <si>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</si>
  <si>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</si>
  <si>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</si>
  <si>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</si>
  <si>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</si>
  <si>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</si>
  <si>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</si>
  <si>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</si>
  <si>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</si>
  <si>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</si>
  <si>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</si>
  <si>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</si>
  <si>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</si>
  <si>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</si>
  <si>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</si>
  <si>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</si>
  <si>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</si>
  <si>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</si>
  <si>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</si>
  <si>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</si>
  <si>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</si>
  <si>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</si>
  <si>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</si>
  <si>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</si>
  <si>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</si>
  <si>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</si>
  <si>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</si>
  <si>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</si>
  <si>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</si>
  <si>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</si>
  <si>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</si>
  <si>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</si>
  <si>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</si>
  <si>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</si>
  <si>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</si>
  <si>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</si>
  <si>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</si>
  <si>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</si>
  <si>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</si>
  <si>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</si>
  <si>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</si>
  <si>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</si>
  <si>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</si>
  <si>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</si>
  <si>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</si>
  <si>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</si>
  <si>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</si>
  <si>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</si>
  <si>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</si>
  <si>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</si>
  <si>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</si>
  <si>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</si>
  <si>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</si>
  <si>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</si>
  <si>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</si>
  <si>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</si>
  <si>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</si>
  <si>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</si>
  <si>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</si>
  <si>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</si>
  <si>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</si>
  <si>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</si>
  <si>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</si>
  <si>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</si>
  <si>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</si>
  <si>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</si>
  <si>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</si>
  <si>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</si>
  <si>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</si>
  <si>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</si>
  <si>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</si>
  <si>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</si>
  <si>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</si>
  <si>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</si>
  <si>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</si>
  <si>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</si>
  <si>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</si>
  <si>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</si>
  <si>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</si>
  <si>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</si>
  <si>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</si>
  <si>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</si>
  <si>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</si>
  <si>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</si>
  <si>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</si>
  <si>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</si>
  <si>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</si>
  <si>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</si>
  <si>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</si>
  <si>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</si>
  <si>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</si>
  <si>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</si>
  <si>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</si>
  <si>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</si>
  <si>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</si>
  <si>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</si>
  <si>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</si>
  <si>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</si>
  <si>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</si>
  <si>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</si>
  <si>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</si>
  <si>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</si>
  <si>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</si>
  <si>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</si>
  <si>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</si>
  <si>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</si>
  <si>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</si>
  <si>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</si>
  <si>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</si>
  <si>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</si>
  <si>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</si>
  <si>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</si>
  <si>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</si>
  <si>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</si>
  <si>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</si>
  <si>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</si>
  <si>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</si>
  <si>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</si>
  <si>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</si>
  <si>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</si>
  <si>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</si>
  <si>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</si>
  <si>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</si>
  <si>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</si>
  <si>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</si>
  <si>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</si>
  <si>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</si>
  <si>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</si>
  <si>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</si>
  <si>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</si>
  <si>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</si>
  <si>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</si>
  <si>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</si>
  <si>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</si>
  <si>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</si>
  <si>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</si>
  <si>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</si>
  <si>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</si>
  <si>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</si>
  <si>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</si>
  <si>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</si>
  <si>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</si>
  <si>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</si>
  <si>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</si>
  <si>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</si>
  <si>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</si>
  <si>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</si>
  <si>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</si>
  <si>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</si>
  <si>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</si>
  <si>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</si>
  <si>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</si>
  <si>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</si>
  <si>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</si>
  <si>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</si>
  <si>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</si>
  <si>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</si>
  <si>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</si>
  <si>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</si>
  <si>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</si>
  <si>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</si>
  <si>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</si>
  <si>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</si>
  <si>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</si>
  <si>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</si>
  <si>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</si>
  <si>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</si>
  <si>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</si>
  <si>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</si>
  <si>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</si>
  <si>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</si>
  <si>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</si>
  <si>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</si>
  <si>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</si>
  <si>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</si>
  <si>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</si>
  <si>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</si>
  <si>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</si>
  <si>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</si>
  <si>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</si>
  <si>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</si>
  <si>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</si>
  <si>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</si>
  <si>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</si>
  <si>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</si>
  <si>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</si>
  <si>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</si>
  <si>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</si>
  <si>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</si>
  <si>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</si>
  <si>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</si>
  <si>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</si>
  <si>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</si>
  <si>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</si>
  <si>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</si>
  <si>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</si>
  <si>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</si>
  <si>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</si>
  <si>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</si>
  <si>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</si>
  <si>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</si>
  <si>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</si>
  <si>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</si>
  <si>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</si>
  <si>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</si>
  <si>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</si>
  <si>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</si>
  <si>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</si>
  <si>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</si>
  <si>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</si>
  <si>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</si>
  <si>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</si>
  <si>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</si>
  <si>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</si>
  <si>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</si>
  <si>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</si>
  <si>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</si>
  <si>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</si>
  <si>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</si>
  <si>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</si>
  <si>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</si>
  <si>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</si>
  <si>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</si>
  <si>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</si>
  <si>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</si>
  <si>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</si>
  <si>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</si>
  <si>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</si>
  <si>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</si>
  <si>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</si>
  <si>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</si>
  <si>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</si>
  <si>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</si>
  <si>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</si>
  <si>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</si>
  <si>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</si>
  <si>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</si>
  <si>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</si>
  <si>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</si>
  <si>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</si>
  <si>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</si>
  <si>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</si>
  <si>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</si>
  <si>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</si>
  <si>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</si>
  <si>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</si>
  <si>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</si>
  <si>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</si>
  <si>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</si>
  <si>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</si>
  <si>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</si>
  <si>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</si>
  <si>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</si>
  <si>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</si>
  <si>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</si>
  <si>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</si>
  <si>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</si>
  <si>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</si>
  <si>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</si>
  <si>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</si>
  <si>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</si>
  <si>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</si>
  <si>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</si>
  <si>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</si>
  <si>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</si>
  <si>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</si>
  <si>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</si>
  <si>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</si>
  <si>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</si>
  <si>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</si>
  <si>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</si>
  <si>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</si>
  <si>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</si>
  <si>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</si>
  <si>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</si>
  <si>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</si>
  <si>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</si>
  <si>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</si>
  <si>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</si>
  <si>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</si>
  <si>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</si>
  <si>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</si>
  <si>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</si>
  <si>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</si>
  <si>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</si>
  <si>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</si>
  <si>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</si>
  <si>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</si>
  <si>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</si>
  <si>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</si>
  <si>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</si>
  <si>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</si>
  <si>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</si>
  <si>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</si>
  <si>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</si>
  <si>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</si>
  <si>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</si>
  <si>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</si>
  <si>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</si>
  <si>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</si>
  <si>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</si>
  <si>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</si>
  <si>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</si>
  <si>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</si>
  <si>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</si>
  <si>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</si>
  <si>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</si>
  <si>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</si>
  <si>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</si>
  <si>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</si>
  <si>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</si>
  <si>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</si>
  <si>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</si>
  <si>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</si>
  <si>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</si>
  <si>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</si>
  <si>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</si>
  <si>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</si>
  <si>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</si>
  <si>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</si>
  <si>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</si>
  <si>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</si>
  <si>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</si>
  <si>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</si>
  <si>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</si>
  <si>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</si>
  <si>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</si>
  <si>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</si>
  <si>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</si>
  <si>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</si>
  <si>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</si>
  <si>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</si>
  <si>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</si>
  <si>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</si>
  <si>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</si>
  <si>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</si>
  <si>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</si>
  <si>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</si>
  <si>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</si>
  <si>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</si>
  <si>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</si>
  <si>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</si>
  <si>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</si>
  <si>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</si>
  <si>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</si>
  <si>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</si>
  <si>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</si>
  <si>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</si>
  <si>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</si>
  <si>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</si>
  <si>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</si>
  <si>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</si>
  <si>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</si>
  <si>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</si>
  <si>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</si>
  <si>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</si>
  <si>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</si>
  <si>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</si>
  <si>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</si>
  <si>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</si>
  <si>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</si>
  <si>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</si>
  <si>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</si>
  <si>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</si>
  <si>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</si>
  <si>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</si>
  <si>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</si>
  <si>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</si>
  <si>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</si>
  <si>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</si>
  <si>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</si>
  <si>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</si>
  <si>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</si>
  <si>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</si>
  <si>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</si>
  <si>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</si>
  <si>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</si>
  <si>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</si>
  <si>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</si>
  <si>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</si>
  <si>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</si>
  <si>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</si>
  <si>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</si>
  <si>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</si>
  <si>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</si>
  <si>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</si>
  <si>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</si>
  <si>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</si>
  <si>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</si>
  <si>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</si>
  <si>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</si>
  <si>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</si>
  <si>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</si>
  <si>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</si>
  <si>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</si>
  <si>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</si>
  <si>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</si>
  <si>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</si>
  <si>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</si>
  <si>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</si>
  <si>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</si>
  <si>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</si>
  <si>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</si>
  <si>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</si>
  <si>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</si>
  <si>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</si>
  <si>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</si>
  <si>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</si>
  <si>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</si>
  <si>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</si>
  <si>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</si>
  <si>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</si>
  <si>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</si>
  <si>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</si>
  <si>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</si>
  <si>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</si>
  <si>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</si>
  <si>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</si>
  <si>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</si>
  <si>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</si>
  <si>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</si>
  <si>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</si>
  <si>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</si>
  <si>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</si>
  <si>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</si>
  <si>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</si>
  <si>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</si>
  <si>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</si>
  <si>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</si>
  <si>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</si>
  <si>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</si>
  <si>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</si>
  <si>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</si>
  <si>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</si>
  <si>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</si>
  <si>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</si>
  <si>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</si>
  <si>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</si>
  <si>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</si>
  <si>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</si>
  <si>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</si>
  <si>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</si>
  <si>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</si>
  <si>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</si>
  <si>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</si>
  <si>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</si>
  <si>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</si>
  <si>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</si>
  <si>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</si>
  <si>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</si>
  <si>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</si>
  <si>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</si>
  <si>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</si>
  <si>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</si>
  <si>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</si>
  <si>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</si>
  <si>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</si>
  <si>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</si>
  <si>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</si>
  <si>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</si>
  <si>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</si>
  <si>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</si>
  <si>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</si>
  <si>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</si>
  <si>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</si>
  <si>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</si>
  <si>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</si>
  <si>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</si>
  <si>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</si>
  <si>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</si>
  <si>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</si>
  <si>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</si>
  <si>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</si>
  <si>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</si>
  <si>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</si>
  <si>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</si>
  <si>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</si>
  <si>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</si>
  <si>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</si>
  <si>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</si>
  <si>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</si>
  <si>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</si>
  <si>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</si>
  <si>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</si>
  <si>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</si>
  <si>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</si>
  <si>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</si>
  <si>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</si>
  <si>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</si>
  <si>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</si>
  <si>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</si>
  <si>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</si>
  <si>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</si>
  <si>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</si>
  <si>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</si>
  <si>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</si>
  <si>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</si>
  <si>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</si>
  <si>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</si>
  <si>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</si>
  <si>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</si>
  <si>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</si>
  <si>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</si>
  <si>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</si>
  <si>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</si>
  <si>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</si>
  <si>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</si>
  <si>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</si>
  <si>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</si>
  <si>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</si>
  <si>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</si>
  <si>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</si>
  <si>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</si>
  <si>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</si>
  <si>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</si>
  <si>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</si>
  <si>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</si>
  <si>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</si>
  <si>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</si>
  <si>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</si>
  <si>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</si>
  <si>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</si>
  <si>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</si>
  <si>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</si>
  <si>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</si>
  <si>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</si>
  <si>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</si>
  <si>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</si>
  <si>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</si>
  <si>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</si>
  <si>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</si>
  <si>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</si>
  <si>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</si>
  <si>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</si>
  <si>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</si>
  <si>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</si>
  <si>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</si>
  <si>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</si>
  <si>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</si>
  <si>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</si>
  <si>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</si>
  <si>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</si>
  <si>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</si>
  <si>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</si>
  <si>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</si>
  <si>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</si>
  <si>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</si>
  <si>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</si>
  <si>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</si>
  <si>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</si>
  <si>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</si>
  <si>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</si>
  <si>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</si>
  <si>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</si>
  <si>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</si>
  <si>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</si>
  <si>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</si>
  <si>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</si>
  <si>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</si>
  <si>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</si>
  <si>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</si>
  <si>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</si>
  <si>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</si>
  <si>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</si>
  <si>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</si>
  <si>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</si>
  <si>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</si>
  <si>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</si>
  <si>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</si>
  <si>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</si>
  <si>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</si>
  <si>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</si>
  <si>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</si>
  <si>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</si>
  <si>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</si>
  <si>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</si>
  <si>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</si>
  <si>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</si>
  <si>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</si>
  <si>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</si>
  <si>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</si>
  <si>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</si>
  <si>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</si>
  <si>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</si>
  <si>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</si>
  <si>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</si>
  <si>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</si>
  <si>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</si>
  <si>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</si>
  <si>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</si>
  <si>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</si>
  <si>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</si>
  <si>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</si>
  <si>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</si>
  <si>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</si>
  <si>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</si>
  <si>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</si>
  <si>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</si>
  <si>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</si>
  <si>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</si>
  <si>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</si>
  <si>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</si>
  <si>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</si>
  <si>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</si>
  <si>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</si>
  <si>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</si>
  <si>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</si>
  <si>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</si>
  <si>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</si>
  <si>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</si>
  <si>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</si>
  <si>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</si>
  <si>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</si>
  <si>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</si>
  <si>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</si>
  <si>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</si>
  <si>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</si>
  <si>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</si>
  <si>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</si>
  <si>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</si>
  <si>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</si>
  <si>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</si>
  <si>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</si>
  <si>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</si>
  <si>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</si>
  <si>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</si>
  <si>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</si>
  <si>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</si>
  <si>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</si>
  <si>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</si>
  <si>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</si>
  <si>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</si>
  <si>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</si>
  <si>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</si>
  <si>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</si>
  <si>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</si>
  <si>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</si>
  <si>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</si>
  <si>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</si>
  <si>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</si>
  <si>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</si>
  <si>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</si>
  <si>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</si>
  <si>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</si>
  <si>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</si>
  <si>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</si>
  <si>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</si>
  <si>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</si>
  <si>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</si>
  <si>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</si>
  <si>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</si>
  <si>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</si>
  <si>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</si>
  <si>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</si>
  <si>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</si>
  <si>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</si>
  <si>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</si>
  <si>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</si>
  <si>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</si>
  <si>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</si>
  <si>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</si>
  <si>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</si>
  <si>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</si>
  <si>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</si>
  <si>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</si>
  <si>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</si>
  <si>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</si>
  <si>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</si>
  <si>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</si>
  <si>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</si>
  <si>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</si>
  <si>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</si>
  <si>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</si>
  <si>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</si>
  <si>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</si>
  <si>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</si>
  <si>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</si>
  <si>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</si>
  <si>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</si>
  <si>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</si>
  <si>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</si>
  <si>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</si>
  <si>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</si>
  <si>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</si>
  <si>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</si>
  <si>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</si>
  <si>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</si>
  <si>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</si>
  <si>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</si>
  <si>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</si>
  <si>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</si>
  <si>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</si>
  <si>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</si>
  <si>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</si>
  <si>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</si>
  <si>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</si>
  <si>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</si>
  <si>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</si>
  <si>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</si>
  <si>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</si>
  <si>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</si>
  <si>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</si>
  <si>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</si>
  <si>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</si>
  <si>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</si>
  <si>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</si>
  <si>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</si>
  <si>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</si>
  <si>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</si>
  <si>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</si>
  <si>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</si>
  <si>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</si>
  <si>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</si>
  <si>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</si>
  <si>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</si>
  <si>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</si>
  <si>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</si>
  <si>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</si>
  <si>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</si>
  <si>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</si>
  <si>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</si>
  <si>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</si>
  <si>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</si>
  <si>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</si>
  <si>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</si>
  <si>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</si>
  <si>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</si>
  <si>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</si>
  <si>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</si>
  <si>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</si>
  <si>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</si>
  <si>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</si>
  <si>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</si>
  <si>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</si>
  <si>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</si>
  <si>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</si>
  <si>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</si>
  <si>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</si>
  <si>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</si>
  <si>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</si>
  <si>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</si>
  <si>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</si>
  <si>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</si>
  <si>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</si>
  <si>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</si>
  <si>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</si>
  <si>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</si>
  <si>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</si>
  <si>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</si>
  <si>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</si>
  <si>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</si>
  <si>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</si>
  <si>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</si>
  <si>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</si>
  <si>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</si>
  <si>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</si>
  <si>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</si>
  <si>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</si>
  <si>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</si>
  <si>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</si>
  <si>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</si>
  <si>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</si>
  <si>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</si>
  <si>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</si>
  <si>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</si>
  <si>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</si>
  <si>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</si>
  <si>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</si>
  <si>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</si>
  <si>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</si>
  <si>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</si>
  <si>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</si>
  <si>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</si>
  <si>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</si>
  <si>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</si>
  <si>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</si>
  <si>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</si>
  <si>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</si>
  <si>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</si>
  <si>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</si>
  <si>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</si>
  <si>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</si>
  <si>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</si>
  <si>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</si>
  <si>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</si>
  <si>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</si>
  <si>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</si>
  <si>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</si>
  <si>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</si>
  <si>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</si>
  <si>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</si>
  <si>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</si>
  <si>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</si>
  <si>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</si>
  <si>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</si>
  <si>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</si>
  <si>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</si>
  <si>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</si>
  <si>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</si>
  <si>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</si>
  <si>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</si>
  <si>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</si>
  <si>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</si>
  <si>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</si>
  <si>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</si>
  <si>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</si>
  <si>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</si>
  <si>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</si>
  <si>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</si>
  <si>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</si>
  <si>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</si>
  <si>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</si>
  <si>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</si>
  <si>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</si>
  <si>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</si>
  <si>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</si>
  <si>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</si>
  <si>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</si>
  <si>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</si>
  <si>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</si>
  <si>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</si>
  <si>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</si>
  <si>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</si>
  <si>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</si>
  <si>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</si>
  <si>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</si>
  <si>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</si>
  <si>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</si>
  <si>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</si>
  <si>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</si>
  <si>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</si>
  <si>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</si>
  <si>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</si>
  <si>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</si>
  <si>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</si>
  <si>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</si>
  <si>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</si>
  <si>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</si>
  <si>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</si>
  <si>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</si>
  <si>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</si>
  <si>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</si>
  <si>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</si>
  <si>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</si>
  <si>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</si>
  <si>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</si>
  <si>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</si>
  <si>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</si>
  <si>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</si>
  <si>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</si>
  <si>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</si>
  <si>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</si>
  <si>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</si>
  <si>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</si>
  <si>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</si>
  <si>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</si>
  <si>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</si>
  <si>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</si>
  <si>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</si>
  <si>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</si>
  <si>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</si>
  <si>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</si>
  <si>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</si>
  <si>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</si>
  <si>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</si>
  <si>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</si>
  <si>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</si>
  <si>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</si>
  <si>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</si>
  <si>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</si>
  <si>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</si>
  <si>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</si>
  <si>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</si>
  <si>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</si>
  <si>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</si>
  <si>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</si>
  <si>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</si>
  <si>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</si>
  <si>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</si>
  <si>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</si>
  <si>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</si>
  <si>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</si>
  <si>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</si>
  <si>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</si>
  <si>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</si>
  <si>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</si>
  <si>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</si>
  <si>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</si>
  <si>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</si>
  <si>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</si>
  <si>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</si>
  <si>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</si>
  <si>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</si>
  <si>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</si>
  <si>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</si>
  <si>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</si>
  <si>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</si>
  <si>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</si>
  <si>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</si>
  <si>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</si>
  <si>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</si>
  <si>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</si>
  <si>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</si>
  <si>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</si>
  <si>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</si>
  <si>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</si>
  <si>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</si>
  <si>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</si>
  <si>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</si>
  <si>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</si>
  <si>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</si>
  <si>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</si>
  <si>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</si>
  <si>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</si>
  <si>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</si>
  <si>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</si>
  <si>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</si>
  <si>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</si>
  <si>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</si>
  <si>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</si>
  <si>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</si>
  <si>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</si>
  <si>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</si>
  <si>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</si>
  <si>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</si>
  <si>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</si>
  <si>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</si>
  <si>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</si>
  <si>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</si>
  <si>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</si>
  <si>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</si>
  <si>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</si>
  <si>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</si>
  <si>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</si>
  <si>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</si>
  <si>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</si>
  <si>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</si>
  <si>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</si>
  <si>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</si>
  <si>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</si>
  <si>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</si>
  <si>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</si>
  <si>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</si>
  <si>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</si>
  <si>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</si>
  <si>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</si>
  <si>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</si>
  <si>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</si>
  <si>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</si>
  <si>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</si>
  <si>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</si>
  <si>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</si>
  <si>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</si>
  <si>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</si>
  <si>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</si>
  <si>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</si>
  <si>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</si>
  <si>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</si>
  <si>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</si>
  <si>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</si>
  <si>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</si>
  <si>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</si>
  <si>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</si>
  <si>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</si>
  <si>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</si>
  <si>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</si>
  <si>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</si>
  <si>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</si>
  <si>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</si>
  <si>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</si>
  <si>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</si>
  <si>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</si>
  <si>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</si>
  <si>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</si>
  <si>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</si>
  <si>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</si>
  <si>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</si>
  <si>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</si>
  <si>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</si>
  <si>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</si>
  <si>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</si>
  <si>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</si>
  <si>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</si>
  <si>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</si>
  <si>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</si>
  <si>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</si>
  <si>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</si>
  <si>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</si>
  <si>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</si>
  <si>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</si>
  <si>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</si>
  <si>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</si>
  <si>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</si>
  <si>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</si>
  <si>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</si>
  <si>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</si>
  <si>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</si>
  <si>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</si>
  <si>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</si>
  <si>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</si>
  <si>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</si>
  <si>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</si>
  <si>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</si>
  <si>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</si>
  <si>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</si>
  <si>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</si>
  <si>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</si>
  <si>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</si>
  <si>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</si>
  <si>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</si>
  <si>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</si>
  <si>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</si>
  <si>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</si>
  <si>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</si>
  <si>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</si>
  <si>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</si>
  <si>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</si>
  <si>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</si>
  <si>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</si>
  <si>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</si>
  <si>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</si>
  <si>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</si>
  <si>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</si>
  <si>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</si>
  <si>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</si>
  <si>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</si>
  <si>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</si>
  <si>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</si>
  <si>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</si>
  <si>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</si>
  <si>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</si>
  <si>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</si>
  <si>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</si>
  <si>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</si>
  <si>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</si>
  <si>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</si>
  <si>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</si>
  <si>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</si>
  <si>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</si>
  <si>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</si>
  <si>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</si>
  <si>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</si>
  <si>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</si>
  <si>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</si>
  <si>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</si>
  <si>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</si>
  <si>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</si>
  <si>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</si>
  <si>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</si>
  <si>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</si>
  <si>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</si>
  <si>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</si>
  <si>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</si>
  <si>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</si>
  <si>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</si>
  <si>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</si>
  <si>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</si>
  <si>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</si>
  <si>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</si>
  <si>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</si>
  <si>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</si>
  <si>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</si>
  <si>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</si>
  <si>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</si>
  <si>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</si>
  <si>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</si>
  <si>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</si>
  <si>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</si>
  <si>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</si>
  <si>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</si>
  <si>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</si>
  <si>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</si>
  <si>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</si>
  <si>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</si>
  <si>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</si>
  <si>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</si>
  <si>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</si>
  <si>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</si>
  <si>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</si>
  <si>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</si>
  <si>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</si>
  <si>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</si>
  <si>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</si>
  <si>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</si>
  <si>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</si>
  <si>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</si>
  <si>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</si>
  <si>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</si>
  <si>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</si>
  <si>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</si>
  <si>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</si>
  <si>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</si>
  <si>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</si>
  <si>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</si>
  <si>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</si>
  <si>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</si>
  <si>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</si>
  <si>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</si>
  <si>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</si>
  <si>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</si>
  <si>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</si>
  <si>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</si>
  <si>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</si>
  <si>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</si>
  <si>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</si>
  <si>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</si>
  <si>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</si>
  <si>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</si>
  <si>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</si>
  <si>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</si>
  <si>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</si>
  <si>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</si>
  <si>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</si>
  <si>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</si>
  <si>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</si>
  <si>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</si>
  <si>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</si>
  <si>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</si>
  <si>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</si>
  <si>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</si>
  <si>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</si>
  <si>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</si>
  <si>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</si>
  <si>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</si>
  <si>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</si>
  <si>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</si>
  <si>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</si>
  <si>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</si>
  <si>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</si>
  <si>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</si>
  <si>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</si>
  <si>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</si>
  <si>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</si>
  <si>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</si>
  <si>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</si>
  <si>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</si>
  <si>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</si>
  <si>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</si>
  <si>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</si>
  <si>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</si>
  <si>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</si>
  <si>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</si>
  <si>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</si>
  <si>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</si>
  <si>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</si>
  <si>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</si>
  <si>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</si>
  <si>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</si>
  <si>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</si>
  <si>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</si>
  <si>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</si>
  <si>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</si>
  <si>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</si>
  <si>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</si>
  <si>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</si>
  <si>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</si>
  <si>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</si>
  <si>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</si>
  <si>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</si>
  <si>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</si>
  <si>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</si>
  <si>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</si>
  <si>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</si>
  <si>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</si>
  <si>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</si>
  <si>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</si>
  <si>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</si>
  <si>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</si>
  <si>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</si>
  <si>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</si>
  <si>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</si>
  <si>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</si>
  <si>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</si>
  <si>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</si>
  <si>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</si>
  <si>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</si>
  <si>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</si>
  <si>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</si>
  <si>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</si>
  <si>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</si>
  <si>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</si>
  <si>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</si>
  <si>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</si>
  <si>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</si>
  <si>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</si>
  <si>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</si>
  <si>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</si>
  <si>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</si>
  <si>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</si>
  <si>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</si>
  <si>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</si>
  <si>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</si>
  <si>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</si>
  <si>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</si>
  <si>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</si>
  <si>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</si>
  <si>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</si>
  <si>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</si>
  <si>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</si>
  <si>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</si>
  <si>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</si>
  <si>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</si>
  <si>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</si>
  <si>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</si>
  <si>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</si>
  <si>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</si>
  <si>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</si>
  <si>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</si>
  <si>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</si>
  <si>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</si>
  <si>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</si>
  <si>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</si>
  <si>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</si>
  <si>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</si>
  <si>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</si>
  <si>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</si>
  <si>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</si>
  <si>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</si>
  <si>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</si>
  <si>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</si>
  <si>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</si>
  <si>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</si>
  <si>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</si>
  <si>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</si>
  <si>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</si>
  <si>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</si>
  <si>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</si>
  <si>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</si>
  <si>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</si>
  <si>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</si>
  <si>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</si>
  <si>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</si>
  <si>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</si>
  <si>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</si>
  <si>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</si>
  <si>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</si>
  <si>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</si>
  <si>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</si>
  <si>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</si>
  <si>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</si>
  <si>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</si>
  <si>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</si>
  <si>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</si>
  <si>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</si>
  <si>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</si>
  <si>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</si>
  <si>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</si>
  <si>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</si>
  <si>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</si>
  <si>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</si>
  <si>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</si>
  <si>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</si>
  <si>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</si>
  <si>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</si>
  <si>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</si>
  <si>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</si>
  <si>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</si>
  <si>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</si>
  <si>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</si>
  <si>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</si>
  <si>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</si>
  <si>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</si>
  <si>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</si>
  <si>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</si>
  <si>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</si>
  <si>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</si>
  <si>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</si>
  <si>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</si>
  <si>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</si>
  <si>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</si>
  <si>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</si>
  <si>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</si>
  <si>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</si>
  <si>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</si>
  <si>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</si>
  <si>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</si>
  <si>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</si>
  <si>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</si>
  <si>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</si>
  <si>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</si>
  <si>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</si>
  <si>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</si>
  <si>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</si>
  <si>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</si>
  <si>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</si>
  <si>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</si>
  <si>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</si>
  <si>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</si>
  <si>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</si>
  <si>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</si>
  <si>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</si>
  <si>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</si>
  <si>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</si>
  <si>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</si>
  <si>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</si>
  <si>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</si>
  <si>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</si>
  <si>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</si>
  <si>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</si>
  <si>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</si>
  <si>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</si>
  <si>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</si>
  <si>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</si>
  <si>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</si>
  <si>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</si>
  <si>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</si>
  <si>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</si>
  <si>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</si>
  <si>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</si>
  <si>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</si>
  <si>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</si>
  <si>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</si>
  <si>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</si>
  <si>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</si>
  <si>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</si>
  <si>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</si>
  <si>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</si>
  <si>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</si>
  <si>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</si>
  <si>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</si>
  <si>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</si>
  <si>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</si>
  <si>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</si>
  <si>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</si>
  <si>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</si>
  <si>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</si>
  <si>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</si>
  <si>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</si>
  <si>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</si>
  <si>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</si>
  <si>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</si>
  <si>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</si>
  <si>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</si>
  <si>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</si>
  <si>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</si>
  <si>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</si>
  <si>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</si>
  <si>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</si>
  <si>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</si>
  <si>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</si>
  <si>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</si>
  <si>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</si>
  <si>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</si>
  <si>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</si>
  <si>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</si>
  <si>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</si>
  <si>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</si>
  <si>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</si>
  <si>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</si>
  <si>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</si>
  <si>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</si>
  <si>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</si>
  <si>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</si>
  <si>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</si>
  <si>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</si>
  <si>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</si>
  <si>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</si>
  <si>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</si>
  <si>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</si>
  <si>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</si>
  <si>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</si>
  <si>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</si>
  <si>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</si>
  <si>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</si>
  <si>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</si>
  <si>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</si>
  <si>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</si>
  <si>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</si>
  <si>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</si>
  <si>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</si>
  <si>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</si>
  <si>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</si>
  <si>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</si>
  <si>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</si>
  <si>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</si>
  <si>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</si>
  <si>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</si>
  <si>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</si>
  <si>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</si>
  <si>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</si>
  <si>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</si>
  <si>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</si>
  <si>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</si>
  <si>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</si>
  <si>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</si>
  <si>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</si>
  <si>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</si>
  <si>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</si>
  <si>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</si>
  <si>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</si>
  <si>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</si>
  <si>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</si>
  <si>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</si>
  <si>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</si>
  <si>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</si>
  <si>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</si>
  <si>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</si>
  <si>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</si>
  <si>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</si>
  <si>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</si>
  <si>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</si>
  <si>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</si>
  <si>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</si>
  <si>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</si>
  <si>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</si>
  <si>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</si>
  <si>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</si>
  <si>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</si>
  <si>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</si>
  <si>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</si>
  <si>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</si>
  <si>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</si>
  <si>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</si>
  <si>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</si>
  <si>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</si>
  <si>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</si>
  <si>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</si>
  <si>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</si>
  <si>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</si>
  <si>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</si>
  <si>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</si>
  <si>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</si>
  <si>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</si>
  <si>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</si>
  <si>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</si>
  <si>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</si>
  <si>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</si>
  <si>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</si>
  <si>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</si>
  <si>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</si>
  <si>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</si>
  <si>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</si>
  <si>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</si>
  <si>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</si>
  <si>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</si>
  <si>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</si>
  <si>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</si>
  <si>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</si>
  <si>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</si>
  <si>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</si>
  <si>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</si>
  <si>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</si>
  <si>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</si>
  <si>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</si>
  <si>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</si>
  <si>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</si>
  <si>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</si>
  <si>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</si>
  <si>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</si>
  <si>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</si>
  <si>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</si>
  <si>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</si>
  <si>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</si>
  <si>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</si>
  <si>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</si>
  <si>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</si>
  <si>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</si>
  <si>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</si>
  <si>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</si>
  <si>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</si>
  <si>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</si>
  <si>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</si>
  <si>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</si>
  <si>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</si>
  <si>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</si>
  <si>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</si>
  <si>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</si>
  <si>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</si>
  <si>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</si>
  <si>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</si>
  <si>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</si>
  <si>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</si>
  <si>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</si>
  <si>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</si>
  <si>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</si>
  <si>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</si>
  <si>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</si>
  <si>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</si>
  <si>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</si>
  <si>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</si>
  <si>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</si>
  <si>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</si>
  <si>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</si>
  <si>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</si>
  <si>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</si>
  <si>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</si>
  <si>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</si>
  <si>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</si>
  <si>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</si>
  <si>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</si>
  <si>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</si>
  <si>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</si>
  <si>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</si>
  <si>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</si>
  <si>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</si>
  <si>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</si>
  <si>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</si>
  <si>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</si>
  <si>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</si>
  <si>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</si>
  <si>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</si>
  <si>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</si>
  <si>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</si>
  <si>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</si>
  <si>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</si>
  <si>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</si>
  <si>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</si>
  <si>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</si>
  <si>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</si>
  <si>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</si>
  <si>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</si>
  <si>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</si>
  <si>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</si>
  <si>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</si>
  <si>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</si>
  <si>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</si>
  <si>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</si>
  <si>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</si>
  <si>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</si>
  <si>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</si>
  <si>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</si>
  <si>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</si>
  <si>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</si>
  <si>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</si>
  <si>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</si>
  <si>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</si>
  <si>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</si>
  <si>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</si>
  <si>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</si>
  <si>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</si>
  <si>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</si>
  <si>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</si>
  <si>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</si>
  <si>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</si>
  <si>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</si>
  <si>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</si>
  <si>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</si>
  <si>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</si>
  <si>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</si>
  <si>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</si>
  <si>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</si>
  <si>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</si>
  <si>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</si>
  <si>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</si>
  <si>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</si>
  <si>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</si>
  <si>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</si>
  <si>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</si>
  <si>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</si>
  <si>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</si>
  <si>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</si>
  <si>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</si>
  <si>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</si>
  <si>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</si>
  <si>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</si>
  <si>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</si>
  <si>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</si>
  <si>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</si>
  <si>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</si>
  <si>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</si>
  <si>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</si>
  <si>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</si>
  <si>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</si>
  <si>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</si>
  <si>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</si>
  <si>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</si>
  <si>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</si>
  <si>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</si>
  <si>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</si>
  <si>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</si>
  <si>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</si>
  <si>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</si>
  <si>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</si>
  <si>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</si>
  <si>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</si>
  <si>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</si>
  <si>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</si>
  <si>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</si>
  <si>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</si>
  <si>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</si>
  <si>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</si>
  <si>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</si>
  <si>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</si>
  <si>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</si>
  <si>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</si>
  <si>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</si>
  <si>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</si>
  <si>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</si>
  <si>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</si>
  <si>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</si>
  <si>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</si>
  <si>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</si>
  <si>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</si>
  <si>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</si>
  <si>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</si>
  <si>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</si>
  <si>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</si>
  <si>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</si>
  <si>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</si>
  <si>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</si>
  <si>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</si>
  <si>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</si>
  <si>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</si>
  <si>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</si>
  <si>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</si>
  <si>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</si>
  <si>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</si>
  <si>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</si>
  <si>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</si>
  <si>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</si>
  <si>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</si>
  <si>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</si>
  <si>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</si>
  <si>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</si>
  <si>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</si>
  <si>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</si>
  <si>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</si>
  <si>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</si>
  <si>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</si>
  <si>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</si>
  <si>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</si>
  <si>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</si>
  <si>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</si>
  <si>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</si>
  <si>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</si>
  <si>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</si>
  <si>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</si>
  <si>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</si>
  <si>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</si>
  <si>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</si>
  <si>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</si>
  <si>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</si>
  <si>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</si>
  <si>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</si>
  <si>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</si>
  <si>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</si>
  <si>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</si>
  <si>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</si>
  <si>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</si>
  <si>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</si>
  <si>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</si>
  <si>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</si>
  <si>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</si>
  <si>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</si>
  <si>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</si>
  <si>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</si>
  <si>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</si>
  <si>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</si>
  <si>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</si>
  <si>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</si>
  <si>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</si>
  <si>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</si>
  <si>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</si>
  <si>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</si>
  <si>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</si>
  <si>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</si>
  <si>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</si>
  <si>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</si>
  <si>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</si>
  <si>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</si>
  <si>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</si>
  <si>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</si>
  <si>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</si>
  <si>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</si>
  <si>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</si>
  <si>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</si>
  <si>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</si>
  <si>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</si>
  <si>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</si>
  <si>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</si>
  <si>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</si>
  <si>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</si>
  <si>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</si>
  <si>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</si>
  <si>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</si>
  <si>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</si>
  <si>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</si>
  <si>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</si>
  <si>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</si>
  <si>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</si>
  <si>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</si>
  <si>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</si>
  <si>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</si>
  <si>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</si>
  <si>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</si>
  <si>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</si>
  <si>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</si>
  <si>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</si>
  <si>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</si>
  <si>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</si>
  <si>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</si>
  <si>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</si>
  <si>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</si>
  <si>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</si>
  <si>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</si>
  <si>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</si>
  <si>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</si>
  <si>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</si>
  <si>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</si>
  <si>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</si>
  <si>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</si>
  <si>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</si>
  <si>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</si>
  <si>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</si>
  <si>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</si>
  <si>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</si>
  <si>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</si>
  <si>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</si>
  <si>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</si>
  <si>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</si>
  <si>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</si>
  <si>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</si>
  <si>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</si>
  <si>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</si>
  <si>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</si>
  <si>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</si>
  <si>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</si>
  <si>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</si>
  <si>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</si>
  <si>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</si>
  <si>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</si>
  <si>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</si>
  <si>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</si>
  <si>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</si>
  <si>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</si>
  <si>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</si>
  <si>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</si>
  <si>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</si>
  <si>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</si>
  <si>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</si>
  <si>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</si>
  <si>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</si>
  <si>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</si>
  <si>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</si>
  <si>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</si>
  <si>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</si>
  <si>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</si>
  <si>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</si>
  <si>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</si>
  <si>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</si>
  <si>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</si>
  <si>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</si>
  <si>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</si>
  <si>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</si>
  <si>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</si>
  <si>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</si>
  <si>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</si>
  <si>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</si>
  <si>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</si>
  <si>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</si>
  <si>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</si>
  <si>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</si>
  <si>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</si>
  <si>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</si>
  <si>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</si>
  <si>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</si>
  <si>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</si>
  <si>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</si>
  <si>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</si>
  <si>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</si>
  <si>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</si>
  <si>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</si>
  <si>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</si>
  <si>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</si>
  <si>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</si>
  <si>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</si>
  <si>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</si>
  <si>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</si>
  <si>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</si>
  <si>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</si>
  <si>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</si>
  <si>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</si>
  <si>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</si>
  <si>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</si>
  <si>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</si>
  <si>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</si>
  <si>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</si>
  <si>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</si>
  <si>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</si>
  <si>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</si>
  <si>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</si>
  <si>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</si>
  <si>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</si>
  <si>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</si>
  <si>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</si>
  <si>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</si>
  <si>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</si>
  <si>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</si>
  <si>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</si>
  <si>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</si>
  <si>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</si>
  <si>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</si>
  <si>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</si>
  <si>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</si>
  <si>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</si>
  <si>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</si>
  <si>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</si>
  <si>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</si>
  <si>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</si>
  <si>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</si>
  <si>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</si>
  <si>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</si>
  <si>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</si>
  <si>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</si>
  <si>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</si>
  <si>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</si>
  <si>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</si>
  <si>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</si>
  <si>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</si>
  <si>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</si>
  <si>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</si>
  <si>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</si>
  <si>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</si>
  <si>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</si>
  <si>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</si>
  <si>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</si>
  <si>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</si>
  <si>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</si>
  <si>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</si>
  <si>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</si>
  <si>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</si>
  <si>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</si>
  <si>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</si>
  <si>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</si>
  <si>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</si>
  <si>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</si>
  <si>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</si>
  <si>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</si>
  <si>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</si>
  <si>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</si>
  <si>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</si>
  <si>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</si>
  <si>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</si>
  <si>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</si>
  <si>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</si>
  <si>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</si>
  <si>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</si>
  <si>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</si>
  <si>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</si>
  <si>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</si>
  <si>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</si>
  <si>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</si>
  <si>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</si>
  <si>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</si>
  <si>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</si>
  <si>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</si>
  <si>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</si>
  <si>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</si>
  <si>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</si>
  <si>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</si>
  <si>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</si>
  <si>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</si>
  <si>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</si>
  <si>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</si>
  <si>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</si>
  <si>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</si>
  <si>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</si>
  <si>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</si>
  <si>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</si>
  <si>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</si>
  <si>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</si>
  <si>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</si>
  <si>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</si>
  <si>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</si>
  <si>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</si>
  <si>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</si>
  <si>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</si>
  <si>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</si>
  <si>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</si>
  <si>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</si>
  <si>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</si>
  <si>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</si>
  <si>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</si>
  <si>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</si>
  <si>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</si>
  <si>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</si>
  <si>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</si>
  <si>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</si>
  <si>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</si>
  <si>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</si>
  <si>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</si>
  <si>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</si>
  <si>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</si>
  <si>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</si>
  <si>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</si>
  <si>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</si>
  <si>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</si>
  <si>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</si>
  <si>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</si>
  <si>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</si>
  <si>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</si>
  <si>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</si>
  <si>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</si>
  <si>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</si>
  <si>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</si>
  <si>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</si>
  <si>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</si>
  <si>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</si>
  <si>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</si>
  <si>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</si>
  <si>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</si>
  <si>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</si>
  <si>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</si>
  <si>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</si>
  <si>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</si>
  <si>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</si>
  <si>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</si>
  <si>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</si>
  <si>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</si>
  <si>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</si>
  <si>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</si>
  <si>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</si>
  <si>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</si>
  <si>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</si>
  <si>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</si>
  <si>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</si>
  <si>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</si>
  <si>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</si>
  <si>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</si>
  <si>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</si>
  <si>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</si>
  <si>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</si>
  <si>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</si>
  <si>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</si>
  <si>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</si>
  <si>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</si>
  <si>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</si>
  <si>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</si>
  <si>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</si>
  <si>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</si>
  <si>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</si>
  <si>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</si>
  <si>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</si>
  <si>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</si>
  <si>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</si>
  <si>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</si>
  <si>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</si>
  <si>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</si>
  <si>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</si>
  <si>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</si>
  <si>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</si>
  <si>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</si>
  <si>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</si>
  <si>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</si>
  <si>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</si>
  <si>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</si>
  <si>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</si>
  <si>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</si>
  <si>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</si>
  <si>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</si>
  <si>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</si>
  <si>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</si>
  <si>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</si>
  <si>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</si>
  <si>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</si>
  <si>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</si>
  <si>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</si>
  <si>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</si>
  <si>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</si>
  <si>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</si>
  <si>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</si>
  <si>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</si>
  <si>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</si>
  <si>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</si>
  <si>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</si>
  <si>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</si>
  <si>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</si>
  <si>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</si>
  <si>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</si>
  <si>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</si>
  <si>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</si>
  <si>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</si>
  <si>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</si>
  <si>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</si>
  <si>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</si>
  <si>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</si>
  <si>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</si>
  <si>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</si>
  <si>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</si>
  <si>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</si>
  <si>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</si>
  <si>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</si>
  <si>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</si>
  <si>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</si>
  <si>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</si>
  <si>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</si>
  <si>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</si>
  <si>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</si>
  <si>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</si>
  <si>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</si>
  <si>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</si>
  <si>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</si>
  <si>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</si>
  <si>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</si>
  <si>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</si>
  <si>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</si>
  <si>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</si>
  <si>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</si>
  <si>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</si>
  <si>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</si>
  <si>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</si>
  <si>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</si>
  <si>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</si>
  <si>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</si>
  <si>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</si>
  <si>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</si>
  <si>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</si>
  <si>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</si>
  <si>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</si>
  <si>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</si>
  <si>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</si>
  <si>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</si>
  <si>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</si>
  <si>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</si>
  <si>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</si>
  <si>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</si>
  <si>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</si>
  <si>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</si>
  <si>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</si>
  <si>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</si>
  <si>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</si>
  <si>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</si>
  <si>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</si>
  <si>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</si>
  <si>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</si>
  <si>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</si>
  <si>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</si>
  <si>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</si>
  <si>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</si>
  <si>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</si>
  <si>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</si>
  <si>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</si>
  <si>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</si>
  <si>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</si>
  <si>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</si>
  <si>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</si>
  <si>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</si>
  <si>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</si>
  <si>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</si>
  <si>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</si>
  <si>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</si>
  <si>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</si>
  <si>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</si>
  <si>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</si>
  <si>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</si>
  <si>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</si>
  <si>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</si>
  <si>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</si>
  <si>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</si>
  <si>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</si>
  <si>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</si>
  <si>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</si>
  <si>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</si>
  <si>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</si>
  <si>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</si>
  <si>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</si>
  <si>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</si>
  <si>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</si>
  <si>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</si>
  <si>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</si>
  <si>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</si>
  <si>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</si>
  <si>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</si>
  <si>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</si>
  <si>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</si>
  <si>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</si>
  <si>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</si>
  <si>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</si>
  <si>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</si>
  <si>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</si>
  <si>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</si>
  <si>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</si>
  <si>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</si>
  <si>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</si>
  <si>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</si>
  <si>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</si>
  <si>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</si>
  <si>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</si>
  <si>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</si>
  <si>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</si>
  <si>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</si>
  <si>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</si>
  <si>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</si>
  <si>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</si>
  <si>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</si>
  <si>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</si>
  <si>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</si>
  <si>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</si>
  <si>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</si>
  <si>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</si>
  <si>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</si>
  <si>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</si>
  <si>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</si>
  <si>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</si>
  <si>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</si>
  <si>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</si>
  <si>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</si>
  <si>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</si>
  <si>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</si>
  <si>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</si>
  <si>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</si>
  <si>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</si>
  <si>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</si>
  <si>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</si>
  <si>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</si>
  <si>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</si>
  <si>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</si>
  <si>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</si>
  <si>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</si>
  <si>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</si>
  <si>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</si>
  <si>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</si>
  <si>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</si>
  <si>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</si>
  <si>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</si>
  <si>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</si>
  <si>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</si>
  <si>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</si>
  <si>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</si>
  <si>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</si>
  <si>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</si>
  <si>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</si>
  <si>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</si>
  <si>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</si>
  <si>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</si>
  <si>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</si>
  <si>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</si>
  <si>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</si>
  <si>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</si>
  <si>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</si>
  <si>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</si>
  <si>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</si>
  <si>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</si>
  <si>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</si>
  <si>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</si>
  <si>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</si>
  <si>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</si>
  <si>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</si>
  <si>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</si>
  <si>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</si>
  <si>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</si>
  <si>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</si>
  <si>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</si>
  <si>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</si>
  <si>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</si>
  <si>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</si>
  <si>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</si>
  <si>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</si>
  <si>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</si>
  <si>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</si>
  <si>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</si>
  <si>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</si>
  <si>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</si>
  <si>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</si>
  <si>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</si>
  <si>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</si>
  <si>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</si>
  <si>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</si>
  <si>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</si>
  <si>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</si>
  <si>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</si>
  <si>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</si>
  <si>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</si>
  <si>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</si>
  <si>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</si>
  <si>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</si>
  <si>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</si>
  <si>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</si>
  <si>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</si>
  <si>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</si>
  <si>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</si>
  <si>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</si>
  <si>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</si>
  <si>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</si>
  <si>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</si>
  <si>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</si>
  <si>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</si>
  <si>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</si>
  <si>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</si>
  <si>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</si>
  <si>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</si>
  <si>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</si>
  <si>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</si>
  <si>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</si>
  <si>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</si>
  <si>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</si>
  <si>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</si>
  <si>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</si>
  <si>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</si>
  <si>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</si>
  <si>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</si>
  <si>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</si>
  <si>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</si>
  <si>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</si>
  <si>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</si>
  <si>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</si>
  <si>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</si>
  <si>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</si>
  <si>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</si>
  <si>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</si>
  <si>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</si>
  <si>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</si>
  <si>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</si>
  <si>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</si>
  <si>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</si>
  <si>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</si>
  <si>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</si>
  <si>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</si>
  <si>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</si>
  <si>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</si>
  <si>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</si>
  <si>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</si>
  <si>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</si>
  <si>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</si>
  <si>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</si>
  <si>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</si>
  <si>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</si>
  <si>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</si>
  <si>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</si>
  <si>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</si>
  <si>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</si>
  <si>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</si>
  <si>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</si>
  <si>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</si>
  <si>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</si>
  <si>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</si>
  <si>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</si>
  <si>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</si>
  <si>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</si>
  <si>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</si>
  <si>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</si>
  <si>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</si>
  <si>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</si>
  <si>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</si>
  <si>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</si>
  <si>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</si>
  <si>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</si>
  <si>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</si>
  <si>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</si>
  <si>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</si>
  <si>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</si>
  <si>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</si>
  <si>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</si>
  <si>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</si>
  <si>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</si>
  <si>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</si>
  <si>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</si>
  <si>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</si>
  <si>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</si>
  <si>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</si>
  <si>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</si>
  <si>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</si>
  <si>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</si>
  <si>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</si>
  <si>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</si>
  <si>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</si>
  <si>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</si>
  <si>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</si>
  <si>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</si>
  <si>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</si>
  <si>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</si>
  <si>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</si>
  <si>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</si>
  <si>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</si>
  <si>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</si>
  <si>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</si>
  <si>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</si>
  <si>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</si>
  <si>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</si>
  <si>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</si>
  <si>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</si>
  <si>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</si>
  <si>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</si>
  <si>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</si>
  <si>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</si>
  <si>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</si>
  <si>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</si>
  <si>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</si>
  <si>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</si>
  <si>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</si>
  <si>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</si>
  <si>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</si>
  <si>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</si>
  <si>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</si>
  <si>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</si>
  <si>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</si>
  <si>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</si>
  <si>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</si>
  <si>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</si>
  <si>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</si>
  <si>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</si>
  <si>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</si>
  <si>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</si>
  <si>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</si>
  <si>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</si>
  <si>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</si>
  <si>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</si>
  <si>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</si>
  <si>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</si>
  <si>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</si>
  <si>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</si>
  <si>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</si>
  <si>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</si>
  <si>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</si>
  <si>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</si>
  <si>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</si>
  <si>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</si>
  <si>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</si>
  <si>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</si>
  <si>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</si>
  <si>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</si>
  <si>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</si>
  <si>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</si>
  <si>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</si>
  <si>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</si>
  <si>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</si>
  <si>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</si>
  <si>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</si>
  <si>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</si>
  <si>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</si>
  <si>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</si>
  <si>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</si>
  <si>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</si>
  <si>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</si>
  <si>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</si>
  <si>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</si>
  <si>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</si>
  <si>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</si>
  <si>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</si>
  <si>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</si>
  <si>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</si>
  <si>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</si>
  <si>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</si>
  <si>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</si>
  <si>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</si>
  <si>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</si>
  <si>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</si>
  <si>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</si>
  <si>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</si>
  <si>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</si>
  <si>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</si>
  <si>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</si>
  <si>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</si>
  <si>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</si>
  <si>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</si>
  <si>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</si>
  <si>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</si>
  <si>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</si>
  <si>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</si>
  <si>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</si>
  <si>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</si>
  <si>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</si>
  <si>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</si>
  <si>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</si>
  <si>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</si>
  <si>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</si>
  <si>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</si>
  <si>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</si>
  <si>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</si>
  <si>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</si>
  <si>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</si>
  <si>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</si>
  <si>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</si>
  <si>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</si>
  <si>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</si>
  <si>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</si>
  <si>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</si>
  <si>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</si>
  <si>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</si>
  <si>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</si>
  <si>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</si>
  <si>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</si>
  <si>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</si>
  <si>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</si>
  <si>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</si>
  <si>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</si>
  <si>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</si>
  <si>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</si>
  <si>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</si>
  <si>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</si>
  <si>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</si>
  <si>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</si>
  <si>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</si>
  <si>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</si>
  <si>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</si>
  <si>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</si>
  <si>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</si>
  <si>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</si>
  <si>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</si>
  <si>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</si>
  <si>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</si>
  <si>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</si>
  <si>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</si>
  <si>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</si>
  <si>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</si>
  <si>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</si>
  <si>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</si>
  <si>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</si>
  <si>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</si>
  <si>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</si>
  <si>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</si>
  <si>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</si>
  <si>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</si>
  <si>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</si>
  <si>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</si>
  <si>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</si>
  <si>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</si>
  <si>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</si>
  <si>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</si>
  <si>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</si>
  <si>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</si>
  <si>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</si>
  <si>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</si>
  <si>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</si>
  <si>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</si>
  <si>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</si>
  <si>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</si>
  <si>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</si>
  <si>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</si>
  <si>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</si>
  <si>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</si>
  <si>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</si>
  <si>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</si>
  <si>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</si>
  <si>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</si>
  <si>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</si>
  <si>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</si>
  <si>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</si>
  <si>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</si>
  <si>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</si>
  <si>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</si>
  <si>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</si>
  <si>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</si>
  <si>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</si>
  <si>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</si>
  <si>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</si>
  <si>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</si>
  <si>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</si>
  <si>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</si>
  <si>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</si>
  <si>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</si>
  <si>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</si>
  <si>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</si>
  <si>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</si>
  <si>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</si>
  <si>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</si>
  <si>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</si>
  <si>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</si>
  <si>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</si>
  <si>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</si>
  <si>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</si>
  <si>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</si>
  <si>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</si>
  <si>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</si>
  <si>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</si>
  <si>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</si>
  <si>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</si>
  <si>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</si>
  <si>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</si>
  <si>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</si>
  <si>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</si>
  <si>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</si>
  <si>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</si>
  <si>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</si>
  <si>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</si>
  <si>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</si>
  <si>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</si>
  <si>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</si>
  <si>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</si>
  <si>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</si>
  <si>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</si>
  <si>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</si>
  <si>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</si>
  <si>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</si>
  <si>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</si>
  <si>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</si>
  <si>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</si>
  <si>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</si>
  <si>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</si>
  <si>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</si>
  <si>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</si>
  <si>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</si>
  <si>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</si>
  <si>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</si>
  <si>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</si>
  <si>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</si>
  <si>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</si>
  <si>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</si>
  <si>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</si>
  <si>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</si>
  <si>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</si>
  <si>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</si>
  <si>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</si>
  <si>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</si>
  <si>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</si>
  <si>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</si>
  <si>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</si>
  <si>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</si>
  <si>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</si>
  <si>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</si>
  <si>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</si>
  <si>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</si>
  <si>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</si>
  <si>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</si>
  <si>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</si>
  <si>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</si>
  <si>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</si>
  <si>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</si>
  <si>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</si>
  <si>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</si>
  <si>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</si>
  <si>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</si>
  <si>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</si>
  <si>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</si>
  <si>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</si>
  <si>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</si>
  <si>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</si>
  <si>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</si>
  <si>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</si>
  <si>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</si>
  <si>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</si>
  <si>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</si>
  <si>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</si>
  <si>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</si>
  <si>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</si>
  <si>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</si>
  <si>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</si>
  <si>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</si>
  <si>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</si>
  <si>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</si>
  <si>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</si>
  <si>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</si>
  <si>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</si>
  <si>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</si>
  <si>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</si>
  <si>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</si>
  <si>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</si>
  <si>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</si>
  <si>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</si>
  <si>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</si>
  <si>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</si>
  <si>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</si>
  <si>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</si>
  <si>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</si>
  <si>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</si>
  <si>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</si>
  <si>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</si>
  <si>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</si>
  <si>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</si>
  <si>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</si>
  <si>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</si>
  <si>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</si>
  <si>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</si>
  <si>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</si>
  <si>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</si>
  <si>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</si>
  <si>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</si>
  <si>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</si>
  <si>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</si>
  <si>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</si>
  <si>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</si>
  <si>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</si>
  <si>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</si>
  <si>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</si>
  <si>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</si>
  <si>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</si>
  <si>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</si>
  <si>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</si>
  <si>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</si>
  <si>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</si>
  <si>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</si>
  <si>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</si>
  <si>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</si>
  <si>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</si>
  <si>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</si>
  <si>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</si>
  <si>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</si>
  <si>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</si>
  <si>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</si>
  <si>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</si>
  <si>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</si>
  <si>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</si>
  <si>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</si>
  <si>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</si>
  <si>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</si>
  <si>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</si>
  <si>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</si>
  <si>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</si>
  <si>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</si>
  <si>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</si>
  <si>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</si>
  <si>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</si>
  <si>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</si>
  <si>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</si>
  <si>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</si>
  <si>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</si>
  <si>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</si>
  <si>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</si>
  <si>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</si>
  <si>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</si>
  <si>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</si>
  <si>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</si>
  <si>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</si>
  <si>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</si>
  <si>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</si>
  <si>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</si>
  <si>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</si>
  <si>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</si>
  <si>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</si>
  <si>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</si>
  <si>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</si>
  <si>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</si>
  <si>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</si>
  <si>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</si>
  <si>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</si>
  <si>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</si>
  <si>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</si>
  <si>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</si>
  <si>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</si>
  <si>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</si>
  <si>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</si>
  <si>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</si>
  <si>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</si>
  <si>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</si>
  <si>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</si>
  <si>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</si>
  <si>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</si>
  <si>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</si>
  <si>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</si>
  <si>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</si>
  <si>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</si>
  <si>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</si>
  <si>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</si>
  <si>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</si>
  <si>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</si>
  <si>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</si>
  <si>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</si>
  <si>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</si>
  <si>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</si>
  <si>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</si>
  <si>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</si>
  <si>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</si>
  <si>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</si>
  <si>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</si>
  <si>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</si>
  <si>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</si>
  <si>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</si>
  <si>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</si>
  <si>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</si>
  <si>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</si>
  <si>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</si>
  <si>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</si>
  <si>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</si>
  <si>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</si>
  <si>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</si>
  <si>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</si>
  <si>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</si>
  <si>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</si>
  <si>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</si>
  <si>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</si>
  <si>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</si>
  <si>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</si>
  <si>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</si>
  <si>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</si>
  <si>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</si>
  <si>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</si>
  <si>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</si>
  <si>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</si>
  <si>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</si>
  <si>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</si>
  <si>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</si>
  <si>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</si>
  <si>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</si>
  <si>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</si>
  <si>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</si>
  <si>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</si>
  <si>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</si>
  <si>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</si>
  <si>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</si>
  <si>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</si>
  <si>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</si>
  <si>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</si>
  <si>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</si>
  <si>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</si>
  <si>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</si>
  <si>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</si>
  <si>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</si>
  <si>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</si>
  <si>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</si>
  <si>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</si>
  <si>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</si>
  <si>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</si>
  <si>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</si>
  <si>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</si>
  <si>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</si>
  <si>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</si>
  <si>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</si>
  <si>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</si>
  <si>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</si>
  <si>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</si>
  <si>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</si>
  <si>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</si>
  <si>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</si>
  <si>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</si>
  <si>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</si>
  <si>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</si>
  <si>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</si>
  <si>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</si>
  <si>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</si>
  <si>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</si>
  <si>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</si>
  <si>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</si>
  <si>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</si>
  <si>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</si>
  <si>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</si>
  <si>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</si>
  <si>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</si>
  <si>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</si>
  <si>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</si>
  <si>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</si>
  <si>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</si>
  <si>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</si>
  <si>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</si>
  <si>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</si>
  <si>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</si>
  <si>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</si>
  <si>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</si>
  <si>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</si>
  <si>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</si>
  <si>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</si>
  <si>
    <t>Douncer Strokes</t>
  </si>
  <si>
    <t>Protein denaturants and solubilizers</t>
  </si>
  <si>
    <t>att_detergent_sol</t>
  </si>
  <si>
    <t>Urea</t>
  </si>
  <si>
    <t>Non-surfactant chaotropic agent</t>
  </si>
  <si>
    <t>mandatory|filter|dataset|sample</t>
  </si>
  <si>
    <t>filter|sample</t>
  </si>
  <si>
    <t>att_age|att_sex</t>
  </si>
  <si>
    <t>Brain Region</t>
  </si>
  <si>
    <t>Largest part of the brain; divided into two hemispheres and responsible for higher functions including thought, memory, language, and voluntary movement</t>
  </si>
  <si>
    <t>Frontal lobe</t>
  </si>
  <si>
    <t>Controls executive functions, decision-making, voluntary movement, and personality</t>
  </si>
  <si>
    <t>Prefrontal cortex</t>
  </si>
  <si>
    <t>Involved in planning, impulse control, working memory, and social behaviour</t>
  </si>
  <si>
    <t>Motor cortex</t>
  </si>
  <si>
    <t>Sends signals to muscles to control voluntary body movements</t>
  </si>
  <si>
    <t>Broca's area</t>
  </si>
  <si>
    <t>Located in the left frontal lobe; responsible for speech production and language processing</t>
  </si>
  <si>
    <t>Parietal lobe</t>
  </si>
  <si>
    <t>Processes sensory information such as touch, temperature, pain, and spatial awareness</t>
  </si>
  <si>
    <t>Somatosensory cortex</t>
  </si>
  <si>
    <t>Receives and interprets tactile and proprioceptive signals from the body</t>
  </si>
  <si>
    <t>Temporal lobe</t>
  </si>
  <si>
    <t>Processes auditory information, memory, and language comprehension</t>
  </si>
  <si>
    <t>Wernicke's area</t>
  </si>
  <si>
    <t>Located in the left temporal lobe; essential for understanding spoken and written language</t>
  </si>
  <si>
    <t>Hippocampus</t>
  </si>
  <si>
    <t>Critical for forming new memories and spatial navigation</t>
  </si>
  <si>
    <t>Amygdala</t>
  </si>
  <si>
    <t>Processes emotions, especially fear and threat responses; involved in emotional memory</t>
  </si>
  <si>
    <t>Occipital lobe</t>
  </si>
  <si>
    <t>Primary visual processing centre; interprets colour, shape, and motion</t>
  </si>
  <si>
    <t>Visual cortex</t>
  </si>
  <si>
    <t>Located in the occipital lobe; receives and processes signals from the eyes</t>
  </si>
  <si>
    <t>Coordinates movement, balance, and fine motor control; involved in motor learning</t>
  </si>
  <si>
    <t>Brain stem</t>
  </si>
  <si>
    <t>Controls vital automatic functions such as breathing, heart rate, and sleep-wake cycles</t>
  </si>
  <si>
    <t>Medulla oblongata</t>
  </si>
  <si>
    <t>Part of the brain stem; regulates breathing, blood pressure, and heart rate</t>
  </si>
  <si>
    <t>Relays signals between the cerebellum and cortex; involved in sleep and facial movement</t>
  </si>
  <si>
    <t>Involved in vision, hearing, eye movement, and relaying motor and sensory signals</t>
  </si>
  <si>
    <t>Acts as a relay station, routing sensory and motor signals to the cortex</t>
  </si>
  <si>
    <t>Regulates hunger, thirst, body temperature, hormones, and the circadian rhythm</t>
  </si>
  <si>
    <t>Basal ganglia</t>
  </si>
  <si>
    <t>Involved in movement coordination, habit formation, and reward processing</t>
  </si>
  <si>
    <t>Corpus callosum</t>
  </si>
  <si>
    <t>Bundle of nerve fibres connecting the left and right cerebral hemispheres</t>
  </si>
  <si>
    <t>Insula</t>
  </si>
  <si>
    <t>Involved in self-awareness, interoception, empathy, and pain perception</t>
  </si>
  <si>
    <t>Cingulate cortex</t>
  </si>
  <si>
    <t>Plays a role in emotion regulation, attention, and conflict monitoring</t>
  </si>
  <si>
    <t>Olfactory bulb</t>
  </si>
  <si>
    <t>Processes smell signals sent from the nose to the brain</t>
  </si>
  <si>
    <t>att_brain_region</t>
  </si>
  <si>
    <t>hippocampus</t>
  </si>
  <si>
    <t>amygdala</t>
  </si>
  <si>
    <t>insula</t>
  </si>
  <si>
    <t>frontal_lobe</t>
  </si>
  <si>
    <t>prefrontal_cortex</t>
  </si>
  <si>
    <t>motor_cortex</t>
  </si>
  <si>
    <t>brocas_area</t>
  </si>
  <si>
    <t>parietal_lobe</t>
  </si>
  <si>
    <t>somatosensory_cortex</t>
  </si>
  <si>
    <t>temporal_lobe</t>
  </si>
  <si>
    <t>wernickes_area</t>
  </si>
  <si>
    <t>occipital_lobe</t>
  </si>
  <si>
    <t>visual_cortex</t>
  </si>
  <si>
    <t>brain_stem</t>
  </si>
  <si>
    <t>medulla_oblongata</t>
  </si>
  <si>
    <t>basal_ganglia</t>
  </si>
  <si>
    <t>corpus_callosum</t>
  </si>
  <si>
    <t>cingulate_cortex</t>
  </si>
  <si>
    <t>olfactory_bulb</t>
  </si>
  <si>
    <t>att_organ:heart</t>
  </si>
  <si>
    <t>att_organ:brain</t>
  </si>
  <si>
    <t>att_organ:skmuscle</t>
  </si>
  <si>
    <t>att_brain_region|att_heart_compartment|att_muscle</t>
  </si>
  <si>
    <t>att_knockdown_technique:siRNA</t>
  </si>
  <si>
    <t>att_duration|att_concentration|att_protein|att_grna|att_si_rna</t>
  </si>
  <si>
    <t>att_sirna_sequence</t>
  </si>
  <si>
    <t>nl</t>
  </si>
  <si>
    <t>ml</t>
  </si>
  <si>
    <t>milliliter</t>
  </si>
  <si>
    <t>neaa</t>
  </si>
  <si>
    <t>NEAA</t>
  </si>
  <si>
    <t>Non essential amino acid mix (Alanine, Arginine, Asparagine, Aspartic Acid, Cysteine, Glutamic Acid, Glutamine, Glycine, Proline, Serine, and Tyrosine)</t>
  </si>
  <si>
    <t>Control (no supplementation, or H2O)</t>
  </si>
  <si>
    <t>att_lysis_method:chemical</t>
  </si>
  <si>
    <t>Control condition for an irradiance experiment.</t>
  </si>
  <si>
    <t>Ctrl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</si>
</sst>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4">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1"/>
  <sheetViews>
    <sheetView zoomScale="125" zoomScaleNormal="170" workbookViewId="0">
      <pane ySplit="1" topLeftCell="A49" activePane="bottomLeft" state="frozen"/>
      <selection pane="bottomLeft" activeCell="A79" sqref="A79"/>
    </sheetView>
  </sheetViews>
  <sheetFormatPr baseColWidth="10" defaultColWidth="10.6640625" defaultRowHeight="13"/>
  <cols>
    <col min="1" max="1" width="24.6640625" customWidth="1"/>
    <col min="2" max="2" width="88"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4000</v>
      </c>
      <c r="C1" s="37" t="s">
        <v>3891</v>
      </c>
      <c r="D1" s="37" t="s">
        <v>1</v>
      </c>
      <c r="E1" s="37" t="s">
        <v>4049</v>
      </c>
      <c r="F1" s="37" t="s">
        <v>2</v>
      </c>
      <c r="G1" s="37" t="s">
        <v>4043</v>
      </c>
      <c r="H1" s="38" t="s">
        <v>3</v>
      </c>
      <c r="I1" s="37" t="s">
        <v>4</v>
      </c>
      <c r="J1" s="37" t="s">
        <v>5</v>
      </c>
      <c r="K1" s="37" t="s">
        <v>4042</v>
      </c>
      <c r="L1" s="37" t="s">
        <v>6</v>
      </c>
      <c r="M1" s="38" t="s">
        <v>7</v>
      </c>
      <c r="N1" s="38" t="s">
        <v>8</v>
      </c>
      <c r="O1" s="38" t="s">
        <v>9</v>
      </c>
      <c r="P1" s="38" t="s">
        <v>10</v>
      </c>
      <c r="Q1" s="38" t="s">
        <v>11</v>
      </c>
      <c r="R1" s="38" t="s">
        <v>3780</v>
      </c>
      <c r="S1" s="37" t="s">
        <v>2468</v>
      </c>
      <c r="T1" s="37" t="s">
        <v>4052</v>
      </c>
      <c r="ALR1" s="3"/>
      <c r="ALS1" s="3"/>
      <c r="ALT1" s="3"/>
      <c r="ALU1" s="3"/>
      <c r="ALV1"/>
      <c r="ALW1"/>
      <c r="ALX1"/>
    </row>
    <row r="2" spans="1:1012" ht="14">
      <c r="A2" s="36" t="s">
        <v>18</v>
      </c>
      <c r="B2" s="36"/>
      <c r="C2" s="36" t="s">
        <v>4452</v>
      </c>
      <c r="D2" s="35" t="s">
        <v>20</v>
      </c>
      <c r="E2" s="35"/>
      <c r="F2" s="35">
        <v>680</v>
      </c>
      <c r="G2" s="35" t="b">
        <v>0</v>
      </c>
      <c r="H2" s="39" t="s">
        <v>15</v>
      </c>
      <c r="I2" s="35" t="s">
        <v>21</v>
      </c>
      <c r="J2" s="35">
        <v>2</v>
      </c>
      <c r="K2" s="35" t="s">
        <v>4208</v>
      </c>
      <c r="L2" s="35" t="s">
        <v>2378</v>
      </c>
      <c r="M2" s="35" t="s">
        <v>4072</v>
      </c>
      <c r="N2" s="35" t="s">
        <v>4200</v>
      </c>
      <c r="O2" s="35" t="s">
        <v>4200</v>
      </c>
      <c r="P2" s="35" t="s">
        <v>4207</v>
      </c>
      <c r="Q2" s="35" t="s">
        <v>2449</v>
      </c>
      <c r="R2" s="35" t="s">
        <v>4159</v>
      </c>
      <c r="S2" s="35"/>
      <c r="T2" s="35"/>
    </row>
    <row r="3" spans="1:1012" ht="14">
      <c r="A3" s="36" t="s">
        <v>23</v>
      </c>
      <c r="B3" s="36"/>
      <c r="C3" s="36" t="s">
        <v>4417</v>
      </c>
      <c r="D3" s="35" t="s">
        <v>70</v>
      </c>
      <c r="E3" s="35"/>
      <c r="F3" s="35">
        <v>500</v>
      </c>
      <c r="G3" s="35" t="b">
        <v>0</v>
      </c>
      <c r="H3" s="39" t="s">
        <v>15</v>
      </c>
      <c r="I3" s="35" t="s">
        <v>25</v>
      </c>
      <c r="J3" s="35">
        <v>1</v>
      </c>
      <c r="K3" s="35" t="s">
        <v>4205</v>
      </c>
      <c r="L3" s="35" t="s">
        <v>2378</v>
      </c>
      <c r="M3" s="35" t="s">
        <v>4072</v>
      </c>
      <c r="N3" s="35" t="s">
        <v>4200</v>
      </c>
      <c r="O3" s="35" t="s">
        <v>4200</v>
      </c>
      <c r="P3" s="35" t="s">
        <v>4200</v>
      </c>
      <c r="Q3" s="35" t="s">
        <v>2449</v>
      </c>
      <c r="R3" s="35" t="s">
        <v>4200</v>
      </c>
      <c r="S3" s="35"/>
      <c r="T3" s="35"/>
    </row>
    <row r="4" spans="1:1012" ht="14">
      <c r="A4" s="35" t="s">
        <v>77</v>
      </c>
      <c r="B4" s="35"/>
      <c r="C4" s="35" t="s">
        <v>4505</v>
      </c>
      <c r="D4" s="35" t="s">
        <v>78</v>
      </c>
      <c r="E4" s="35"/>
      <c r="F4" s="35">
        <v>500</v>
      </c>
      <c r="G4" s="35" t="b">
        <v>0</v>
      </c>
      <c r="H4" s="39" t="s">
        <v>15</v>
      </c>
      <c r="I4" s="35" t="s">
        <v>79</v>
      </c>
      <c r="J4" s="35">
        <v>0</v>
      </c>
      <c r="K4" s="35" t="s">
        <v>4205</v>
      </c>
      <c r="L4" s="35" t="s">
        <v>2378</v>
      </c>
      <c r="M4" s="35" t="s">
        <v>4072</v>
      </c>
      <c r="N4" s="35" t="s">
        <v>4200</v>
      </c>
      <c r="O4" s="35" t="s">
        <v>4200</v>
      </c>
      <c r="P4" s="35" t="s">
        <v>4200</v>
      </c>
      <c r="Q4" s="35" t="s">
        <v>2449</v>
      </c>
      <c r="R4" s="35" t="s">
        <v>4200</v>
      </c>
      <c r="S4" s="35"/>
      <c r="T4" s="35"/>
    </row>
    <row r="5" spans="1:1012" ht="14">
      <c r="A5" s="35" t="s">
        <v>34</v>
      </c>
      <c r="B5" s="35"/>
      <c r="C5" s="35" t="s">
        <v>3893</v>
      </c>
      <c r="D5" s="35" t="s">
        <v>118</v>
      </c>
      <c r="E5" s="35"/>
      <c r="F5" s="35">
        <v>500</v>
      </c>
      <c r="G5" s="35" t="b">
        <v>0</v>
      </c>
      <c r="H5" s="39" t="s">
        <v>15</v>
      </c>
      <c r="I5" s="35" t="s">
        <v>21</v>
      </c>
      <c r="J5" s="35">
        <v>2</v>
      </c>
      <c r="K5" s="35" t="s">
        <v>4208</v>
      </c>
      <c r="L5" s="35" t="s">
        <v>2378</v>
      </c>
      <c r="M5" s="35" t="s">
        <v>4072</v>
      </c>
      <c r="N5" s="35" t="s">
        <v>4200</v>
      </c>
      <c r="O5" s="35" t="s">
        <v>4200</v>
      </c>
      <c r="P5" s="35" t="s">
        <v>4207</v>
      </c>
      <c r="Q5" s="35" t="s">
        <v>2449</v>
      </c>
      <c r="R5" s="35" t="s">
        <v>4159</v>
      </c>
      <c r="S5" s="35"/>
      <c r="T5" s="35"/>
    </row>
    <row r="6" spans="1:1012" s="17" customFormat="1" ht="14">
      <c r="A6" s="35" t="s">
        <v>4023</v>
      </c>
      <c r="B6" s="35"/>
      <c r="C6" s="35" t="s">
        <v>3143</v>
      </c>
      <c r="D6" s="35" t="s">
        <v>2672</v>
      </c>
      <c r="E6" s="35"/>
      <c r="F6" s="35">
        <v>500</v>
      </c>
      <c r="G6" s="35" t="b">
        <v>0</v>
      </c>
      <c r="H6" s="39" t="s">
        <v>15</v>
      </c>
      <c r="I6" s="35" t="s">
        <v>46</v>
      </c>
      <c r="J6" s="35">
        <v>2</v>
      </c>
      <c r="K6" s="35" t="s">
        <v>4211</v>
      </c>
      <c r="L6" s="35" t="s">
        <v>2378</v>
      </c>
      <c r="M6" s="35" t="s">
        <v>4072</v>
      </c>
      <c r="N6" s="35" t="s">
        <v>4200</v>
      </c>
      <c r="O6" s="35" t="s">
        <v>4200</v>
      </c>
      <c r="P6" s="35" t="s">
        <v>4207</v>
      </c>
      <c r="Q6" s="35" t="s">
        <v>2449</v>
      </c>
      <c r="R6" s="35" t="s">
        <v>4159</v>
      </c>
      <c r="S6" s="35" t="s">
        <v>2468</v>
      </c>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5" t="s">
        <v>4022</v>
      </c>
      <c r="B7" s="35"/>
      <c r="C7" s="35" t="s">
        <v>4023</v>
      </c>
      <c r="D7" s="35" t="s">
        <v>2671</v>
      </c>
      <c r="E7" s="35"/>
      <c r="F7" s="35">
        <v>600</v>
      </c>
      <c r="G7" s="35" t="b">
        <v>0</v>
      </c>
      <c r="H7" s="39" t="s">
        <v>15</v>
      </c>
      <c r="I7" s="35" t="s">
        <v>46</v>
      </c>
      <c r="J7" s="35">
        <v>2</v>
      </c>
      <c r="K7" s="35" t="s">
        <v>4210</v>
      </c>
      <c r="L7" s="35" t="s">
        <v>2378</v>
      </c>
      <c r="M7" s="35" t="s">
        <v>4072</v>
      </c>
      <c r="N7" s="35" t="s">
        <v>4200</v>
      </c>
      <c r="O7" s="35" t="s">
        <v>4200</v>
      </c>
      <c r="P7" s="35" t="s">
        <v>4207</v>
      </c>
      <c r="Q7" s="35" t="s">
        <v>2449</v>
      </c>
      <c r="R7" s="35" t="s">
        <v>4159</v>
      </c>
      <c r="S7" s="35"/>
      <c r="T7" s="35" t="s">
        <v>4052</v>
      </c>
    </row>
    <row r="8" spans="1:1012" ht="14">
      <c r="A8" s="35" t="s">
        <v>19</v>
      </c>
      <c r="B8" s="35"/>
      <c r="C8" s="35" t="s">
        <v>4423</v>
      </c>
      <c r="D8" s="35" t="s">
        <v>119</v>
      </c>
      <c r="E8" s="35"/>
      <c r="F8" s="35">
        <v>710</v>
      </c>
      <c r="G8" s="35" t="b">
        <v>0</v>
      </c>
      <c r="H8" s="39" t="s">
        <v>15</v>
      </c>
      <c r="I8" s="35" t="s">
        <v>21</v>
      </c>
      <c r="J8" s="35">
        <v>2</v>
      </c>
      <c r="K8" s="35" t="s">
        <v>4211</v>
      </c>
      <c r="L8" s="35" t="s">
        <v>2378</v>
      </c>
      <c r="M8" s="35" t="s">
        <v>4072</v>
      </c>
      <c r="N8" s="35" t="s">
        <v>4200</v>
      </c>
      <c r="O8" s="35" t="s">
        <v>4200</v>
      </c>
      <c r="P8" s="35" t="s">
        <v>4207</v>
      </c>
      <c r="Q8" s="35" t="s">
        <v>2449</v>
      </c>
      <c r="R8" s="35" t="s">
        <v>4159</v>
      </c>
      <c r="S8" s="35" t="s">
        <v>2468</v>
      </c>
      <c r="T8" s="35"/>
    </row>
    <row r="9" spans="1:1012" ht="14">
      <c r="A9" s="35" t="s">
        <v>3779</v>
      </c>
      <c r="B9" s="35"/>
      <c r="C9" s="35" t="s">
        <v>19</v>
      </c>
      <c r="D9" s="35" t="s">
        <v>116</v>
      </c>
      <c r="E9" s="35"/>
      <c r="F9" s="35">
        <v>720</v>
      </c>
      <c r="G9" s="35" t="b">
        <v>0</v>
      </c>
      <c r="H9" s="39" t="s">
        <v>15</v>
      </c>
      <c r="I9" s="35" t="s">
        <v>21</v>
      </c>
      <c r="J9" s="35">
        <v>2</v>
      </c>
      <c r="K9" s="35" t="s">
        <v>4210</v>
      </c>
      <c r="L9" s="35" t="s">
        <v>2378</v>
      </c>
      <c r="M9" s="35" t="s">
        <v>4072</v>
      </c>
      <c r="N9" s="35" t="s">
        <v>4200</v>
      </c>
      <c r="O9" s="35" t="s">
        <v>4200</v>
      </c>
      <c r="P9" s="35" t="s">
        <v>4207</v>
      </c>
      <c r="Q9" s="35" t="s">
        <v>2449</v>
      </c>
      <c r="R9" s="35" t="s">
        <v>4159</v>
      </c>
      <c r="S9" s="35"/>
      <c r="T9" s="35" t="s">
        <v>4052</v>
      </c>
    </row>
    <row r="10" spans="1:1012" ht="14">
      <c r="A10" s="35" t="s">
        <v>136</v>
      </c>
      <c r="B10" s="35"/>
      <c r="C10" s="35"/>
      <c r="D10" s="35" t="s">
        <v>137</v>
      </c>
      <c r="E10" s="35"/>
      <c r="F10" s="35">
        <v>500</v>
      </c>
      <c r="G10" s="35" t="b">
        <v>0</v>
      </c>
      <c r="H10" s="39" t="s">
        <v>15</v>
      </c>
      <c r="I10" s="35" t="s">
        <v>79</v>
      </c>
      <c r="J10" s="35">
        <v>0</v>
      </c>
      <c r="K10" s="35" t="s">
        <v>4205</v>
      </c>
      <c r="L10" s="35" t="s">
        <v>2378</v>
      </c>
      <c r="M10" s="35" t="s">
        <v>4072</v>
      </c>
      <c r="N10" s="35" t="s">
        <v>4200</v>
      </c>
      <c r="O10" s="35" t="s">
        <v>4200</v>
      </c>
      <c r="P10" s="35" t="s">
        <v>4200</v>
      </c>
      <c r="Q10" s="35" t="s">
        <v>2449</v>
      </c>
      <c r="R10" s="35" t="s">
        <v>4200</v>
      </c>
      <c r="S10" s="35"/>
      <c r="T10" s="35"/>
    </row>
    <row r="11" spans="1:1012" ht="14">
      <c r="A11" s="36" t="s">
        <v>143</v>
      </c>
      <c r="B11" s="36"/>
      <c r="C11" s="36"/>
      <c r="D11" s="36" t="s">
        <v>144</v>
      </c>
      <c r="E11" s="36"/>
      <c r="F11" s="35">
        <v>500</v>
      </c>
      <c r="G11" s="35" t="b">
        <v>0</v>
      </c>
      <c r="H11" s="39" t="s">
        <v>15</v>
      </c>
      <c r="I11" s="35" t="s">
        <v>25</v>
      </c>
      <c r="J11" s="35">
        <v>1</v>
      </c>
      <c r="K11" s="35" t="s">
        <v>4205</v>
      </c>
      <c r="L11" s="35" t="s">
        <v>2378</v>
      </c>
      <c r="M11" s="35" t="s">
        <v>4072</v>
      </c>
      <c r="N11" s="35" t="s">
        <v>4200</v>
      </c>
      <c r="O11" s="35" t="s">
        <v>4200</v>
      </c>
      <c r="P11" s="35" t="s">
        <v>4200</v>
      </c>
      <c r="Q11" s="35" t="s">
        <v>2449</v>
      </c>
      <c r="R11" s="35" t="s">
        <v>4200</v>
      </c>
      <c r="S11" s="35"/>
      <c r="T11" s="35"/>
    </row>
    <row r="12" spans="1:1012" ht="14">
      <c r="A12" s="36" t="s">
        <v>3038</v>
      </c>
      <c r="B12" s="36"/>
      <c r="C12" s="36"/>
      <c r="D12" s="35" t="s">
        <v>3037</v>
      </c>
      <c r="E12" s="35"/>
      <c r="F12" s="35">
        <v>500</v>
      </c>
      <c r="G12" s="35" t="b">
        <v>0</v>
      </c>
      <c r="H12" s="39" t="s">
        <v>15</v>
      </c>
      <c r="I12" s="35" t="s">
        <v>37</v>
      </c>
      <c r="J12" s="35">
        <v>0</v>
      </c>
      <c r="K12" s="35" t="s">
        <v>4205</v>
      </c>
      <c r="L12" s="35" t="s">
        <v>2378</v>
      </c>
      <c r="M12" s="35" t="s">
        <v>4072</v>
      </c>
      <c r="N12" s="35" t="s">
        <v>4200</v>
      </c>
      <c r="O12" s="35" t="s">
        <v>4200</v>
      </c>
      <c r="P12" s="35" t="s">
        <v>4200</v>
      </c>
      <c r="Q12" s="35" t="s">
        <v>2449</v>
      </c>
      <c r="R12" s="35" t="s">
        <v>4200</v>
      </c>
      <c r="S12" s="35"/>
      <c r="T12" s="35"/>
    </row>
    <row r="13" spans="1:1012" s="17" customFormat="1" ht="14">
      <c r="A13" s="36" t="s">
        <v>148</v>
      </c>
      <c r="B13" s="36"/>
      <c r="C13" s="36"/>
      <c r="D13" s="35" t="s">
        <v>150</v>
      </c>
      <c r="E13" s="35"/>
      <c r="F13" s="35">
        <v>500</v>
      </c>
      <c r="G13" s="35" t="b">
        <v>0</v>
      </c>
      <c r="H13" s="39" t="s">
        <v>15</v>
      </c>
      <c r="I13" s="35" t="s">
        <v>29</v>
      </c>
      <c r="J13" s="35">
        <v>3</v>
      </c>
      <c r="K13" s="35" t="s">
        <v>4205</v>
      </c>
      <c r="L13" s="35" t="s">
        <v>2378</v>
      </c>
      <c r="M13" s="35" t="s">
        <v>4072</v>
      </c>
      <c r="N13" s="35" t="s">
        <v>4200</v>
      </c>
      <c r="O13" s="35" t="s">
        <v>4200</v>
      </c>
      <c r="P13" s="35" t="s">
        <v>4200</v>
      </c>
      <c r="Q13" s="35" t="s">
        <v>2449</v>
      </c>
      <c r="R13" s="35" t="s">
        <v>4200</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36" t="s">
        <v>149</v>
      </c>
      <c r="B14" s="36"/>
      <c r="C14" s="35" t="s">
        <v>4342</v>
      </c>
      <c r="D14" s="35" t="s">
        <v>151</v>
      </c>
      <c r="E14" s="35"/>
      <c r="F14" s="35">
        <v>500</v>
      </c>
      <c r="G14" s="35" t="b">
        <v>0</v>
      </c>
      <c r="H14" s="39" t="s">
        <v>15</v>
      </c>
      <c r="I14" s="35" t="s">
        <v>29</v>
      </c>
      <c r="J14" s="35">
        <v>3</v>
      </c>
      <c r="K14" s="35" t="s">
        <v>4205</v>
      </c>
      <c r="L14" s="35" t="s">
        <v>2378</v>
      </c>
      <c r="M14" s="35" t="s">
        <v>4072</v>
      </c>
      <c r="N14" s="35" t="s">
        <v>4200</v>
      </c>
      <c r="O14" s="35" t="s">
        <v>4200</v>
      </c>
      <c r="P14" s="35" t="s">
        <v>4200</v>
      </c>
      <c r="Q14" s="35" t="s">
        <v>2449</v>
      </c>
      <c r="R14" s="35" t="s">
        <v>4200</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27</v>
      </c>
      <c r="B15" s="35"/>
      <c r="C15" s="35" t="s">
        <v>3997</v>
      </c>
      <c r="D15" s="35" t="s">
        <v>156</v>
      </c>
      <c r="E15" s="35"/>
      <c r="F15" s="35">
        <v>500</v>
      </c>
      <c r="G15" s="35" t="b">
        <v>0</v>
      </c>
      <c r="H15" s="39" t="s">
        <v>15</v>
      </c>
      <c r="I15" s="35" t="s">
        <v>29</v>
      </c>
      <c r="J15" s="35">
        <v>3</v>
      </c>
      <c r="K15" s="35" t="s">
        <v>4205</v>
      </c>
      <c r="L15" s="35" t="s">
        <v>2378</v>
      </c>
      <c r="M15" s="35" t="s">
        <v>4072</v>
      </c>
      <c r="N15" s="35" t="s">
        <v>4200</v>
      </c>
      <c r="O15" s="35" t="s">
        <v>4200</v>
      </c>
      <c r="P15" s="35" t="s">
        <v>4200</v>
      </c>
      <c r="Q15" s="35" t="s">
        <v>2449</v>
      </c>
      <c r="R15" s="35" t="s">
        <v>4200</v>
      </c>
      <c r="S15" s="35"/>
      <c r="T15" s="35"/>
    </row>
    <row r="16" spans="1:1012" ht="14">
      <c r="A16" s="35" t="s">
        <v>4005</v>
      </c>
      <c r="B16" s="35"/>
      <c r="C16" s="35"/>
      <c r="D16" s="36" t="s">
        <v>4016</v>
      </c>
      <c r="E16" s="36" t="s">
        <v>4048</v>
      </c>
      <c r="F16" s="35">
        <v>500</v>
      </c>
      <c r="G16" s="35" t="b">
        <v>1</v>
      </c>
      <c r="H16" s="39" t="s">
        <v>15</v>
      </c>
      <c r="I16" s="35" t="s">
        <v>3042</v>
      </c>
      <c r="J16" s="35">
        <v>2</v>
      </c>
      <c r="K16" s="35" t="s">
        <v>4202</v>
      </c>
      <c r="L16" s="35" t="s">
        <v>4200</v>
      </c>
      <c r="M16" s="35" t="s">
        <v>4072</v>
      </c>
      <c r="N16" s="35" t="s">
        <v>4200</v>
      </c>
      <c r="O16" s="35" t="s">
        <v>4200</v>
      </c>
      <c r="P16" s="35" t="s">
        <v>4200</v>
      </c>
      <c r="Q16" s="35" t="s">
        <v>2449</v>
      </c>
      <c r="R16" s="35" t="s">
        <v>4159</v>
      </c>
      <c r="S16" s="35"/>
      <c r="T16" s="35"/>
    </row>
    <row r="17" spans="1:1012" ht="14">
      <c r="A17" s="26" t="s">
        <v>3998</v>
      </c>
      <c r="B17" s="26"/>
      <c r="C17" s="35"/>
      <c r="D17" s="36" t="s">
        <v>3982</v>
      </c>
      <c r="E17" s="36"/>
      <c r="F17" s="35">
        <v>500</v>
      </c>
      <c r="G17" s="35" t="b">
        <v>1</v>
      </c>
      <c r="H17" s="39" t="s">
        <v>15</v>
      </c>
      <c r="I17" s="35" t="s">
        <v>3042</v>
      </c>
      <c r="J17" s="35">
        <v>2</v>
      </c>
      <c r="K17" s="35" t="s">
        <v>4202</v>
      </c>
      <c r="L17" s="35" t="s">
        <v>4200</v>
      </c>
      <c r="M17" s="35" t="s">
        <v>4072</v>
      </c>
      <c r="N17" s="35" t="s">
        <v>4200</v>
      </c>
      <c r="O17" s="35" t="s">
        <v>4200</v>
      </c>
      <c r="P17" s="35" t="s">
        <v>4200</v>
      </c>
      <c r="Q17" s="35" t="s">
        <v>2449</v>
      </c>
      <c r="R17" s="35" t="s">
        <v>4159</v>
      </c>
      <c r="S17" s="35"/>
      <c r="T17" s="35"/>
    </row>
    <row r="18" spans="1:1012" ht="14">
      <c r="A18" s="35" t="s">
        <v>3075</v>
      </c>
      <c r="B18" s="35"/>
      <c r="C18" s="35"/>
      <c r="D18" s="35" t="s">
        <v>3137</v>
      </c>
      <c r="E18" s="35"/>
      <c r="F18" s="35">
        <v>500</v>
      </c>
      <c r="G18" s="35" t="b">
        <v>0</v>
      </c>
      <c r="H18" s="39" t="s">
        <v>15</v>
      </c>
      <c r="I18" s="35" t="s">
        <v>37</v>
      </c>
      <c r="J18" s="35">
        <v>0</v>
      </c>
      <c r="K18" s="35" t="s">
        <v>4202</v>
      </c>
      <c r="L18" s="35" t="s">
        <v>4200</v>
      </c>
      <c r="M18" s="35" t="s">
        <v>4072</v>
      </c>
      <c r="N18" s="35" t="s">
        <v>4200</v>
      </c>
      <c r="O18" s="35" t="s">
        <v>4200</v>
      </c>
      <c r="P18" s="35" t="s">
        <v>4200</v>
      </c>
      <c r="Q18" s="35" t="s">
        <v>2449</v>
      </c>
      <c r="R18" s="35" t="s">
        <v>4159</v>
      </c>
      <c r="S18" s="35"/>
      <c r="T18" s="35"/>
    </row>
    <row r="19" spans="1:1012" ht="14">
      <c r="A19" s="36" t="s">
        <v>12</v>
      </c>
      <c r="B19" s="36"/>
      <c r="C19" s="36" t="s">
        <v>3991</v>
      </c>
      <c r="D19" s="35" t="s">
        <v>14</v>
      </c>
      <c r="E19" s="35"/>
      <c r="F19" s="35">
        <v>500</v>
      </c>
      <c r="G19" s="35" t="b">
        <v>0</v>
      </c>
      <c r="H19" s="39" t="s">
        <v>15</v>
      </c>
      <c r="I19" s="35" t="s">
        <v>16</v>
      </c>
      <c r="J19" s="35">
        <v>0</v>
      </c>
      <c r="K19" s="35" t="s">
        <v>4202</v>
      </c>
      <c r="L19" s="35" t="s">
        <v>4200</v>
      </c>
      <c r="M19" s="35" t="s">
        <v>4072</v>
      </c>
      <c r="N19" s="35" t="s">
        <v>4200</v>
      </c>
      <c r="O19" s="35" t="s">
        <v>4200</v>
      </c>
      <c r="P19" s="35" t="s">
        <v>4200</v>
      </c>
      <c r="Q19" s="35" t="s">
        <v>2449</v>
      </c>
      <c r="R19" s="35" t="s">
        <v>4200</v>
      </c>
      <c r="S19" s="35"/>
      <c r="T19" s="35"/>
    </row>
    <row r="20" spans="1:1012" ht="14">
      <c r="A20" s="36" t="s">
        <v>190</v>
      </c>
      <c r="B20" s="36"/>
      <c r="C20" s="36"/>
      <c r="D20" s="35" t="s">
        <v>3066</v>
      </c>
      <c r="E20" s="35"/>
      <c r="F20" s="35">
        <v>500</v>
      </c>
      <c r="G20" s="35" t="b">
        <v>0</v>
      </c>
      <c r="H20" s="39" t="s">
        <v>15</v>
      </c>
      <c r="I20" s="35" t="s">
        <v>16</v>
      </c>
      <c r="J20" s="35">
        <v>0</v>
      </c>
      <c r="K20" s="35" t="s">
        <v>4203</v>
      </c>
      <c r="L20" s="35" t="s">
        <v>4200</v>
      </c>
      <c r="M20" s="35" t="s">
        <v>4072</v>
      </c>
      <c r="N20" s="35" t="s">
        <v>4200</v>
      </c>
      <c r="O20" s="35" t="s">
        <v>4200</v>
      </c>
      <c r="P20" s="35" t="s">
        <v>4200</v>
      </c>
      <c r="Q20" s="35" t="s">
        <v>2449</v>
      </c>
      <c r="R20" s="35" t="s">
        <v>4200</v>
      </c>
      <c r="S20" s="35"/>
      <c r="T20" s="35"/>
    </row>
    <row r="21" spans="1:1012" ht="49" customHeight="1">
      <c r="A21" s="26" t="s">
        <v>3996</v>
      </c>
      <c r="B21" s="26"/>
      <c r="C21" s="35"/>
      <c r="D21" s="36" t="s">
        <v>1709</v>
      </c>
      <c r="E21" s="36"/>
      <c r="F21" s="35">
        <v>500</v>
      </c>
      <c r="G21" s="35" t="b">
        <v>0</v>
      </c>
      <c r="H21" s="39" t="s">
        <v>15</v>
      </c>
      <c r="I21" s="35" t="s">
        <v>3042</v>
      </c>
      <c r="J21" s="35">
        <v>2</v>
      </c>
      <c r="K21" s="35" t="s">
        <v>4202</v>
      </c>
      <c r="L21" s="35" t="s">
        <v>4200</v>
      </c>
      <c r="M21" s="35" t="s">
        <v>4072</v>
      </c>
      <c r="N21" s="35" t="s">
        <v>4200</v>
      </c>
      <c r="O21" s="35" t="s">
        <v>4200</v>
      </c>
      <c r="P21" s="35" t="s">
        <v>4200</v>
      </c>
      <c r="Q21" s="35" t="s">
        <v>2449</v>
      </c>
      <c r="R21" s="35" t="s">
        <v>4159</v>
      </c>
      <c r="S21" s="35"/>
      <c r="T21" s="35"/>
    </row>
    <row r="22" spans="1:1012" ht="14">
      <c r="A22" s="35" t="s">
        <v>30</v>
      </c>
      <c r="B22" s="35"/>
      <c r="C22" s="35"/>
      <c r="D22" s="35" t="s">
        <v>31</v>
      </c>
      <c r="E22" s="35"/>
      <c r="F22" s="35">
        <v>500</v>
      </c>
      <c r="G22" s="35" t="b">
        <v>1</v>
      </c>
      <c r="H22" s="39" t="s">
        <v>15</v>
      </c>
      <c r="I22" s="35" t="s">
        <v>32</v>
      </c>
      <c r="J22" s="35">
        <v>0</v>
      </c>
      <c r="K22" s="35" t="s">
        <v>4204</v>
      </c>
      <c r="L22" s="35" t="s">
        <v>4200</v>
      </c>
      <c r="M22" s="35" t="s">
        <v>4200</v>
      </c>
      <c r="N22" s="35" t="s">
        <v>4200</v>
      </c>
      <c r="O22" s="35" t="s">
        <v>4200</v>
      </c>
      <c r="P22" s="35" t="s">
        <v>4200</v>
      </c>
      <c r="Q22" s="35" t="s">
        <v>2449</v>
      </c>
      <c r="R22" s="35" t="s">
        <v>4159</v>
      </c>
      <c r="S22" s="35"/>
      <c r="T22" s="35"/>
    </row>
    <row r="23" spans="1:1012" ht="14">
      <c r="A23" s="35" t="s">
        <v>4349</v>
      </c>
      <c r="B23" s="35"/>
      <c r="C23" s="35" t="s">
        <v>30</v>
      </c>
      <c r="D23" s="35" t="s">
        <v>4350</v>
      </c>
      <c r="E23" s="35"/>
      <c r="F23" s="35">
        <v>500</v>
      </c>
      <c r="G23" s="35" t="b">
        <v>0</v>
      </c>
      <c r="H23" s="39" t="s">
        <v>15</v>
      </c>
      <c r="I23" s="35" t="s">
        <v>37</v>
      </c>
      <c r="J23" s="35">
        <v>0</v>
      </c>
      <c r="K23" s="35" t="s">
        <v>4204</v>
      </c>
      <c r="L23" s="35" t="s">
        <v>4200</v>
      </c>
      <c r="M23" s="35"/>
      <c r="N23" s="35" t="s">
        <v>4200</v>
      </c>
      <c r="O23" s="35" t="s">
        <v>4200</v>
      </c>
      <c r="P23" s="35" t="s">
        <v>4200</v>
      </c>
      <c r="Q23" s="35" t="s">
        <v>2449</v>
      </c>
      <c r="R23" s="35" t="s">
        <v>4159</v>
      </c>
      <c r="S23" s="35"/>
      <c r="T23" s="35"/>
    </row>
    <row r="24" spans="1:1012" ht="14">
      <c r="A24" s="35" t="s">
        <v>35</v>
      </c>
      <c r="B24" s="35"/>
      <c r="C24" s="35"/>
      <c r="D24" s="35" t="s">
        <v>36</v>
      </c>
      <c r="E24" s="35"/>
      <c r="F24" s="35">
        <v>500</v>
      </c>
      <c r="G24" s="35" t="b">
        <v>0</v>
      </c>
      <c r="H24" s="39" t="s">
        <v>15</v>
      </c>
      <c r="I24" s="35" t="s">
        <v>37</v>
      </c>
      <c r="J24" s="35">
        <v>0</v>
      </c>
      <c r="K24" s="35" t="s">
        <v>4203</v>
      </c>
      <c r="L24" s="35" t="s">
        <v>4200</v>
      </c>
      <c r="M24" s="35" t="s">
        <v>4072</v>
      </c>
      <c r="N24" s="35" t="s">
        <v>4200</v>
      </c>
      <c r="O24" s="35" t="s">
        <v>4200</v>
      </c>
      <c r="P24" s="35" t="s">
        <v>4200</v>
      </c>
      <c r="Q24" s="35" t="s">
        <v>2449</v>
      </c>
      <c r="R24" s="35" t="s">
        <v>4200</v>
      </c>
      <c r="S24" s="35"/>
      <c r="T24" s="35"/>
    </row>
    <row r="25" spans="1:1012" ht="14">
      <c r="A25" s="35" t="s">
        <v>3069</v>
      </c>
      <c r="B25" s="35"/>
      <c r="C25" s="35"/>
      <c r="D25" s="35" t="s">
        <v>3074</v>
      </c>
      <c r="E25" s="35"/>
      <c r="F25" s="35">
        <v>500</v>
      </c>
      <c r="G25" s="35" t="b">
        <v>0</v>
      </c>
      <c r="H25" s="39" t="s">
        <v>15</v>
      </c>
      <c r="I25" s="35" t="s">
        <v>37</v>
      </c>
      <c r="J25" s="35">
        <v>0</v>
      </c>
      <c r="K25" s="35" t="s">
        <v>4202</v>
      </c>
      <c r="L25" s="35" t="s">
        <v>4200</v>
      </c>
      <c r="M25" s="35" t="s">
        <v>4072</v>
      </c>
      <c r="N25" s="35" t="s">
        <v>4200</v>
      </c>
      <c r="O25" s="35" t="s">
        <v>4200</v>
      </c>
      <c r="P25" s="35" t="s">
        <v>4200</v>
      </c>
      <c r="Q25" s="35" t="s">
        <v>2449</v>
      </c>
      <c r="R25" s="35" t="s">
        <v>4159</v>
      </c>
      <c r="S25" s="35"/>
      <c r="T25" s="35"/>
    </row>
    <row r="26" spans="1:1012" ht="14">
      <c r="A26" s="45" t="s">
        <v>4391</v>
      </c>
      <c r="C26" t="s">
        <v>3991</v>
      </c>
      <c r="D26" s="35" t="s">
        <v>4392</v>
      </c>
      <c r="F26" s="35">
        <v>500</v>
      </c>
      <c r="G26" s="35" t="b">
        <v>0</v>
      </c>
      <c r="H26" s="39" t="s">
        <v>15</v>
      </c>
      <c r="I26" s="35" t="s">
        <v>37</v>
      </c>
      <c r="J26" s="35">
        <v>0</v>
      </c>
      <c r="K26" s="35" t="s">
        <v>4204</v>
      </c>
      <c r="L26" s="35" t="s">
        <v>4200</v>
      </c>
      <c r="M26" s="35"/>
      <c r="N26" s="35" t="s">
        <v>4200</v>
      </c>
      <c r="O26" s="35" t="s">
        <v>4200</v>
      </c>
      <c r="P26" s="35" t="s">
        <v>4200</v>
      </c>
      <c r="Q26" s="35" t="s">
        <v>2449</v>
      </c>
      <c r="R26" s="35" t="s">
        <v>4159</v>
      </c>
    </row>
    <row r="27" spans="1:1012" s="17" customFormat="1" ht="14">
      <c r="A27" s="35" t="s">
        <v>38</v>
      </c>
      <c r="B27" s="35"/>
      <c r="C27" s="35" t="s">
        <v>4083</v>
      </c>
      <c r="D27" s="35" t="s">
        <v>39</v>
      </c>
      <c r="E27" s="35"/>
      <c r="F27" s="35">
        <v>1000</v>
      </c>
      <c r="G27" s="35" t="b">
        <v>0</v>
      </c>
      <c r="H27" s="39" t="s">
        <v>15</v>
      </c>
      <c r="I27" s="35" t="s">
        <v>37</v>
      </c>
      <c r="J27" s="35">
        <v>0</v>
      </c>
      <c r="K27" s="35" t="s">
        <v>4203</v>
      </c>
      <c r="L27" s="35" t="s">
        <v>4200</v>
      </c>
      <c r="M27" s="35" t="s">
        <v>4072</v>
      </c>
      <c r="N27" s="35" t="s">
        <v>4200</v>
      </c>
      <c r="O27" s="35" t="s">
        <v>4200</v>
      </c>
      <c r="P27" s="35" t="s">
        <v>4200</v>
      </c>
      <c r="Q27" s="35" t="s">
        <v>2449</v>
      </c>
      <c r="R27" s="35" t="s">
        <v>4200</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4334</v>
      </c>
      <c r="B28" s="35"/>
      <c r="C28" s="35"/>
      <c r="D28" s="36" t="s">
        <v>4333</v>
      </c>
      <c r="E28" s="36"/>
      <c r="F28" s="35">
        <v>500</v>
      </c>
      <c r="G28" s="35" t="b">
        <v>1</v>
      </c>
      <c r="H28" s="39" t="s">
        <v>15</v>
      </c>
      <c r="I28" s="35" t="s">
        <v>41</v>
      </c>
      <c r="J28" s="35">
        <v>0</v>
      </c>
      <c r="K28" s="35" t="s">
        <v>4202</v>
      </c>
      <c r="L28" s="35" t="s">
        <v>4200</v>
      </c>
      <c r="M28" s="35" t="s">
        <v>4072</v>
      </c>
      <c r="N28" s="35" t="s">
        <v>4200</v>
      </c>
      <c r="O28" s="35" t="s">
        <v>4200</v>
      </c>
      <c r="P28" s="35" t="s">
        <v>4200</v>
      </c>
      <c r="Q28" s="35" t="s">
        <v>2449</v>
      </c>
      <c r="R28" s="35" t="s">
        <v>4159</v>
      </c>
      <c r="S28" s="35"/>
      <c r="T28" s="35"/>
    </row>
    <row r="29" spans="1:1012" ht="14">
      <c r="A29" s="36" t="s">
        <v>4329</v>
      </c>
      <c r="B29" s="36"/>
      <c r="C29" s="36" t="s">
        <v>4335</v>
      </c>
      <c r="D29" s="35" t="s">
        <v>4330</v>
      </c>
      <c r="E29" s="35"/>
      <c r="F29" s="35">
        <v>200</v>
      </c>
      <c r="G29" s="35" t="b">
        <v>0</v>
      </c>
      <c r="H29" s="39" t="s">
        <v>15</v>
      </c>
      <c r="I29" s="35" t="s">
        <v>41</v>
      </c>
      <c r="J29" s="35">
        <v>1</v>
      </c>
      <c r="K29" s="35" t="s">
        <v>4202</v>
      </c>
      <c r="L29" s="35" t="s">
        <v>4200</v>
      </c>
      <c r="M29" s="35" t="s">
        <v>4072</v>
      </c>
      <c r="N29" s="35" t="s">
        <v>4200</v>
      </c>
      <c r="O29" s="35" t="s">
        <v>4200</v>
      </c>
      <c r="P29" s="35" t="s">
        <v>4200</v>
      </c>
      <c r="Q29" s="35" t="s">
        <v>2449</v>
      </c>
      <c r="R29" s="35" t="s">
        <v>4159</v>
      </c>
      <c r="S29" s="35"/>
      <c r="T29" s="35"/>
    </row>
    <row r="30" spans="1:1012" ht="14">
      <c r="A30" s="36" t="s">
        <v>51</v>
      </c>
      <c r="B30" s="36"/>
      <c r="C30" s="36" t="s">
        <v>3892</v>
      </c>
      <c r="D30" s="35" t="s">
        <v>52</v>
      </c>
      <c r="E30" s="35"/>
      <c r="F30" s="35">
        <v>600</v>
      </c>
      <c r="G30" s="35" t="b">
        <v>0</v>
      </c>
      <c r="H30" s="39" t="s">
        <v>15</v>
      </c>
      <c r="I30" s="35" t="s">
        <v>16</v>
      </c>
      <c r="J30" s="35">
        <v>0</v>
      </c>
      <c r="K30" s="35" t="s">
        <v>4202</v>
      </c>
      <c r="L30" s="35" t="s">
        <v>4200</v>
      </c>
      <c r="M30" s="35" t="s">
        <v>4072</v>
      </c>
      <c r="N30" s="35" t="s">
        <v>4200</v>
      </c>
      <c r="O30" s="35" t="s">
        <v>4200</v>
      </c>
      <c r="P30" s="35" t="s">
        <v>4200</v>
      </c>
      <c r="Q30" s="35" t="s">
        <v>2449</v>
      </c>
      <c r="R30" s="35" t="s">
        <v>4159</v>
      </c>
      <c r="S30" s="35"/>
      <c r="T30" s="35"/>
    </row>
    <row r="31" spans="1:1012" ht="14">
      <c r="A31" s="36" t="s">
        <v>2823</v>
      </c>
      <c r="B31" s="36"/>
      <c r="C31" s="36"/>
      <c r="D31" s="35" t="s">
        <v>2835</v>
      </c>
      <c r="E31" s="35"/>
      <c r="F31" s="35">
        <v>500</v>
      </c>
      <c r="G31" s="35" t="b">
        <v>1</v>
      </c>
      <c r="H31" s="39" t="s">
        <v>15</v>
      </c>
      <c r="I31" s="35" t="s">
        <v>37</v>
      </c>
      <c r="J31" s="35">
        <v>0</v>
      </c>
      <c r="K31" s="35" t="s">
        <v>4204</v>
      </c>
      <c r="L31" s="35" t="s">
        <v>4200</v>
      </c>
      <c r="M31" s="35" t="s">
        <v>4200</v>
      </c>
      <c r="N31" s="35" t="s">
        <v>4200</v>
      </c>
      <c r="O31" s="35" t="s">
        <v>4200</v>
      </c>
      <c r="P31" s="35" t="s">
        <v>4200</v>
      </c>
      <c r="Q31" s="35" t="s">
        <v>2449</v>
      </c>
      <c r="R31" s="35" t="s">
        <v>4159</v>
      </c>
      <c r="S31" s="35"/>
      <c r="T31" s="35"/>
    </row>
    <row r="32" spans="1:1012" ht="14">
      <c r="A32" s="36" t="s">
        <v>43</v>
      </c>
      <c r="B32" s="36"/>
      <c r="C32" s="36"/>
      <c r="D32" s="36" t="s">
        <v>44</v>
      </c>
      <c r="E32" s="36"/>
      <c r="F32" s="35">
        <v>500</v>
      </c>
      <c r="G32" s="35" t="b">
        <v>1</v>
      </c>
      <c r="H32" s="39" t="s">
        <v>15</v>
      </c>
      <c r="I32" s="35" t="s">
        <v>21</v>
      </c>
      <c r="J32" s="35">
        <v>2</v>
      </c>
      <c r="K32" s="35" t="s">
        <v>4202</v>
      </c>
      <c r="L32" s="35" t="s">
        <v>4200</v>
      </c>
      <c r="M32" s="35" t="s">
        <v>4072</v>
      </c>
      <c r="N32" s="35" t="s">
        <v>4200</v>
      </c>
      <c r="O32" s="35" t="s">
        <v>4200</v>
      </c>
      <c r="P32" s="35" t="s">
        <v>4200</v>
      </c>
      <c r="Q32" s="35" t="s">
        <v>2449</v>
      </c>
      <c r="R32" s="35" t="s">
        <v>4159</v>
      </c>
      <c r="S32" s="35"/>
      <c r="T32" s="35"/>
    </row>
    <row r="33" spans="1:1012" ht="14">
      <c r="A33" s="36" t="s">
        <v>3895</v>
      </c>
      <c r="B33" s="36"/>
      <c r="C33" s="36" t="s">
        <v>3896</v>
      </c>
      <c r="D33" s="36" t="s">
        <v>3897</v>
      </c>
      <c r="E33" s="36"/>
      <c r="F33" s="35">
        <v>500</v>
      </c>
      <c r="G33" s="35" t="b">
        <v>0</v>
      </c>
      <c r="H33" s="39" t="s">
        <v>15</v>
      </c>
      <c r="I33" s="36" t="s">
        <v>21</v>
      </c>
      <c r="J33" s="35">
        <v>2</v>
      </c>
      <c r="K33" s="35" t="s">
        <v>4209</v>
      </c>
      <c r="L33" s="35" t="s">
        <v>4200</v>
      </c>
      <c r="M33" s="35" t="s">
        <v>4200</v>
      </c>
      <c r="N33" s="35" t="s">
        <v>4200</v>
      </c>
      <c r="O33" s="35" t="s">
        <v>4200</v>
      </c>
      <c r="P33" s="35" t="s">
        <v>4207</v>
      </c>
      <c r="Q33" s="35" t="s">
        <v>2449</v>
      </c>
      <c r="R33" s="35" t="s">
        <v>4159</v>
      </c>
      <c r="S33" s="35"/>
      <c r="T33" s="35"/>
    </row>
    <row r="34" spans="1:1012" ht="14">
      <c r="A34" s="35" t="s">
        <v>48</v>
      </c>
      <c r="B34" s="35"/>
      <c r="C34" s="26"/>
      <c r="D34" s="35" t="s">
        <v>49</v>
      </c>
      <c r="E34" s="35"/>
      <c r="F34" s="35">
        <v>500</v>
      </c>
      <c r="G34" s="35" t="b">
        <v>0</v>
      </c>
      <c r="H34" s="39" t="s">
        <v>15</v>
      </c>
      <c r="I34" s="35" t="s">
        <v>46</v>
      </c>
      <c r="J34" s="35">
        <v>2</v>
      </c>
      <c r="K34" s="35" t="s">
        <v>4209</v>
      </c>
      <c r="L34" s="35" t="s">
        <v>4200</v>
      </c>
      <c r="M34" s="35" t="s">
        <v>4200</v>
      </c>
      <c r="N34" s="35" t="s">
        <v>4200</v>
      </c>
      <c r="O34" s="35" t="s">
        <v>4200</v>
      </c>
      <c r="P34" s="35" t="s">
        <v>4207</v>
      </c>
      <c r="Q34" s="35" t="s">
        <v>2449</v>
      </c>
      <c r="R34" s="35" t="s">
        <v>4159</v>
      </c>
      <c r="S34" s="35"/>
      <c r="T34" s="35"/>
    </row>
    <row r="35" spans="1:1012" ht="30">
      <c r="A35" s="35" t="s">
        <v>45</v>
      </c>
      <c r="B35" s="35"/>
      <c r="C35" s="40" t="s">
        <v>4082</v>
      </c>
      <c r="D35" s="35" t="s">
        <v>50</v>
      </c>
      <c r="E35" s="35"/>
      <c r="F35" s="35">
        <v>700</v>
      </c>
      <c r="G35" s="35" t="b">
        <v>0</v>
      </c>
      <c r="H35" s="39" t="s">
        <v>15</v>
      </c>
      <c r="I35" s="35" t="s">
        <v>46</v>
      </c>
      <c r="J35" s="35">
        <v>2</v>
      </c>
      <c r="K35" s="35" t="s">
        <v>4212</v>
      </c>
      <c r="L35" s="35" t="s">
        <v>4200</v>
      </c>
      <c r="M35" s="35" t="s">
        <v>4072</v>
      </c>
      <c r="N35" s="35" t="s">
        <v>4200</v>
      </c>
      <c r="O35" s="35" t="s">
        <v>4200</v>
      </c>
      <c r="P35" s="35" t="s">
        <v>4207</v>
      </c>
      <c r="Q35" s="35" t="s">
        <v>2449</v>
      </c>
      <c r="R35" s="35" t="s">
        <v>4159</v>
      </c>
      <c r="S35" s="35"/>
      <c r="T35" s="35"/>
    </row>
    <row r="36" spans="1:1012" ht="14">
      <c r="A36" s="34" t="s">
        <v>3989</v>
      </c>
      <c r="B36" s="34"/>
      <c r="C36" s="35" t="s">
        <v>13</v>
      </c>
      <c r="D36" s="36" t="s">
        <v>4044</v>
      </c>
      <c r="E36" s="36" t="s">
        <v>4046</v>
      </c>
      <c r="F36" s="35">
        <v>500</v>
      </c>
      <c r="G36" s="35" t="b">
        <v>1</v>
      </c>
      <c r="H36" s="39" t="s">
        <v>15</v>
      </c>
      <c r="I36" s="35" t="s">
        <v>3042</v>
      </c>
      <c r="J36" s="35">
        <v>2</v>
      </c>
      <c r="K36" s="35" t="s">
        <v>4202</v>
      </c>
      <c r="L36" s="35" t="s">
        <v>4200</v>
      </c>
      <c r="M36" s="35" t="s">
        <v>4072</v>
      </c>
      <c r="N36" s="35" t="s">
        <v>4200</v>
      </c>
      <c r="O36" s="35" t="s">
        <v>4200</v>
      </c>
      <c r="P36" s="35" t="s">
        <v>4200</v>
      </c>
      <c r="Q36" s="35" t="s">
        <v>2449</v>
      </c>
      <c r="R36" s="35" t="s">
        <v>4159</v>
      </c>
      <c r="S36" s="35"/>
      <c r="T36" s="35"/>
    </row>
    <row r="37" spans="1:1012" ht="14">
      <c r="A37" s="36" t="s">
        <v>62</v>
      </c>
      <c r="B37" s="36"/>
      <c r="C37" s="36"/>
      <c r="D37" s="36" t="s">
        <v>3138</v>
      </c>
      <c r="E37" s="36"/>
      <c r="F37" s="35">
        <v>500</v>
      </c>
      <c r="G37" s="35" t="b">
        <v>0</v>
      </c>
      <c r="H37" s="39" t="s">
        <v>15</v>
      </c>
      <c r="I37" s="35" t="s">
        <v>21</v>
      </c>
      <c r="J37" s="35">
        <v>2</v>
      </c>
      <c r="K37" s="35" t="s">
        <v>4202</v>
      </c>
      <c r="L37" s="35" t="s">
        <v>4200</v>
      </c>
      <c r="M37" s="35" t="s">
        <v>4072</v>
      </c>
      <c r="N37" s="35" t="s">
        <v>4200</v>
      </c>
      <c r="O37" s="35" t="s">
        <v>4200</v>
      </c>
      <c r="P37" s="35" t="s">
        <v>4200</v>
      </c>
      <c r="Q37" s="35" t="s">
        <v>2449</v>
      </c>
      <c r="R37" s="35" t="s">
        <v>4159</v>
      </c>
      <c r="S37" s="35"/>
      <c r="T37" s="35"/>
    </row>
    <row r="38" spans="1:1012" ht="14">
      <c r="A38" s="36" t="s">
        <v>4508</v>
      </c>
      <c r="B38" s="36" t="s">
        <v>4593</v>
      </c>
      <c r="C38" s="36" t="s">
        <v>3989</v>
      </c>
      <c r="D38" s="36" t="s">
        <v>4507</v>
      </c>
      <c r="E38" s="36"/>
      <c r="F38" s="35">
        <v>450</v>
      </c>
      <c r="G38" s="35" t="b">
        <v>0</v>
      </c>
      <c r="H38" s="39" t="s">
        <v>15</v>
      </c>
      <c r="I38" s="35" t="s">
        <v>66</v>
      </c>
      <c r="J38" s="35">
        <v>1</v>
      </c>
      <c r="K38" s="35" t="s">
        <v>4202</v>
      </c>
      <c r="L38" s="35" t="s">
        <v>4200</v>
      </c>
      <c r="M38" s="35" t="s">
        <v>4072</v>
      </c>
      <c r="N38" s="35" t="s">
        <v>4200</v>
      </c>
      <c r="O38" s="35" t="s">
        <v>4200</v>
      </c>
      <c r="P38" s="35" t="s">
        <v>4200</v>
      </c>
      <c r="Q38" s="35" t="s">
        <v>2449</v>
      </c>
      <c r="R38" s="35" t="s">
        <v>4159</v>
      </c>
      <c r="S38" s="35"/>
      <c r="T38" s="35"/>
    </row>
    <row r="39" spans="1:1012" ht="14">
      <c r="A39" s="35" t="s">
        <v>2682</v>
      </c>
      <c r="B39" s="35"/>
      <c r="C39" s="35" t="s">
        <v>3991</v>
      </c>
      <c r="D39" s="35" t="s">
        <v>2683</v>
      </c>
      <c r="E39" s="35"/>
      <c r="F39" s="35">
        <v>500</v>
      </c>
      <c r="G39" s="35" t="b">
        <v>0</v>
      </c>
      <c r="H39" s="39" t="s">
        <v>15</v>
      </c>
      <c r="I39" s="35" t="s">
        <v>16</v>
      </c>
      <c r="J39" s="35">
        <v>0</v>
      </c>
      <c r="K39" s="35" t="s">
        <v>4202</v>
      </c>
      <c r="L39" s="35" t="s">
        <v>4200</v>
      </c>
      <c r="M39" s="35" t="s">
        <v>4072</v>
      </c>
      <c r="N39" s="35" t="s">
        <v>4200</v>
      </c>
      <c r="O39" s="35" t="s">
        <v>4200</v>
      </c>
      <c r="P39" s="35" t="s">
        <v>4200</v>
      </c>
      <c r="Q39" s="35" t="s">
        <v>2449</v>
      </c>
      <c r="R39" s="35" t="s">
        <v>4200</v>
      </c>
      <c r="S39" s="35"/>
      <c r="T39" s="35"/>
    </row>
    <row r="40" spans="1:1012" ht="14">
      <c r="A40" s="35" t="s">
        <v>4420</v>
      </c>
      <c r="B40" s="35"/>
      <c r="C40" s="35"/>
      <c r="D40" s="36" t="s">
        <v>3032</v>
      </c>
      <c r="E40" s="36"/>
      <c r="F40" s="35">
        <v>500</v>
      </c>
      <c r="G40" s="35" t="b">
        <v>0</v>
      </c>
      <c r="H40" s="39" t="s">
        <v>15</v>
      </c>
      <c r="I40" s="35" t="s">
        <v>41</v>
      </c>
      <c r="J40" s="35">
        <v>0</v>
      </c>
      <c r="K40" s="35" t="s">
        <v>4202</v>
      </c>
      <c r="L40" s="35" t="s">
        <v>4200</v>
      </c>
      <c r="M40" s="35" t="s">
        <v>4072</v>
      </c>
      <c r="N40" s="35" t="s">
        <v>4200</v>
      </c>
      <c r="O40" s="35" t="s">
        <v>4200</v>
      </c>
      <c r="P40" s="35" t="s">
        <v>4200</v>
      </c>
      <c r="Q40" s="35" t="s">
        <v>2449</v>
      </c>
      <c r="R40" s="35" t="s">
        <v>4159</v>
      </c>
      <c r="S40" s="35"/>
      <c r="T40" s="35"/>
    </row>
    <row r="41" spans="1:1012" ht="14">
      <c r="A41" s="36" t="s">
        <v>4011</v>
      </c>
      <c r="B41" s="36"/>
      <c r="C41" s="36" t="s">
        <v>3995</v>
      </c>
      <c r="D41" s="36" t="s">
        <v>4012</v>
      </c>
      <c r="E41" s="36"/>
      <c r="F41" s="35">
        <v>450</v>
      </c>
      <c r="G41" s="35" t="b">
        <v>0</v>
      </c>
      <c r="H41" s="39" t="s">
        <v>15</v>
      </c>
      <c r="I41" s="35" t="s">
        <v>25</v>
      </c>
      <c r="J41" s="35">
        <v>1</v>
      </c>
      <c r="K41" s="35" t="s">
        <v>4203</v>
      </c>
      <c r="L41" s="35" t="s">
        <v>4200</v>
      </c>
      <c r="M41" s="35" t="s">
        <v>4072</v>
      </c>
      <c r="N41" s="35" t="s">
        <v>4200</v>
      </c>
      <c r="O41" s="35" t="s">
        <v>4200</v>
      </c>
      <c r="P41" s="35" t="s">
        <v>4200</v>
      </c>
      <c r="Q41" s="35" t="s">
        <v>2449</v>
      </c>
      <c r="R41" s="35" t="s">
        <v>4200</v>
      </c>
      <c r="S41" s="35"/>
      <c r="T41" s="35"/>
    </row>
    <row r="42" spans="1:1012" ht="14">
      <c r="A42" s="35" t="s">
        <v>73</v>
      </c>
      <c r="B42" s="35"/>
      <c r="C42" s="35"/>
      <c r="D42" s="35" t="s">
        <v>74</v>
      </c>
      <c r="E42" s="35"/>
      <c r="F42" s="35">
        <v>500</v>
      </c>
      <c r="G42" s="35" t="b">
        <v>0</v>
      </c>
      <c r="H42" s="39" t="s">
        <v>15</v>
      </c>
      <c r="I42" s="35" t="s">
        <v>37</v>
      </c>
      <c r="J42" s="35">
        <v>0</v>
      </c>
      <c r="K42" s="35" t="s">
        <v>4203</v>
      </c>
      <c r="L42" s="35" t="s">
        <v>4200</v>
      </c>
      <c r="M42" s="35" t="s">
        <v>4072</v>
      </c>
      <c r="N42" s="35" t="s">
        <v>4200</v>
      </c>
      <c r="O42" s="35" t="s">
        <v>4200</v>
      </c>
      <c r="P42" s="35" t="s">
        <v>4200</v>
      </c>
      <c r="Q42" s="35" t="s">
        <v>2449</v>
      </c>
      <c r="R42" s="35" t="s">
        <v>4200</v>
      </c>
      <c r="S42" s="35"/>
      <c r="T42" s="35"/>
    </row>
    <row r="43" spans="1:1012" s="18" customFormat="1" ht="14">
      <c r="A43" s="26" t="s">
        <v>3991</v>
      </c>
      <c r="B43" s="26"/>
      <c r="C43" s="35"/>
      <c r="D43" s="36" t="s">
        <v>3919</v>
      </c>
      <c r="E43" s="36" t="s">
        <v>4045</v>
      </c>
      <c r="F43" s="35">
        <v>500</v>
      </c>
      <c r="G43" s="35" t="b">
        <v>1</v>
      </c>
      <c r="H43" s="39" t="s">
        <v>15</v>
      </c>
      <c r="I43" s="35" t="s">
        <v>3042</v>
      </c>
      <c r="J43" s="35">
        <v>2</v>
      </c>
      <c r="K43" s="35" t="s">
        <v>4202</v>
      </c>
      <c r="L43" s="35" t="s">
        <v>4200</v>
      </c>
      <c r="M43" s="35" t="s">
        <v>4072</v>
      </c>
      <c r="N43" s="35" t="s">
        <v>4200</v>
      </c>
      <c r="O43" s="35" t="s">
        <v>4200</v>
      </c>
      <c r="P43" s="35" t="s">
        <v>4200</v>
      </c>
      <c r="Q43" s="35" t="s">
        <v>2449</v>
      </c>
      <c r="R43" s="35" t="s">
        <v>4159</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4224</v>
      </c>
      <c r="B44" s="35" t="s">
        <v>4199</v>
      </c>
      <c r="C44" s="35"/>
      <c r="D44" s="35" t="s">
        <v>4225</v>
      </c>
      <c r="E44" s="35"/>
      <c r="F44" s="35">
        <v>500</v>
      </c>
      <c r="G44" s="35" t="b">
        <v>0</v>
      </c>
      <c r="H44" s="39" t="s">
        <v>15</v>
      </c>
      <c r="I44" s="35" t="s">
        <v>37</v>
      </c>
      <c r="J44" s="35">
        <v>0</v>
      </c>
      <c r="K44" s="35" t="s">
        <v>4202</v>
      </c>
      <c r="L44" s="35" t="s">
        <v>4200</v>
      </c>
      <c r="M44" s="35" t="s">
        <v>4072</v>
      </c>
      <c r="N44" s="35" t="s">
        <v>4200</v>
      </c>
      <c r="O44" s="35" t="s">
        <v>4200</v>
      </c>
      <c r="P44" s="35" t="s">
        <v>4200</v>
      </c>
      <c r="Q44" s="35" t="s">
        <v>2449</v>
      </c>
      <c r="R44" s="35" t="s">
        <v>4159</v>
      </c>
      <c r="S44" s="35"/>
      <c r="T44" s="35"/>
    </row>
    <row r="45" spans="1:1012" ht="14">
      <c r="A45" s="35" t="s">
        <v>164</v>
      </c>
      <c r="B45" s="35"/>
      <c r="C45" s="35"/>
      <c r="D45" s="35" t="s">
        <v>2720</v>
      </c>
      <c r="E45" s="35"/>
      <c r="F45" s="35">
        <v>800</v>
      </c>
      <c r="G45" s="35" t="b">
        <v>0</v>
      </c>
      <c r="H45" s="39" t="s">
        <v>15</v>
      </c>
      <c r="I45" s="35" t="s">
        <v>165</v>
      </c>
      <c r="J45" s="35">
        <v>0</v>
      </c>
      <c r="K45" s="35" t="s">
        <v>165</v>
      </c>
      <c r="L45" s="35" t="s">
        <v>4200</v>
      </c>
      <c r="M45" s="35" t="s">
        <v>4200</v>
      </c>
      <c r="N45" s="35" t="s">
        <v>165</v>
      </c>
      <c r="O45" s="35" t="s">
        <v>4200</v>
      </c>
      <c r="P45" s="35" t="s">
        <v>4200</v>
      </c>
      <c r="Q45" s="35" t="s">
        <v>4200</v>
      </c>
      <c r="R45" s="35" t="s">
        <v>4200</v>
      </c>
      <c r="S45" s="35"/>
      <c r="T45" s="35"/>
    </row>
    <row r="46" spans="1:1012" ht="14">
      <c r="A46" s="35" t="s">
        <v>92</v>
      </c>
      <c r="B46" s="35"/>
      <c r="C46" s="35" t="s">
        <v>4196</v>
      </c>
      <c r="D46" s="35" t="s">
        <v>94</v>
      </c>
      <c r="E46" s="35"/>
      <c r="F46" s="35">
        <v>520</v>
      </c>
      <c r="G46" s="35" t="b">
        <v>0</v>
      </c>
      <c r="H46" s="39" t="s">
        <v>15</v>
      </c>
      <c r="I46" s="35" t="s">
        <v>95</v>
      </c>
      <c r="J46" s="35">
        <v>0</v>
      </c>
      <c r="K46" s="35" t="s">
        <v>4213</v>
      </c>
      <c r="L46" s="35" t="s">
        <v>4200</v>
      </c>
      <c r="M46" s="35" t="s">
        <v>4072</v>
      </c>
      <c r="N46" s="35" t="s">
        <v>4200</v>
      </c>
      <c r="O46" s="35" t="s">
        <v>95</v>
      </c>
      <c r="P46" s="35" t="s">
        <v>4200</v>
      </c>
      <c r="Q46" s="35" t="s">
        <v>4200</v>
      </c>
      <c r="R46" s="35" t="s">
        <v>4200</v>
      </c>
      <c r="S46" s="35"/>
      <c r="T46" s="35"/>
    </row>
    <row r="47" spans="1:1012" ht="14">
      <c r="A47" s="35" t="s">
        <v>3053</v>
      </c>
      <c r="B47" s="35"/>
      <c r="C47" s="35"/>
      <c r="D47" s="35" t="s">
        <v>3052</v>
      </c>
      <c r="E47" s="35"/>
      <c r="F47" s="35">
        <v>500</v>
      </c>
      <c r="G47" s="35" t="b">
        <v>0</v>
      </c>
      <c r="H47" s="39" t="s">
        <v>15</v>
      </c>
      <c r="I47" s="35" t="s">
        <v>37</v>
      </c>
      <c r="J47" s="35">
        <v>0</v>
      </c>
      <c r="K47" s="35" t="s">
        <v>4202</v>
      </c>
      <c r="L47" s="35" t="s">
        <v>4200</v>
      </c>
      <c r="M47" s="35" t="s">
        <v>4072</v>
      </c>
      <c r="N47" s="35" t="s">
        <v>4200</v>
      </c>
      <c r="O47" s="35" t="s">
        <v>4200</v>
      </c>
      <c r="P47" s="35" t="s">
        <v>4200</v>
      </c>
      <c r="Q47" s="35" t="s">
        <v>2449</v>
      </c>
      <c r="R47" s="35" t="s">
        <v>4159</v>
      </c>
      <c r="S47" s="35"/>
      <c r="T47" s="35"/>
    </row>
    <row r="48" spans="1:1012" ht="14">
      <c r="A48" s="36" t="s">
        <v>75</v>
      </c>
      <c r="B48" s="36"/>
      <c r="C48" s="36" t="s">
        <v>3991</v>
      </c>
      <c r="D48" s="35" t="s">
        <v>76</v>
      </c>
      <c r="E48" s="35"/>
      <c r="F48" s="35">
        <v>500</v>
      </c>
      <c r="G48" s="35" t="b">
        <v>0</v>
      </c>
      <c r="H48" s="39" t="s">
        <v>15</v>
      </c>
      <c r="I48" s="35" t="s">
        <v>16</v>
      </c>
      <c r="J48" s="35">
        <v>0</v>
      </c>
      <c r="K48" s="35" t="s">
        <v>4202</v>
      </c>
      <c r="L48" s="35" t="s">
        <v>4200</v>
      </c>
      <c r="M48" s="35" t="s">
        <v>4072</v>
      </c>
      <c r="N48" s="35" t="s">
        <v>4200</v>
      </c>
      <c r="O48" s="35" t="s">
        <v>4200</v>
      </c>
      <c r="P48" s="35" t="s">
        <v>4200</v>
      </c>
      <c r="Q48" s="35" t="s">
        <v>2449</v>
      </c>
      <c r="R48" s="35" t="s">
        <v>4200</v>
      </c>
      <c r="S48" s="35"/>
      <c r="T48" s="35"/>
    </row>
    <row r="49" spans="1:20" ht="14">
      <c r="A49" s="35" t="s">
        <v>4315</v>
      </c>
      <c r="B49" s="35" t="s">
        <v>4199</v>
      </c>
      <c r="C49" s="35"/>
      <c r="D49" s="35" t="s">
        <v>4316</v>
      </c>
      <c r="E49" s="35"/>
      <c r="F49" s="35">
        <v>500</v>
      </c>
      <c r="G49" s="35" t="b">
        <v>1</v>
      </c>
      <c r="H49" s="39" t="s">
        <v>15</v>
      </c>
      <c r="I49" s="35" t="s">
        <v>37</v>
      </c>
      <c r="J49" s="35">
        <v>0</v>
      </c>
      <c r="K49" s="35" t="s">
        <v>4202</v>
      </c>
      <c r="L49" s="35" t="s">
        <v>4200</v>
      </c>
      <c r="M49" s="35" t="s">
        <v>4072</v>
      </c>
      <c r="N49" s="35" t="s">
        <v>4200</v>
      </c>
      <c r="O49" s="35" t="s">
        <v>4200</v>
      </c>
      <c r="P49" s="35" t="s">
        <v>4200</v>
      </c>
      <c r="Q49" s="35" t="s">
        <v>2449</v>
      </c>
      <c r="R49" s="35" t="s">
        <v>4159</v>
      </c>
      <c r="S49" s="35"/>
      <c r="T49" s="35"/>
    </row>
    <row r="50" spans="1:20" ht="14">
      <c r="A50" s="35" t="s">
        <v>4129</v>
      </c>
      <c r="B50" s="35" t="s">
        <v>4130</v>
      </c>
      <c r="C50" s="35"/>
      <c r="D50" s="35" t="s">
        <v>4131</v>
      </c>
      <c r="E50" s="35"/>
      <c r="F50" s="35">
        <v>500</v>
      </c>
      <c r="G50" s="35" t="b">
        <v>0</v>
      </c>
      <c r="H50" s="39" t="s">
        <v>15</v>
      </c>
      <c r="I50" s="35" t="s">
        <v>95</v>
      </c>
      <c r="J50" s="35">
        <v>0</v>
      </c>
      <c r="K50" s="35" t="s">
        <v>4213</v>
      </c>
      <c r="L50" s="35" t="s">
        <v>4200</v>
      </c>
      <c r="M50" s="35" t="s">
        <v>4072</v>
      </c>
      <c r="N50" s="35" t="s">
        <v>4200</v>
      </c>
      <c r="O50" s="35" t="s">
        <v>95</v>
      </c>
      <c r="P50" s="35"/>
      <c r="Q50" s="35"/>
      <c r="R50" s="35"/>
      <c r="S50" s="35"/>
      <c r="T50" s="35"/>
    </row>
    <row r="51" spans="1:20" ht="14">
      <c r="A51" s="35" t="s">
        <v>80</v>
      </c>
      <c r="B51" s="35" t="s">
        <v>4014</v>
      </c>
      <c r="C51" s="35"/>
      <c r="D51" s="36" t="s">
        <v>3050</v>
      </c>
      <c r="E51" s="36"/>
      <c r="F51" s="35">
        <v>500</v>
      </c>
      <c r="G51" s="35" t="b">
        <v>0</v>
      </c>
      <c r="H51" s="39" t="s">
        <v>15</v>
      </c>
      <c r="I51" s="35" t="s">
        <v>21</v>
      </c>
      <c r="J51" s="35">
        <v>2</v>
      </c>
      <c r="K51" s="35" t="s">
        <v>4202</v>
      </c>
      <c r="L51" s="35" t="s">
        <v>4200</v>
      </c>
      <c r="M51" s="35" t="s">
        <v>4072</v>
      </c>
      <c r="N51" s="35" t="s">
        <v>4200</v>
      </c>
      <c r="O51" s="35" t="s">
        <v>4200</v>
      </c>
      <c r="P51" s="35" t="s">
        <v>4200</v>
      </c>
      <c r="Q51" s="35" t="s">
        <v>2449</v>
      </c>
      <c r="R51" s="35" t="s">
        <v>4159</v>
      </c>
      <c r="S51" s="35"/>
      <c r="T51" s="35"/>
    </row>
    <row r="52" spans="1:20" ht="14">
      <c r="A52" s="35" t="s">
        <v>82</v>
      </c>
      <c r="B52" s="35" t="s">
        <v>4431</v>
      </c>
      <c r="C52" s="35"/>
      <c r="D52" s="36" t="s">
        <v>3135</v>
      </c>
      <c r="E52" s="36"/>
      <c r="F52" s="35">
        <v>500</v>
      </c>
      <c r="G52" s="35" t="b">
        <v>0</v>
      </c>
      <c r="H52" s="39" t="s">
        <v>15</v>
      </c>
      <c r="I52" s="35" t="s">
        <v>21</v>
      </c>
      <c r="J52" s="35">
        <v>2</v>
      </c>
      <c r="K52" s="35" t="s">
        <v>4202</v>
      </c>
      <c r="L52" s="35" t="s">
        <v>4200</v>
      </c>
      <c r="M52" s="35" t="s">
        <v>4072</v>
      </c>
      <c r="N52" s="35" t="s">
        <v>4200</v>
      </c>
      <c r="O52" s="35" t="s">
        <v>4200</v>
      </c>
      <c r="P52" s="35" t="s">
        <v>4200</v>
      </c>
      <c r="Q52" s="35" t="s">
        <v>2449</v>
      </c>
      <c r="R52" s="35" t="s">
        <v>4159</v>
      </c>
      <c r="S52" s="35"/>
      <c r="T52" s="35"/>
    </row>
    <row r="53" spans="1:20" ht="14">
      <c r="A53" s="35" t="s">
        <v>83</v>
      </c>
      <c r="B53" s="35" t="s">
        <v>4431</v>
      </c>
      <c r="C53" s="36"/>
      <c r="D53" s="36" t="s">
        <v>84</v>
      </c>
      <c r="E53" s="36"/>
      <c r="F53" s="35">
        <v>500</v>
      </c>
      <c r="G53" s="35" t="b">
        <v>0</v>
      </c>
      <c r="H53" s="39" t="s">
        <v>15</v>
      </c>
      <c r="I53" s="35" t="s">
        <v>21</v>
      </c>
      <c r="J53" s="35">
        <v>2</v>
      </c>
      <c r="K53" s="35" t="s">
        <v>4202</v>
      </c>
      <c r="L53" s="35" t="s">
        <v>4200</v>
      </c>
      <c r="M53" s="35" t="s">
        <v>4072</v>
      </c>
      <c r="N53" s="35" t="s">
        <v>4200</v>
      </c>
      <c r="O53" s="35" t="s">
        <v>4200</v>
      </c>
      <c r="P53" s="35" t="s">
        <v>4200</v>
      </c>
      <c r="Q53" s="35" t="s">
        <v>2449</v>
      </c>
      <c r="R53" s="35" t="s">
        <v>4159</v>
      </c>
      <c r="S53" s="35"/>
      <c r="T53" s="35"/>
    </row>
    <row r="54" spans="1:20" ht="14">
      <c r="A54" s="35" t="s">
        <v>85</v>
      </c>
      <c r="B54" s="35" t="s">
        <v>4431</v>
      </c>
      <c r="C54" s="36"/>
      <c r="D54" s="36" t="s">
        <v>86</v>
      </c>
      <c r="E54" s="36"/>
      <c r="F54" s="35">
        <v>500</v>
      </c>
      <c r="G54" s="35" t="b">
        <v>0</v>
      </c>
      <c r="H54" s="39" t="s">
        <v>15</v>
      </c>
      <c r="I54" s="35" t="s">
        <v>21</v>
      </c>
      <c r="J54" s="35">
        <v>2</v>
      </c>
      <c r="K54" s="35" t="s">
        <v>4202</v>
      </c>
      <c r="L54" s="35" t="s">
        <v>4200</v>
      </c>
      <c r="M54" s="35" t="s">
        <v>4072</v>
      </c>
      <c r="N54" s="35" t="s">
        <v>4200</v>
      </c>
      <c r="O54" s="35" t="s">
        <v>4200</v>
      </c>
      <c r="P54" s="35" t="s">
        <v>4200</v>
      </c>
      <c r="Q54" s="35" t="s">
        <v>2449</v>
      </c>
      <c r="R54" s="35" t="s">
        <v>4159</v>
      </c>
      <c r="S54" s="35"/>
      <c r="T54" s="35"/>
    </row>
    <row r="55" spans="1:20" ht="14">
      <c r="A55" s="36" t="s">
        <v>87</v>
      </c>
      <c r="B55" s="36"/>
      <c r="C55" s="36"/>
      <c r="D55" s="35" t="s">
        <v>88</v>
      </c>
      <c r="E55" s="35"/>
      <c r="F55" s="35">
        <v>500</v>
      </c>
      <c r="G55" s="35" t="b">
        <v>0</v>
      </c>
      <c r="H55" s="39" t="s">
        <v>15</v>
      </c>
      <c r="I55" s="35" t="s">
        <v>29</v>
      </c>
      <c r="J55" s="35">
        <v>0</v>
      </c>
      <c r="K55" s="35" t="s">
        <v>4203</v>
      </c>
      <c r="L55" s="35" t="s">
        <v>4200</v>
      </c>
      <c r="M55" s="35" t="s">
        <v>4072</v>
      </c>
      <c r="N55" s="35" t="s">
        <v>4200</v>
      </c>
      <c r="O55" s="35" t="s">
        <v>4200</v>
      </c>
      <c r="P55" s="35" t="s">
        <v>4200</v>
      </c>
      <c r="Q55" s="35" t="s">
        <v>2449</v>
      </c>
      <c r="R55" s="35" t="s">
        <v>4200</v>
      </c>
      <c r="S55" s="35"/>
      <c r="T55" s="35"/>
    </row>
    <row r="56" spans="1:20" ht="14">
      <c r="A56" s="35" t="s">
        <v>166</v>
      </c>
      <c r="B56" s="35"/>
      <c r="C56" s="35"/>
      <c r="D56" s="35" t="s">
        <v>167</v>
      </c>
      <c r="E56" s="35"/>
      <c r="F56" s="35">
        <v>700</v>
      </c>
      <c r="G56" s="35" t="b">
        <v>0</v>
      </c>
      <c r="H56" s="39" t="s">
        <v>15</v>
      </c>
      <c r="I56" s="35" t="s">
        <v>165</v>
      </c>
      <c r="J56" s="35">
        <v>0</v>
      </c>
      <c r="K56" s="35" t="s">
        <v>165</v>
      </c>
      <c r="L56" s="35" t="s">
        <v>4200</v>
      </c>
      <c r="M56" s="35" t="s">
        <v>4200</v>
      </c>
      <c r="N56" s="35" t="s">
        <v>165</v>
      </c>
      <c r="O56" s="35" t="s">
        <v>4200</v>
      </c>
      <c r="P56" s="35" t="s">
        <v>4200</v>
      </c>
      <c r="Q56" s="35" t="s">
        <v>4200</v>
      </c>
      <c r="R56" s="35" t="s">
        <v>4200</v>
      </c>
      <c r="S56" s="35"/>
      <c r="T56" s="35"/>
    </row>
    <row r="57" spans="1:20" ht="14">
      <c r="A57" s="26" t="s">
        <v>3990</v>
      </c>
      <c r="B57" s="26"/>
      <c r="C57" s="35"/>
      <c r="D57" s="36" t="s">
        <v>3912</v>
      </c>
      <c r="E57" s="36" t="s">
        <v>2679</v>
      </c>
      <c r="F57" s="35">
        <v>500</v>
      </c>
      <c r="G57" s="35" t="b">
        <v>1</v>
      </c>
      <c r="H57" s="39" t="s">
        <v>15</v>
      </c>
      <c r="I57" s="35" t="s">
        <v>3042</v>
      </c>
      <c r="J57" s="35">
        <v>2</v>
      </c>
      <c r="K57" s="35" t="s">
        <v>4202</v>
      </c>
      <c r="L57" s="35" t="s">
        <v>4200</v>
      </c>
      <c r="M57" s="35" t="s">
        <v>4072</v>
      </c>
      <c r="N57" s="35" t="s">
        <v>4200</v>
      </c>
      <c r="O57" s="35" t="s">
        <v>4200</v>
      </c>
      <c r="P57" s="35" t="s">
        <v>4200</v>
      </c>
      <c r="Q57" s="35" t="s">
        <v>2449</v>
      </c>
      <c r="R57" s="35" t="s">
        <v>4159</v>
      </c>
      <c r="S57" s="35"/>
      <c r="T57" s="35"/>
    </row>
    <row r="58" spans="1:20" ht="14">
      <c r="A58" s="26" t="s">
        <v>1116</v>
      </c>
      <c r="B58" s="26"/>
      <c r="C58" s="35"/>
      <c r="D58" s="36" t="s">
        <v>3975</v>
      </c>
      <c r="E58" s="36"/>
      <c r="F58" s="35">
        <v>500</v>
      </c>
      <c r="G58" s="35" t="b">
        <v>1</v>
      </c>
      <c r="H58" s="39" t="s">
        <v>15</v>
      </c>
      <c r="I58" s="35" t="s">
        <v>3042</v>
      </c>
      <c r="J58" s="35">
        <v>2</v>
      </c>
      <c r="K58" s="35" t="s">
        <v>4202</v>
      </c>
      <c r="L58" s="35" t="s">
        <v>4200</v>
      </c>
      <c r="M58" s="35" t="s">
        <v>4072</v>
      </c>
      <c r="N58" s="35" t="s">
        <v>4200</v>
      </c>
      <c r="O58" s="35" t="s">
        <v>4200</v>
      </c>
      <c r="P58" s="35" t="s">
        <v>4200</v>
      </c>
      <c r="Q58" s="35" t="s">
        <v>2449</v>
      </c>
      <c r="R58" s="35" t="s">
        <v>4159</v>
      </c>
      <c r="S58" s="35"/>
      <c r="T58" s="35"/>
    </row>
    <row r="59" spans="1:20" ht="14">
      <c r="A59" s="35" t="s">
        <v>4394</v>
      </c>
      <c r="B59" s="35"/>
      <c r="C59" s="35"/>
      <c r="D59" s="35" t="s">
        <v>4393</v>
      </c>
      <c r="E59" s="35"/>
      <c r="F59" s="35">
        <v>550</v>
      </c>
      <c r="G59" s="35" t="b">
        <v>0</v>
      </c>
      <c r="H59" s="39" t="s">
        <v>15</v>
      </c>
      <c r="I59" s="35" t="s">
        <v>37</v>
      </c>
      <c r="J59" s="35">
        <v>0</v>
      </c>
      <c r="K59" s="35" t="s">
        <v>4202</v>
      </c>
      <c r="L59" s="35" t="s">
        <v>4200</v>
      </c>
      <c r="M59" s="35" t="s">
        <v>4072</v>
      </c>
      <c r="N59" s="35" t="s">
        <v>4200</v>
      </c>
      <c r="O59" s="35" t="s">
        <v>4200</v>
      </c>
      <c r="P59" s="35" t="s">
        <v>4200</v>
      </c>
      <c r="Q59" s="35" t="s">
        <v>2449</v>
      </c>
      <c r="R59" s="35" t="s">
        <v>4159</v>
      </c>
      <c r="S59" s="35"/>
      <c r="T59" s="35"/>
    </row>
    <row r="60" spans="1:20" ht="14">
      <c r="A60" s="35" t="s">
        <v>96</v>
      </c>
      <c r="B60" s="35"/>
      <c r="C60" s="35" t="s">
        <v>4154</v>
      </c>
      <c r="D60" s="35" t="s">
        <v>97</v>
      </c>
      <c r="E60" s="35"/>
      <c r="F60" s="35">
        <v>650</v>
      </c>
      <c r="G60" s="35" t="b">
        <v>0</v>
      </c>
      <c r="H60" s="39" t="s">
        <v>15</v>
      </c>
      <c r="I60" s="35" t="s">
        <v>95</v>
      </c>
      <c r="J60" s="35">
        <v>0</v>
      </c>
      <c r="K60" s="35" t="s">
        <v>4213</v>
      </c>
      <c r="L60" s="35" t="s">
        <v>4200</v>
      </c>
      <c r="M60" s="35" t="s">
        <v>4072</v>
      </c>
      <c r="N60" s="35" t="s">
        <v>4200</v>
      </c>
      <c r="O60" s="35" t="s">
        <v>95</v>
      </c>
      <c r="P60" s="35" t="s">
        <v>4200</v>
      </c>
      <c r="Q60" s="35" t="s">
        <v>4200</v>
      </c>
      <c r="R60" s="35" t="s">
        <v>4200</v>
      </c>
      <c r="S60" s="35"/>
      <c r="T60" s="35"/>
    </row>
    <row r="61" spans="1:20" ht="14">
      <c r="A61" s="36" t="s">
        <v>100</v>
      </c>
      <c r="B61" s="36"/>
      <c r="C61" s="36" t="s">
        <v>4584</v>
      </c>
      <c r="D61" s="35" t="s">
        <v>2711</v>
      </c>
      <c r="E61" s="35"/>
      <c r="F61" s="35">
        <v>800</v>
      </c>
      <c r="G61" s="35" t="b">
        <v>0</v>
      </c>
      <c r="H61" s="39" t="s">
        <v>15</v>
      </c>
      <c r="I61" s="35" t="s">
        <v>3771</v>
      </c>
      <c r="J61" s="35">
        <v>0</v>
      </c>
      <c r="K61" s="35" t="s">
        <v>4512</v>
      </c>
      <c r="L61" s="35" t="s">
        <v>4200</v>
      </c>
      <c r="M61" s="35" t="s">
        <v>4072</v>
      </c>
      <c r="N61" s="35" t="s">
        <v>4200</v>
      </c>
      <c r="O61" s="35" t="s">
        <v>4200</v>
      </c>
      <c r="P61" s="35" t="s">
        <v>4200</v>
      </c>
      <c r="Q61" s="35" t="s">
        <v>2449</v>
      </c>
      <c r="R61" s="35" t="s">
        <v>4159</v>
      </c>
      <c r="S61" s="35"/>
      <c r="T61" s="35"/>
    </row>
    <row r="62" spans="1:20" ht="14">
      <c r="A62" s="35" t="s">
        <v>2879</v>
      </c>
      <c r="B62" s="35"/>
      <c r="C62" s="35"/>
      <c r="D62" s="35" t="s">
        <v>2880</v>
      </c>
      <c r="E62" s="35"/>
      <c r="F62" s="35">
        <v>600</v>
      </c>
      <c r="G62" s="35" t="b">
        <v>0</v>
      </c>
      <c r="H62" s="39" t="s">
        <v>15</v>
      </c>
      <c r="I62" s="35" t="s">
        <v>37</v>
      </c>
      <c r="J62" s="35">
        <v>0</v>
      </c>
      <c r="K62" s="35"/>
      <c r="L62" s="35" t="s">
        <v>4200</v>
      </c>
      <c r="M62" s="35" t="s">
        <v>4200</v>
      </c>
      <c r="N62" s="35" t="s">
        <v>4200</v>
      </c>
      <c r="O62" s="35" t="s">
        <v>4200</v>
      </c>
      <c r="P62" s="35" t="s">
        <v>4200</v>
      </c>
      <c r="Q62" s="35" t="s">
        <v>4200</v>
      </c>
      <c r="R62" s="35" t="s">
        <v>4200</v>
      </c>
      <c r="S62" s="35"/>
      <c r="T62" s="35"/>
    </row>
    <row r="63" spans="1:20" ht="14">
      <c r="A63" s="36" t="s">
        <v>4089</v>
      </c>
      <c r="B63" s="35" t="s">
        <v>4499</v>
      </c>
      <c r="C63" s="35"/>
      <c r="D63" s="36" t="s">
        <v>4102</v>
      </c>
      <c r="E63" s="36" t="s">
        <v>1177</v>
      </c>
      <c r="F63" s="35">
        <v>500</v>
      </c>
      <c r="G63" s="35" t="b">
        <v>1</v>
      </c>
      <c r="H63" s="39" t="s">
        <v>15</v>
      </c>
      <c r="I63" s="35" t="s">
        <v>95</v>
      </c>
      <c r="J63" s="35">
        <v>0</v>
      </c>
      <c r="K63" s="35" t="s">
        <v>4213</v>
      </c>
      <c r="L63" s="35" t="s">
        <v>4200</v>
      </c>
      <c r="M63" s="35" t="s">
        <v>4072</v>
      </c>
      <c r="N63" s="35" t="s">
        <v>4200</v>
      </c>
      <c r="O63" s="35" t="s">
        <v>95</v>
      </c>
      <c r="P63" s="35" t="s">
        <v>4200</v>
      </c>
      <c r="Q63" s="35" t="s">
        <v>4200</v>
      </c>
      <c r="R63" s="35" t="s">
        <v>4200</v>
      </c>
      <c r="S63" s="35"/>
      <c r="T63" s="35"/>
    </row>
    <row r="64" spans="1:20" ht="14">
      <c r="A64" s="35" t="s">
        <v>4024</v>
      </c>
      <c r="B64" s="35" t="s">
        <v>4579</v>
      </c>
      <c r="C64" s="35"/>
      <c r="D64" s="35" t="s">
        <v>2891</v>
      </c>
      <c r="E64" s="35"/>
      <c r="F64" s="35">
        <v>500</v>
      </c>
      <c r="G64" s="35" t="b">
        <v>0</v>
      </c>
      <c r="H64" s="39" t="s">
        <v>15</v>
      </c>
      <c r="I64" s="35" t="s">
        <v>37</v>
      </c>
      <c r="J64" s="35">
        <v>0</v>
      </c>
      <c r="K64" s="35" t="s">
        <v>4202</v>
      </c>
      <c r="L64" s="35" t="s">
        <v>4200</v>
      </c>
      <c r="M64" s="35" t="s">
        <v>4072</v>
      </c>
      <c r="N64" s="35" t="s">
        <v>4200</v>
      </c>
      <c r="O64" s="35" t="s">
        <v>4200</v>
      </c>
      <c r="P64" s="35" t="s">
        <v>4200</v>
      </c>
      <c r="Q64" s="35" t="s">
        <v>2449</v>
      </c>
      <c r="R64" s="35" t="s">
        <v>4159</v>
      </c>
      <c r="S64" s="35"/>
      <c r="T64" s="35"/>
    </row>
    <row r="65" spans="1:1012" ht="14">
      <c r="A65" s="36" t="s">
        <v>4103</v>
      </c>
      <c r="B65" s="35" t="s">
        <v>4105</v>
      </c>
      <c r="C65" s="35"/>
      <c r="D65" s="36" t="s">
        <v>4122</v>
      </c>
      <c r="E65" s="36" t="s">
        <v>4104</v>
      </c>
      <c r="F65" s="35">
        <v>500</v>
      </c>
      <c r="G65" s="35" t="b">
        <v>1</v>
      </c>
      <c r="H65" s="39" t="s">
        <v>15</v>
      </c>
      <c r="I65" s="35" t="s">
        <v>95</v>
      </c>
      <c r="J65" s="35">
        <v>0</v>
      </c>
      <c r="K65" s="35" t="s">
        <v>4213</v>
      </c>
      <c r="L65" s="35" t="s">
        <v>4200</v>
      </c>
      <c r="M65" s="35" t="s">
        <v>4072</v>
      </c>
      <c r="N65" s="35" t="s">
        <v>4200</v>
      </c>
      <c r="O65" s="35" t="s">
        <v>95</v>
      </c>
      <c r="P65" s="35" t="s">
        <v>4200</v>
      </c>
      <c r="Q65" s="35" t="s">
        <v>4200</v>
      </c>
      <c r="R65" s="35" t="s">
        <v>4200</v>
      </c>
      <c r="S65" s="35"/>
      <c r="T65" s="35"/>
    </row>
    <row r="66" spans="1:1012" ht="14">
      <c r="A66" s="35" t="s">
        <v>53</v>
      </c>
      <c r="B66" s="35"/>
      <c r="C66" s="36" t="s">
        <v>3892</v>
      </c>
      <c r="D66" s="35" t="s">
        <v>54</v>
      </c>
      <c r="E66" s="35"/>
      <c r="F66" s="35">
        <v>200</v>
      </c>
      <c r="G66" s="35" t="b">
        <v>0</v>
      </c>
      <c r="H66" s="39" t="s">
        <v>15</v>
      </c>
      <c r="I66" s="35" t="s">
        <v>55</v>
      </c>
      <c r="J66" s="35">
        <v>0</v>
      </c>
      <c r="K66" s="35" t="s">
        <v>4202</v>
      </c>
      <c r="L66" s="35" t="s">
        <v>4200</v>
      </c>
      <c r="M66" s="35" t="s">
        <v>4072</v>
      </c>
      <c r="N66" s="35" t="s">
        <v>4200</v>
      </c>
      <c r="O66" s="35" t="s">
        <v>4200</v>
      </c>
      <c r="P66" s="35" t="s">
        <v>4200</v>
      </c>
      <c r="Q66" s="35" t="s">
        <v>2449</v>
      </c>
      <c r="R66" s="35" t="s">
        <v>4200</v>
      </c>
      <c r="S66" s="35"/>
      <c r="T66" s="35"/>
    </row>
    <row r="67" spans="1:1012" ht="14">
      <c r="A67" s="35" t="s">
        <v>2712</v>
      </c>
      <c r="B67" s="35"/>
      <c r="C67" s="35" t="s">
        <v>4363</v>
      </c>
      <c r="D67" s="35" t="s">
        <v>3154</v>
      </c>
      <c r="E67" s="35"/>
      <c r="F67" s="35">
        <v>500</v>
      </c>
      <c r="G67" s="35" t="b">
        <v>1</v>
      </c>
      <c r="H67" s="39" t="s">
        <v>17</v>
      </c>
      <c r="I67" s="35" t="s">
        <v>37</v>
      </c>
      <c r="J67" s="35">
        <v>0</v>
      </c>
      <c r="K67" s="35" t="s">
        <v>4202</v>
      </c>
      <c r="L67" s="35" t="s">
        <v>4200</v>
      </c>
      <c r="M67" s="35" t="s">
        <v>4072</v>
      </c>
      <c r="N67" s="35" t="s">
        <v>4200</v>
      </c>
      <c r="O67" s="35" t="s">
        <v>4200</v>
      </c>
      <c r="P67" s="35" t="s">
        <v>4200</v>
      </c>
      <c r="Q67" s="35" t="s">
        <v>2449</v>
      </c>
      <c r="R67" s="35" t="s">
        <v>4159</v>
      </c>
      <c r="S67" s="35"/>
      <c r="T67" s="35"/>
    </row>
    <row r="68" spans="1:1012" ht="14">
      <c r="A68" s="26" t="s">
        <v>4070</v>
      </c>
      <c r="B68" s="26"/>
      <c r="C68" s="35"/>
      <c r="D68" s="36" t="s">
        <v>4071</v>
      </c>
      <c r="E68" s="36" t="s">
        <v>3159</v>
      </c>
      <c r="F68" s="35">
        <v>500</v>
      </c>
      <c r="G68" s="35" t="b">
        <v>1</v>
      </c>
      <c r="H68" s="39" t="s">
        <v>15</v>
      </c>
      <c r="I68" s="35" t="s">
        <v>3042</v>
      </c>
      <c r="J68" s="35">
        <v>2</v>
      </c>
      <c r="K68" s="35" t="s">
        <v>4202</v>
      </c>
      <c r="L68" s="35" t="s">
        <v>4200</v>
      </c>
      <c r="M68" s="35" t="s">
        <v>4072</v>
      </c>
      <c r="N68" s="35" t="s">
        <v>4200</v>
      </c>
      <c r="O68" s="35" t="s">
        <v>4200</v>
      </c>
      <c r="P68" s="35" t="s">
        <v>4200</v>
      </c>
      <c r="Q68" s="35" t="s">
        <v>2449</v>
      </c>
      <c r="R68" s="35" t="s">
        <v>4159</v>
      </c>
      <c r="S68" s="35"/>
      <c r="T68" s="35"/>
    </row>
    <row r="69" spans="1:1012" ht="14">
      <c r="A69" s="35" t="s">
        <v>168</v>
      </c>
      <c r="B69" s="35"/>
      <c r="C69" s="35"/>
      <c r="D69" s="35" t="s">
        <v>169</v>
      </c>
      <c r="E69" s="35"/>
      <c r="F69" s="35">
        <v>550</v>
      </c>
      <c r="G69" s="35" t="b">
        <v>0</v>
      </c>
      <c r="H69" s="39" t="s">
        <v>15</v>
      </c>
      <c r="I69" s="35" t="s">
        <v>165</v>
      </c>
      <c r="J69" s="35">
        <v>0</v>
      </c>
      <c r="K69" s="35" t="s">
        <v>4201</v>
      </c>
      <c r="L69" s="35" t="s">
        <v>4200</v>
      </c>
      <c r="M69" s="35" t="s">
        <v>4072</v>
      </c>
      <c r="N69" s="35" t="s">
        <v>165</v>
      </c>
      <c r="O69" s="35" t="s">
        <v>4200</v>
      </c>
      <c r="P69" s="35" t="s">
        <v>4200</v>
      </c>
      <c r="Q69" s="35" t="s">
        <v>4200</v>
      </c>
      <c r="R69" s="35" t="s">
        <v>4200</v>
      </c>
      <c r="S69" s="35"/>
      <c r="T69" s="35"/>
    </row>
    <row r="70" spans="1:1012" ht="14">
      <c r="A70" s="36" t="s">
        <v>81</v>
      </c>
      <c r="B70" s="36"/>
      <c r="C70" s="36"/>
      <c r="D70" s="35" t="s">
        <v>117</v>
      </c>
      <c r="E70" s="35"/>
      <c r="F70" s="35">
        <v>500</v>
      </c>
      <c r="G70" s="35" t="b">
        <v>0</v>
      </c>
      <c r="H70" s="39" t="s">
        <v>15</v>
      </c>
      <c r="I70" s="35" t="s">
        <v>21</v>
      </c>
      <c r="J70" s="35">
        <v>2</v>
      </c>
      <c r="K70" s="35" t="s">
        <v>4212</v>
      </c>
      <c r="L70" s="35" t="s">
        <v>4200</v>
      </c>
      <c r="M70" s="35" t="s">
        <v>4072</v>
      </c>
      <c r="N70" s="35" t="s">
        <v>4200</v>
      </c>
      <c r="O70" s="35" t="s">
        <v>4200</v>
      </c>
      <c r="P70" s="35" t="s">
        <v>4207</v>
      </c>
      <c r="Q70" s="35" t="s">
        <v>2449</v>
      </c>
      <c r="R70" s="35" t="s">
        <v>4159</v>
      </c>
      <c r="S70" s="35"/>
      <c r="T70" s="35"/>
    </row>
    <row r="71" spans="1:1012" ht="14">
      <c r="A71" s="36" t="s">
        <v>99</v>
      </c>
      <c r="B71" s="36" t="s">
        <v>4013</v>
      </c>
      <c r="C71" s="36"/>
      <c r="D71" s="36" t="s">
        <v>3136</v>
      </c>
      <c r="E71" s="36"/>
      <c r="F71" s="35">
        <v>500</v>
      </c>
      <c r="G71" s="35" t="b">
        <v>1</v>
      </c>
      <c r="H71" s="39" t="s">
        <v>15</v>
      </c>
      <c r="I71" s="35" t="s">
        <v>21</v>
      </c>
      <c r="J71" s="35">
        <v>2</v>
      </c>
      <c r="K71" s="35" t="s">
        <v>4202</v>
      </c>
      <c r="L71" s="35" t="s">
        <v>4200</v>
      </c>
      <c r="M71" s="35" t="s">
        <v>4072</v>
      </c>
      <c r="N71" s="35" t="s">
        <v>4200</v>
      </c>
      <c r="O71" s="35" t="s">
        <v>4200</v>
      </c>
      <c r="P71" s="35" t="s">
        <v>4200</v>
      </c>
      <c r="Q71" s="35" t="s">
        <v>2449</v>
      </c>
      <c r="R71" s="35" t="s">
        <v>4159</v>
      </c>
      <c r="S71" s="35"/>
      <c r="T71" s="35"/>
    </row>
    <row r="72" spans="1:1012" ht="14">
      <c r="A72" s="35" t="s">
        <v>4313</v>
      </c>
      <c r="B72" s="35" t="s">
        <v>4199</v>
      </c>
      <c r="C72" s="35"/>
      <c r="D72" s="35" t="s">
        <v>4314</v>
      </c>
      <c r="E72" s="35"/>
      <c r="F72" s="35">
        <v>500</v>
      </c>
      <c r="G72" s="35" t="b">
        <v>1</v>
      </c>
      <c r="H72" s="39" t="s">
        <v>15</v>
      </c>
      <c r="I72" s="35" t="s">
        <v>37</v>
      </c>
      <c r="J72" s="35">
        <v>0</v>
      </c>
      <c r="K72" s="35" t="s">
        <v>4202</v>
      </c>
      <c r="L72" s="35" t="s">
        <v>4200</v>
      </c>
      <c r="M72" s="35" t="s">
        <v>4072</v>
      </c>
      <c r="N72" s="35" t="s">
        <v>4200</v>
      </c>
      <c r="O72" s="35" t="s">
        <v>4200</v>
      </c>
      <c r="P72" s="35" t="s">
        <v>4200</v>
      </c>
      <c r="Q72" s="35" t="s">
        <v>2449</v>
      </c>
      <c r="R72" s="35" t="s">
        <v>4159</v>
      </c>
      <c r="S72" s="35"/>
      <c r="T72" s="35"/>
    </row>
    <row r="73" spans="1:1012" s="17" customFormat="1" ht="14">
      <c r="A73" s="35" t="s">
        <v>4317</v>
      </c>
      <c r="B73" s="35" t="s">
        <v>4199</v>
      </c>
      <c r="C73" s="26"/>
      <c r="D73" s="35" t="s">
        <v>4318</v>
      </c>
      <c r="E73" s="35"/>
      <c r="F73" s="35">
        <v>500</v>
      </c>
      <c r="G73" s="35" t="b">
        <v>1</v>
      </c>
      <c r="H73" s="39" t="s">
        <v>15</v>
      </c>
      <c r="I73" s="35" t="s">
        <v>37</v>
      </c>
      <c r="J73" s="35">
        <v>0</v>
      </c>
      <c r="K73" s="35" t="s">
        <v>4202</v>
      </c>
      <c r="L73" s="35" t="s">
        <v>4200</v>
      </c>
      <c r="M73" s="35" t="s">
        <v>4072</v>
      </c>
      <c r="N73" s="35" t="s">
        <v>4200</v>
      </c>
      <c r="O73" s="35" t="s">
        <v>4200</v>
      </c>
      <c r="P73" s="35" t="s">
        <v>4200</v>
      </c>
      <c r="Q73" s="35" t="s">
        <v>2449</v>
      </c>
      <c r="R73" s="35" t="s">
        <v>4159</v>
      </c>
      <c r="S73" s="35"/>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170</v>
      </c>
      <c r="B74" s="35"/>
      <c r="C74" s="35"/>
      <c r="D74" s="35" t="s">
        <v>171</v>
      </c>
      <c r="E74" s="35"/>
      <c r="F74" s="35">
        <v>600</v>
      </c>
      <c r="G74" s="35" t="b">
        <v>0</v>
      </c>
      <c r="H74" s="39" t="s">
        <v>15</v>
      </c>
      <c r="I74" s="35" t="s">
        <v>165</v>
      </c>
      <c r="J74" s="35">
        <v>0</v>
      </c>
      <c r="K74" s="35" t="s">
        <v>165</v>
      </c>
      <c r="L74" s="35" t="s">
        <v>4200</v>
      </c>
      <c r="M74" s="35" t="s">
        <v>4200</v>
      </c>
      <c r="N74" s="35" t="s">
        <v>165</v>
      </c>
      <c r="O74" s="35" t="s">
        <v>4200</v>
      </c>
      <c r="P74" s="35" t="s">
        <v>4200</v>
      </c>
      <c r="Q74" s="35" t="s">
        <v>4200</v>
      </c>
      <c r="R74" s="35" t="s">
        <v>4200</v>
      </c>
      <c r="S74" s="35"/>
      <c r="T74" s="35"/>
    </row>
    <row r="75" spans="1:1012" ht="14">
      <c r="A75" s="36" t="s">
        <v>3143</v>
      </c>
      <c r="B75" s="36"/>
      <c r="C75" s="36" t="s">
        <v>4416</v>
      </c>
      <c r="D75" s="35" t="s">
        <v>3147</v>
      </c>
      <c r="E75" s="35"/>
      <c r="F75" s="35">
        <v>600</v>
      </c>
      <c r="G75" s="35" t="b">
        <v>0</v>
      </c>
      <c r="H75" s="39" t="s">
        <v>15</v>
      </c>
      <c r="I75" s="35" t="s">
        <v>46</v>
      </c>
      <c r="J75" s="35">
        <v>2</v>
      </c>
      <c r="K75" s="35" t="s">
        <v>4202</v>
      </c>
      <c r="L75" s="35" t="s">
        <v>4200</v>
      </c>
      <c r="M75" s="35" t="s">
        <v>4072</v>
      </c>
      <c r="N75" s="35" t="s">
        <v>4200</v>
      </c>
      <c r="O75" s="35" t="s">
        <v>4200</v>
      </c>
      <c r="P75" s="35" t="s">
        <v>4200</v>
      </c>
      <c r="Q75" s="35" t="s">
        <v>2449</v>
      </c>
      <c r="R75" s="35" t="s">
        <v>4159</v>
      </c>
      <c r="S75" s="35"/>
      <c r="T75" s="35"/>
    </row>
    <row r="76" spans="1:1012" ht="14">
      <c r="A76" s="26" t="s">
        <v>3899</v>
      </c>
      <c r="B76" s="26"/>
      <c r="C76" s="35"/>
      <c r="D76" s="36" t="s">
        <v>3900</v>
      </c>
      <c r="E76" s="36" t="s">
        <v>3158</v>
      </c>
      <c r="F76" s="35">
        <v>500</v>
      </c>
      <c r="G76" s="35" t="b">
        <v>1</v>
      </c>
      <c r="H76" s="39" t="s">
        <v>15</v>
      </c>
      <c r="I76" s="35" t="s">
        <v>3042</v>
      </c>
      <c r="J76" s="35">
        <v>2</v>
      </c>
      <c r="K76" s="35" t="s">
        <v>4202</v>
      </c>
      <c r="L76" s="35" t="s">
        <v>4200</v>
      </c>
      <c r="M76" s="35" t="s">
        <v>4072</v>
      </c>
      <c r="N76" s="35" t="s">
        <v>4200</v>
      </c>
      <c r="O76" s="35" t="s">
        <v>4200</v>
      </c>
      <c r="P76" s="35" t="s">
        <v>4200</v>
      </c>
      <c r="Q76" s="35" t="s">
        <v>2449</v>
      </c>
      <c r="R76" s="35" t="s">
        <v>4159</v>
      </c>
      <c r="S76" s="35"/>
      <c r="T76" s="35"/>
    </row>
    <row r="77" spans="1:1012" ht="14">
      <c r="A77" s="36" t="s">
        <v>104</v>
      </c>
      <c r="B77" s="36"/>
      <c r="C77" s="36"/>
      <c r="D77" s="36" t="s">
        <v>105</v>
      </c>
      <c r="E77" s="36"/>
      <c r="F77" s="35">
        <v>450</v>
      </c>
      <c r="G77" s="35" t="b">
        <v>0</v>
      </c>
      <c r="H77" s="39" t="s">
        <v>15</v>
      </c>
      <c r="I77" s="35" t="s">
        <v>25</v>
      </c>
      <c r="J77" s="35">
        <v>1</v>
      </c>
      <c r="K77" s="35" t="s">
        <v>4202</v>
      </c>
      <c r="L77" s="35" t="s">
        <v>4200</v>
      </c>
      <c r="M77" s="35" t="s">
        <v>4072</v>
      </c>
      <c r="N77" s="35" t="s">
        <v>4200</v>
      </c>
      <c r="O77" s="35" t="s">
        <v>4200</v>
      </c>
      <c r="P77" s="35" t="s">
        <v>4200</v>
      </c>
      <c r="Q77" s="35" t="s">
        <v>2449</v>
      </c>
      <c r="R77" s="35" t="s">
        <v>4200</v>
      </c>
      <c r="S77" s="35"/>
      <c r="T77" s="35"/>
    </row>
    <row r="78" spans="1:1012" ht="14">
      <c r="A78" s="36" t="s">
        <v>106</v>
      </c>
      <c r="B78" s="36"/>
      <c r="C78" s="36"/>
      <c r="D78" s="35" t="s">
        <v>107</v>
      </c>
      <c r="E78" s="35"/>
      <c r="F78" s="35">
        <v>500</v>
      </c>
      <c r="G78" s="35" t="b">
        <v>0</v>
      </c>
      <c r="H78" s="39" t="s">
        <v>15</v>
      </c>
      <c r="I78" s="35" t="s">
        <v>66</v>
      </c>
      <c r="J78" s="35">
        <v>1</v>
      </c>
      <c r="K78" s="35" t="s">
        <v>4202</v>
      </c>
      <c r="L78" s="35" t="s">
        <v>4200</v>
      </c>
      <c r="M78" s="35" t="s">
        <v>4072</v>
      </c>
      <c r="N78" s="35" t="s">
        <v>4200</v>
      </c>
      <c r="O78" s="35" t="s">
        <v>4200</v>
      </c>
      <c r="P78" s="35" t="s">
        <v>4200</v>
      </c>
      <c r="Q78" s="35" t="s">
        <v>2449</v>
      </c>
      <c r="R78" s="35" t="s">
        <v>4159</v>
      </c>
      <c r="S78" s="35"/>
      <c r="T78" s="35"/>
    </row>
    <row r="79" spans="1:1012" ht="14">
      <c r="A79" s="36" t="s">
        <v>64</v>
      </c>
      <c r="B79" s="36"/>
      <c r="C79" s="36" t="s">
        <v>4508</v>
      </c>
      <c r="D79" s="35" t="s">
        <v>108</v>
      </c>
      <c r="E79" s="35"/>
      <c r="F79" s="35">
        <v>700</v>
      </c>
      <c r="G79" s="35" t="b">
        <v>0</v>
      </c>
      <c r="H79" s="39" t="s">
        <v>15</v>
      </c>
      <c r="I79" s="35" t="s">
        <v>66</v>
      </c>
      <c r="J79" s="35">
        <v>1</v>
      </c>
      <c r="K79" s="35" t="s">
        <v>4511</v>
      </c>
      <c r="L79" s="35" t="s">
        <v>2378</v>
      </c>
      <c r="M79" s="35" t="s">
        <v>4072</v>
      </c>
      <c r="N79" s="35" t="s">
        <v>4200</v>
      </c>
      <c r="O79" s="35" t="s">
        <v>4200</v>
      </c>
      <c r="P79" s="35" t="s">
        <v>4200</v>
      </c>
      <c r="Q79" s="35" t="s">
        <v>2449</v>
      </c>
      <c r="R79" s="35" t="s">
        <v>4200</v>
      </c>
      <c r="S79" s="35"/>
      <c r="T79" s="35"/>
    </row>
    <row r="80" spans="1:1012" ht="14">
      <c r="A80" s="26" t="s">
        <v>3994</v>
      </c>
      <c r="B80" s="26"/>
      <c r="C80" s="35"/>
      <c r="D80" s="36" t="s">
        <v>4015</v>
      </c>
      <c r="E80" s="36" t="s">
        <v>4050</v>
      </c>
      <c r="F80" s="35">
        <v>500</v>
      </c>
      <c r="G80" s="35" t="b">
        <v>1</v>
      </c>
      <c r="H80" s="39" t="s">
        <v>15</v>
      </c>
      <c r="I80" s="35" t="s">
        <v>3042</v>
      </c>
      <c r="J80" s="35">
        <v>2</v>
      </c>
      <c r="K80" s="35" t="s">
        <v>4202</v>
      </c>
      <c r="L80" s="35" t="s">
        <v>4200</v>
      </c>
      <c r="M80" s="35" t="s">
        <v>4072</v>
      </c>
      <c r="N80" s="35" t="s">
        <v>4200</v>
      </c>
      <c r="O80" s="35" t="s">
        <v>4200</v>
      </c>
      <c r="P80" s="35" t="s">
        <v>4200</v>
      </c>
      <c r="Q80" s="35" t="s">
        <v>2449</v>
      </c>
      <c r="R80" s="35" t="s">
        <v>4159</v>
      </c>
      <c r="S80" s="35"/>
      <c r="T80" s="35"/>
    </row>
    <row r="81" spans="1:1012" ht="14">
      <c r="A81" s="36" t="s">
        <v>2980</v>
      </c>
      <c r="B81" s="36"/>
      <c r="C81" s="36"/>
      <c r="D81" s="36" t="s">
        <v>2995</v>
      </c>
      <c r="E81" s="36"/>
      <c r="F81" s="35">
        <v>500</v>
      </c>
      <c r="G81" s="35" t="b">
        <v>0</v>
      </c>
      <c r="H81" s="39" t="s">
        <v>15</v>
      </c>
      <c r="I81" s="35" t="s">
        <v>21</v>
      </c>
      <c r="J81" s="35">
        <v>2</v>
      </c>
      <c r="K81" s="35" t="s">
        <v>4202</v>
      </c>
      <c r="L81" s="35" t="s">
        <v>4200</v>
      </c>
      <c r="M81" s="35" t="s">
        <v>4072</v>
      </c>
      <c r="N81" s="35" t="s">
        <v>4200</v>
      </c>
      <c r="O81" s="35" t="s">
        <v>4200</v>
      </c>
      <c r="P81" s="35" t="s">
        <v>4200</v>
      </c>
      <c r="Q81" s="35" t="s">
        <v>2449</v>
      </c>
      <c r="R81" s="35" t="s">
        <v>4159</v>
      </c>
      <c r="S81" s="35"/>
      <c r="T81" s="35"/>
    </row>
    <row r="82" spans="1:1012" ht="14">
      <c r="A82" s="36" t="s">
        <v>109</v>
      </c>
      <c r="B82" s="36"/>
      <c r="C82" s="36"/>
      <c r="D82" s="35" t="s">
        <v>110</v>
      </c>
      <c r="E82" s="35"/>
      <c r="F82" s="35">
        <v>500</v>
      </c>
      <c r="G82" s="35" t="b">
        <v>0</v>
      </c>
      <c r="H82" s="39" t="s">
        <v>15</v>
      </c>
      <c r="I82" s="35" t="s">
        <v>37</v>
      </c>
      <c r="J82" s="35">
        <v>0</v>
      </c>
      <c r="K82" s="35" t="s">
        <v>4202</v>
      </c>
      <c r="L82" s="35" t="s">
        <v>4200</v>
      </c>
      <c r="M82" s="35" t="s">
        <v>4072</v>
      </c>
      <c r="N82" s="35" t="s">
        <v>4200</v>
      </c>
      <c r="O82" s="35" t="s">
        <v>4200</v>
      </c>
      <c r="P82" s="35" t="s">
        <v>4200</v>
      </c>
      <c r="Q82" s="35" t="s">
        <v>2449</v>
      </c>
      <c r="R82" s="35" t="s">
        <v>4200</v>
      </c>
      <c r="S82" s="35"/>
      <c r="T82" s="35"/>
    </row>
    <row r="83" spans="1:1012" ht="14">
      <c r="A83" s="35" t="s">
        <v>3879</v>
      </c>
      <c r="B83" s="35"/>
      <c r="C83" s="35" t="s">
        <v>3892</v>
      </c>
      <c r="D83" s="35" t="s">
        <v>3880</v>
      </c>
      <c r="E83" s="35"/>
      <c r="F83" s="35">
        <v>200</v>
      </c>
      <c r="G83" s="35" t="b">
        <v>0</v>
      </c>
      <c r="H83" s="39" t="s">
        <v>15</v>
      </c>
      <c r="I83" s="35" t="s">
        <v>37</v>
      </c>
      <c r="J83" s="35">
        <v>0</v>
      </c>
      <c r="K83" s="35" t="s">
        <v>4202</v>
      </c>
      <c r="L83" s="35" t="s">
        <v>4200</v>
      </c>
      <c r="M83" s="35" t="s">
        <v>4072</v>
      </c>
      <c r="N83" s="35" t="s">
        <v>4200</v>
      </c>
      <c r="O83" s="35" t="s">
        <v>4200</v>
      </c>
      <c r="P83" s="35" t="s">
        <v>4200</v>
      </c>
      <c r="Q83" s="35" t="s">
        <v>2449</v>
      </c>
      <c r="R83" s="35" t="s">
        <v>4159</v>
      </c>
      <c r="S83" s="35"/>
      <c r="T83" s="35"/>
    </row>
    <row r="84" spans="1:1012" s="17" customFormat="1" ht="14">
      <c r="A84" s="36" t="s">
        <v>2979</v>
      </c>
      <c r="B84" s="36"/>
      <c r="C84" s="36"/>
      <c r="D84" s="36" t="s">
        <v>2994</v>
      </c>
      <c r="E84" s="36"/>
      <c r="F84" s="35">
        <v>500</v>
      </c>
      <c r="G84" s="35" t="b">
        <v>0</v>
      </c>
      <c r="H84" s="39" t="s">
        <v>15</v>
      </c>
      <c r="I84" s="35" t="s">
        <v>21</v>
      </c>
      <c r="J84" s="35">
        <v>2</v>
      </c>
      <c r="K84" s="35" t="s">
        <v>4202</v>
      </c>
      <c r="L84" s="35" t="s">
        <v>4200</v>
      </c>
      <c r="M84" s="35" t="s">
        <v>4072</v>
      </c>
      <c r="N84" s="35" t="s">
        <v>4200</v>
      </c>
      <c r="O84" s="35" t="s">
        <v>4200</v>
      </c>
      <c r="P84" s="35" t="s">
        <v>4200</v>
      </c>
      <c r="Q84" s="35" t="s">
        <v>2449</v>
      </c>
      <c r="R84" s="35" t="s">
        <v>4159</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5" t="s">
        <v>111</v>
      </c>
      <c r="B85" s="35"/>
      <c r="C85" s="35"/>
      <c r="D85" s="35" t="s">
        <v>112</v>
      </c>
      <c r="E85" s="35"/>
      <c r="F85" s="35">
        <v>500</v>
      </c>
      <c r="G85" s="35" t="b">
        <v>0</v>
      </c>
      <c r="H85" s="39" t="s">
        <v>15</v>
      </c>
      <c r="I85" s="35" t="s">
        <v>113</v>
      </c>
      <c r="J85" s="35">
        <v>0</v>
      </c>
      <c r="K85" s="35" t="s">
        <v>4203</v>
      </c>
      <c r="L85" s="35" t="s">
        <v>4200</v>
      </c>
      <c r="M85" s="35" t="s">
        <v>4072</v>
      </c>
      <c r="N85" s="35" t="s">
        <v>4200</v>
      </c>
      <c r="O85" s="35" t="s">
        <v>4200</v>
      </c>
      <c r="P85" s="35" t="s">
        <v>4200</v>
      </c>
      <c r="Q85" s="35" t="s">
        <v>2449</v>
      </c>
      <c r="R85" s="35" t="s">
        <v>4200</v>
      </c>
      <c r="S85" s="35"/>
      <c r="T85" s="35"/>
    </row>
    <row r="86" spans="1:1012" ht="14">
      <c r="A86" s="35" t="s">
        <v>114</v>
      </c>
      <c r="B86" s="35"/>
      <c r="C86" s="35"/>
      <c r="D86" s="35" t="s">
        <v>115</v>
      </c>
      <c r="E86" s="35"/>
      <c r="F86" s="35">
        <v>500</v>
      </c>
      <c r="G86" s="35" t="b">
        <v>0</v>
      </c>
      <c r="H86" s="39" t="s">
        <v>15</v>
      </c>
      <c r="I86" s="35" t="s">
        <v>37</v>
      </c>
      <c r="J86" s="35">
        <v>0</v>
      </c>
      <c r="K86" s="35" t="s">
        <v>4203</v>
      </c>
      <c r="L86" s="35" t="s">
        <v>4200</v>
      </c>
      <c r="M86" s="35" t="s">
        <v>4072</v>
      </c>
      <c r="N86" s="35" t="s">
        <v>4200</v>
      </c>
      <c r="O86" s="35" t="s">
        <v>4200</v>
      </c>
      <c r="P86" s="35" t="s">
        <v>4200</v>
      </c>
      <c r="Q86" s="35" t="s">
        <v>2449</v>
      </c>
      <c r="R86" s="35" t="s">
        <v>4200</v>
      </c>
      <c r="S86" s="35"/>
      <c r="T86" s="35"/>
    </row>
    <row r="87" spans="1:1012" ht="14">
      <c r="A87" s="36" t="s">
        <v>2922</v>
      </c>
      <c r="B87" s="36"/>
      <c r="C87" s="36"/>
      <c r="D87" s="35" t="s">
        <v>3134</v>
      </c>
      <c r="E87" s="35"/>
      <c r="F87" s="35">
        <v>600</v>
      </c>
      <c r="G87" s="35" t="b">
        <v>0</v>
      </c>
      <c r="H87" s="39" t="s">
        <v>15</v>
      </c>
      <c r="I87" s="35" t="s">
        <v>37</v>
      </c>
      <c r="J87" s="35">
        <v>0</v>
      </c>
      <c r="K87" s="35" t="s">
        <v>4202</v>
      </c>
      <c r="L87" s="35" t="s">
        <v>4200</v>
      </c>
      <c r="M87" s="35" t="s">
        <v>4072</v>
      </c>
      <c r="N87" s="35" t="s">
        <v>4200</v>
      </c>
      <c r="O87" s="35" t="s">
        <v>4200</v>
      </c>
      <c r="P87" s="35" t="s">
        <v>4200</v>
      </c>
      <c r="Q87" s="35" t="s">
        <v>2449</v>
      </c>
      <c r="R87" s="35" t="s">
        <v>4159</v>
      </c>
      <c r="S87" s="35"/>
      <c r="T87" s="35"/>
    </row>
    <row r="88" spans="1:1012" ht="14">
      <c r="A88" s="36" t="s">
        <v>3172</v>
      </c>
      <c r="B88" s="36"/>
      <c r="C88" s="36" t="s">
        <v>4513</v>
      </c>
      <c r="D88" s="35" t="s">
        <v>3173</v>
      </c>
      <c r="E88" s="35"/>
      <c r="F88" s="35">
        <v>659</v>
      </c>
      <c r="G88" s="35" t="b">
        <v>0</v>
      </c>
      <c r="H88" s="39" t="s">
        <v>15</v>
      </c>
      <c r="I88" s="35" t="s">
        <v>37</v>
      </c>
      <c r="J88" s="35">
        <v>0</v>
      </c>
      <c r="K88" s="35" t="s">
        <v>4202</v>
      </c>
      <c r="L88" s="35" t="s">
        <v>4200</v>
      </c>
      <c r="M88" s="35" t="s">
        <v>4072</v>
      </c>
      <c r="N88" s="35" t="s">
        <v>4200</v>
      </c>
      <c r="O88" s="35" t="s">
        <v>4200</v>
      </c>
      <c r="P88" s="35" t="s">
        <v>4200</v>
      </c>
      <c r="Q88" s="35" t="s">
        <v>2449</v>
      </c>
      <c r="R88" s="35" t="s">
        <v>4159</v>
      </c>
      <c r="S88" s="35"/>
      <c r="T88" s="35"/>
    </row>
    <row r="89" spans="1:1012" ht="14">
      <c r="A89" s="36" t="s">
        <v>3043</v>
      </c>
      <c r="B89" s="36"/>
      <c r="C89" s="36"/>
      <c r="D89" s="35" t="s">
        <v>3165</v>
      </c>
      <c r="E89" s="35"/>
      <c r="F89" s="35">
        <v>600</v>
      </c>
      <c r="G89" s="35" t="b">
        <v>0</v>
      </c>
      <c r="H89" s="39" t="s">
        <v>15</v>
      </c>
      <c r="I89" s="35" t="s">
        <v>37</v>
      </c>
      <c r="J89" s="35">
        <v>0</v>
      </c>
      <c r="K89" s="35" t="s">
        <v>4202</v>
      </c>
      <c r="L89" s="35" t="s">
        <v>4200</v>
      </c>
      <c r="M89" s="35" t="s">
        <v>4072</v>
      </c>
      <c r="N89" s="35" t="s">
        <v>4200</v>
      </c>
      <c r="O89" s="35" t="s">
        <v>4200</v>
      </c>
      <c r="P89" s="35" t="s">
        <v>4200</v>
      </c>
      <c r="Q89" s="35" t="s">
        <v>2449</v>
      </c>
      <c r="R89" s="35" t="s">
        <v>4159</v>
      </c>
      <c r="S89" s="35"/>
      <c r="T89" s="35"/>
    </row>
    <row r="90" spans="1:1012" ht="14">
      <c r="A90" s="36" t="s">
        <v>120</v>
      </c>
      <c r="B90" s="36"/>
      <c r="C90" s="36"/>
      <c r="D90" s="35" t="s">
        <v>3139</v>
      </c>
      <c r="E90" s="35"/>
      <c r="F90" s="35">
        <v>500</v>
      </c>
      <c r="G90" s="35" t="b">
        <v>0</v>
      </c>
      <c r="H90" s="39" t="s">
        <v>15</v>
      </c>
      <c r="I90" s="35" t="s">
        <v>21</v>
      </c>
      <c r="J90" s="35">
        <v>2</v>
      </c>
      <c r="K90" s="35" t="s">
        <v>4202</v>
      </c>
      <c r="L90" s="35" t="s">
        <v>4200</v>
      </c>
      <c r="M90" s="35" t="s">
        <v>4072</v>
      </c>
      <c r="N90" s="35" t="s">
        <v>4200</v>
      </c>
      <c r="O90" s="35" t="s">
        <v>4200</v>
      </c>
      <c r="P90" s="35" t="s">
        <v>4200</v>
      </c>
      <c r="Q90" s="35" t="s">
        <v>2449</v>
      </c>
      <c r="R90" s="35" t="s">
        <v>4159</v>
      </c>
      <c r="S90" s="35"/>
      <c r="T90" s="35"/>
    </row>
    <row r="91" spans="1:1012" ht="24" customHeight="1">
      <c r="A91" s="36" t="s">
        <v>122</v>
      </c>
      <c r="B91" s="36"/>
      <c r="C91" s="36"/>
      <c r="D91" s="35" t="s">
        <v>3140</v>
      </c>
      <c r="E91" s="35"/>
      <c r="F91" s="35">
        <v>500</v>
      </c>
      <c r="G91" s="35" t="b">
        <v>0</v>
      </c>
      <c r="H91" s="39" t="s">
        <v>15</v>
      </c>
      <c r="I91" s="35" t="s">
        <v>21</v>
      </c>
      <c r="J91" s="35">
        <v>2</v>
      </c>
      <c r="K91" s="35" t="s">
        <v>4202</v>
      </c>
      <c r="L91" s="35" t="s">
        <v>4200</v>
      </c>
      <c r="M91" s="35" t="s">
        <v>4072</v>
      </c>
      <c r="N91" s="35" t="s">
        <v>4200</v>
      </c>
      <c r="O91" s="35" t="s">
        <v>4200</v>
      </c>
      <c r="P91" s="35" t="s">
        <v>4200</v>
      </c>
      <c r="Q91" s="35" t="s">
        <v>2449</v>
      </c>
      <c r="R91" s="35" t="s">
        <v>4159</v>
      </c>
      <c r="S91" s="35"/>
      <c r="T91" s="35"/>
    </row>
    <row r="92" spans="1:1012" ht="14">
      <c r="A92" s="35" t="s">
        <v>56</v>
      </c>
      <c r="B92" s="35"/>
      <c r="C92" s="36" t="s">
        <v>3892</v>
      </c>
      <c r="D92" s="35" t="s">
        <v>57</v>
      </c>
      <c r="E92" s="35"/>
      <c r="F92" s="35">
        <v>200</v>
      </c>
      <c r="G92" s="35" t="b">
        <v>0</v>
      </c>
      <c r="H92" s="39" t="s">
        <v>15</v>
      </c>
      <c r="I92" s="35" t="s">
        <v>55</v>
      </c>
      <c r="J92" s="35">
        <v>0</v>
      </c>
      <c r="K92" s="35" t="s">
        <v>4202</v>
      </c>
      <c r="L92" s="35" t="s">
        <v>4200</v>
      </c>
      <c r="M92" s="35" t="s">
        <v>4072</v>
      </c>
      <c r="N92" s="35" t="s">
        <v>4200</v>
      </c>
      <c r="O92" s="35" t="s">
        <v>4200</v>
      </c>
      <c r="P92" s="35" t="s">
        <v>4200</v>
      </c>
      <c r="Q92" s="35" t="s">
        <v>2449</v>
      </c>
      <c r="R92" s="35" t="s">
        <v>4200</v>
      </c>
      <c r="S92" s="35"/>
      <c r="T92" s="35"/>
    </row>
    <row r="93" spans="1:1012" ht="14">
      <c r="A93" s="36" t="s">
        <v>123</v>
      </c>
      <c r="B93" s="36"/>
      <c r="C93" s="36"/>
      <c r="D93" s="35" t="s">
        <v>3141</v>
      </c>
      <c r="E93" s="35"/>
      <c r="F93" s="35">
        <v>500</v>
      </c>
      <c r="G93" s="35" t="b">
        <v>0</v>
      </c>
      <c r="H93" s="39" t="s">
        <v>15</v>
      </c>
      <c r="I93" s="35" t="s">
        <v>21</v>
      </c>
      <c r="J93" s="35">
        <v>2</v>
      </c>
      <c r="K93" s="35" t="s">
        <v>4202</v>
      </c>
      <c r="L93" s="35" t="s">
        <v>4200</v>
      </c>
      <c r="M93" s="35" t="s">
        <v>4072</v>
      </c>
      <c r="N93" s="35" t="s">
        <v>4200</v>
      </c>
      <c r="O93" s="35" t="s">
        <v>4200</v>
      </c>
      <c r="P93" s="35" t="s">
        <v>4200</v>
      </c>
      <c r="Q93" s="35" t="s">
        <v>2449</v>
      </c>
      <c r="R93" s="35" t="s">
        <v>4159</v>
      </c>
      <c r="S93" s="35"/>
      <c r="T93" s="35"/>
    </row>
    <row r="94" spans="1:1012" ht="14">
      <c r="A94" s="36" t="s">
        <v>125</v>
      </c>
      <c r="B94" s="36"/>
      <c r="C94" s="36"/>
      <c r="D94" s="35" t="s">
        <v>3142</v>
      </c>
      <c r="E94" s="35"/>
      <c r="F94" s="35">
        <v>500</v>
      </c>
      <c r="G94" s="35" t="b">
        <v>0</v>
      </c>
      <c r="H94" s="39" t="s">
        <v>15</v>
      </c>
      <c r="I94" s="35" t="s">
        <v>21</v>
      </c>
      <c r="J94" s="35">
        <v>2</v>
      </c>
      <c r="K94" s="35" t="s">
        <v>4202</v>
      </c>
      <c r="L94" s="35" t="s">
        <v>4200</v>
      </c>
      <c r="M94" s="35" t="s">
        <v>4072</v>
      </c>
      <c r="N94" s="35" t="s">
        <v>4200</v>
      </c>
      <c r="O94" s="35" t="s">
        <v>4200</v>
      </c>
      <c r="P94" s="35" t="s">
        <v>4200</v>
      </c>
      <c r="Q94" s="35" t="s">
        <v>2449</v>
      </c>
      <c r="R94" s="35" t="s">
        <v>4159</v>
      </c>
      <c r="S94" s="35"/>
      <c r="T94" s="35"/>
    </row>
    <row r="95" spans="1:1012" ht="14">
      <c r="A95" s="35" t="s">
        <v>2944</v>
      </c>
      <c r="B95" s="35"/>
      <c r="C95" s="35"/>
      <c r="D95" s="35" t="s">
        <v>2945</v>
      </c>
      <c r="E95" s="35"/>
      <c r="F95" s="35">
        <v>500</v>
      </c>
      <c r="G95" s="35" t="b">
        <v>0</v>
      </c>
      <c r="H95" s="39" t="s">
        <v>15</v>
      </c>
      <c r="I95" s="35" t="s">
        <v>37</v>
      </c>
      <c r="J95" s="35">
        <v>0</v>
      </c>
      <c r="K95" s="35" t="s">
        <v>4203</v>
      </c>
      <c r="L95" s="35" t="s">
        <v>4200</v>
      </c>
      <c r="M95" s="35" t="s">
        <v>4072</v>
      </c>
      <c r="N95" s="35" t="s">
        <v>4200</v>
      </c>
      <c r="O95" s="35" t="s">
        <v>4200</v>
      </c>
      <c r="P95" s="35" t="s">
        <v>4200</v>
      </c>
      <c r="Q95" s="35" t="s">
        <v>2449</v>
      </c>
      <c r="R95" s="35" t="s">
        <v>4200</v>
      </c>
      <c r="S95" s="35"/>
      <c r="T95" s="35"/>
    </row>
    <row r="96" spans="1:1012" ht="14">
      <c r="A96" s="35" t="s">
        <v>126</v>
      </c>
      <c r="B96" s="35" t="s">
        <v>4581</v>
      </c>
      <c r="C96" s="35"/>
      <c r="D96" s="35" t="s">
        <v>2670</v>
      </c>
      <c r="E96" s="35"/>
      <c r="F96" s="35">
        <v>500</v>
      </c>
      <c r="G96" s="35" t="b">
        <v>0</v>
      </c>
      <c r="H96" s="39" t="s">
        <v>15</v>
      </c>
      <c r="I96" s="35" t="s">
        <v>37</v>
      </c>
      <c r="J96" s="35">
        <v>0</v>
      </c>
      <c r="K96" s="35" t="s">
        <v>4203</v>
      </c>
      <c r="L96" s="35" t="s">
        <v>4200</v>
      </c>
      <c r="M96" s="35" t="s">
        <v>4072</v>
      </c>
      <c r="N96" s="35" t="s">
        <v>4200</v>
      </c>
      <c r="O96" s="35" t="s">
        <v>4200</v>
      </c>
      <c r="P96" s="35" t="s">
        <v>4200</v>
      </c>
      <c r="Q96" s="35" t="s">
        <v>2449</v>
      </c>
      <c r="R96" s="35" t="s">
        <v>4200</v>
      </c>
      <c r="S96" s="35"/>
      <c r="T96" s="35"/>
    </row>
    <row r="97" spans="1:20" ht="14">
      <c r="A97" s="36" t="s">
        <v>58</v>
      </c>
      <c r="B97" s="36"/>
      <c r="C97" s="36" t="s">
        <v>3892</v>
      </c>
      <c r="D97" s="35" t="s">
        <v>59</v>
      </c>
      <c r="E97" s="35"/>
      <c r="F97" s="35">
        <v>200</v>
      </c>
      <c r="G97" s="35" t="b">
        <v>0</v>
      </c>
      <c r="H97" s="39" t="s">
        <v>15</v>
      </c>
      <c r="I97" s="35" t="s">
        <v>55</v>
      </c>
      <c r="J97" s="35">
        <v>0</v>
      </c>
      <c r="K97" s="35" t="s">
        <v>4203</v>
      </c>
      <c r="L97" s="35" t="s">
        <v>4200</v>
      </c>
      <c r="M97" s="35" t="s">
        <v>4072</v>
      </c>
      <c r="N97" s="35" t="s">
        <v>4200</v>
      </c>
      <c r="O97" s="35" t="s">
        <v>4200</v>
      </c>
      <c r="P97" s="35" t="s">
        <v>4200</v>
      </c>
      <c r="Q97" s="35" t="s">
        <v>2449</v>
      </c>
      <c r="R97" s="35" t="s">
        <v>4200</v>
      </c>
      <c r="S97" s="35"/>
      <c r="T97" s="35"/>
    </row>
    <row r="98" spans="1:20" ht="14">
      <c r="A98" s="35" t="s">
        <v>4342</v>
      </c>
      <c r="B98" s="26"/>
      <c r="C98" s="26"/>
      <c r="D98" s="35" t="s">
        <v>4343</v>
      </c>
      <c r="E98" s="35"/>
      <c r="F98" s="35">
        <v>500</v>
      </c>
      <c r="G98" s="35" t="b">
        <v>0</v>
      </c>
      <c r="H98" s="39" t="s">
        <v>15</v>
      </c>
      <c r="I98" s="35" t="s">
        <v>37</v>
      </c>
      <c r="J98" s="35">
        <v>0</v>
      </c>
      <c r="K98" s="35" t="s">
        <v>4204</v>
      </c>
      <c r="L98" s="35" t="s">
        <v>4200</v>
      </c>
      <c r="M98" s="35"/>
      <c r="N98" s="35" t="s">
        <v>4200</v>
      </c>
      <c r="O98" s="35" t="s">
        <v>4200</v>
      </c>
      <c r="P98" s="35" t="s">
        <v>4200</v>
      </c>
      <c r="Q98" s="35" t="s">
        <v>2449</v>
      </c>
      <c r="R98" s="35" t="s">
        <v>4159</v>
      </c>
      <c r="S98" s="35"/>
      <c r="T98" s="35"/>
    </row>
    <row r="99" spans="1:20" ht="14">
      <c r="A99" s="36" t="s">
        <v>130</v>
      </c>
      <c r="B99" s="36"/>
      <c r="C99" s="36"/>
      <c r="D99" s="35" t="s">
        <v>135</v>
      </c>
      <c r="E99" s="35"/>
      <c r="F99" s="35">
        <v>400</v>
      </c>
      <c r="G99" s="35" t="b">
        <v>0</v>
      </c>
      <c r="H99" s="39" t="s">
        <v>15</v>
      </c>
      <c r="I99" s="35" t="s">
        <v>132</v>
      </c>
      <c r="J99" s="35">
        <v>1</v>
      </c>
      <c r="K99" s="35" t="s">
        <v>4203</v>
      </c>
      <c r="L99" s="35" t="s">
        <v>4200</v>
      </c>
      <c r="M99" s="35" t="s">
        <v>4072</v>
      </c>
      <c r="N99" s="35" t="s">
        <v>4200</v>
      </c>
      <c r="O99" s="35" t="s">
        <v>4200</v>
      </c>
      <c r="P99" s="35" t="s">
        <v>4200</v>
      </c>
      <c r="Q99" s="35" t="s">
        <v>2449</v>
      </c>
      <c r="R99" s="35" t="s">
        <v>4200</v>
      </c>
      <c r="S99" s="35"/>
      <c r="T99" s="35"/>
    </row>
    <row r="100" spans="1:20" ht="14">
      <c r="A100" s="36" t="s">
        <v>133</v>
      </c>
      <c r="B100" s="36"/>
      <c r="C100" s="36"/>
      <c r="D100" s="36" t="s">
        <v>134</v>
      </c>
      <c r="E100" s="36"/>
      <c r="F100" s="35">
        <v>400</v>
      </c>
      <c r="G100" s="35" t="b">
        <v>0</v>
      </c>
      <c r="H100" s="39" t="s">
        <v>15</v>
      </c>
      <c r="I100" s="35" t="s">
        <v>132</v>
      </c>
      <c r="J100" s="35">
        <v>1</v>
      </c>
      <c r="K100" s="35" t="s">
        <v>4159</v>
      </c>
      <c r="L100" s="35" t="s">
        <v>4200</v>
      </c>
      <c r="M100" s="35" t="s">
        <v>4200</v>
      </c>
      <c r="N100" s="35" t="s">
        <v>4200</v>
      </c>
      <c r="O100" s="35" t="s">
        <v>4200</v>
      </c>
      <c r="P100" s="35" t="s">
        <v>4200</v>
      </c>
      <c r="Q100" s="35" t="s">
        <v>4200</v>
      </c>
      <c r="R100" s="35" t="s">
        <v>4159</v>
      </c>
      <c r="S100" s="35"/>
      <c r="T100" s="35"/>
    </row>
    <row r="101" spans="1:20" ht="14">
      <c r="A101" s="36" t="s">
        <v>129</v>
      </c>
      <c r="B101" s="36"/>
      <c r="C101" s="36"/>
      <c r="D101" s="36" t="s">
        <v>131</v>
      </c>
      <c r="E101" s="36"/>
      <c r="F101" s="35">
        <v>400</v>
      </c>
      <c r="G101" s="35" t="b">
        <v>0</v>
      </c>
      <c r="H101" s="39" t="s">
        <v>15</v>
      </c>
      <c r="I101" s="35" t="s">
        <v>132</v>
      </c>
      <c r="J101" s="35">
        <v>1</v>
      </c>
      <c r="K101" s="35" t="s">
        <v>4203</v>
      </c>
      <c r="L101" s="35" t="s">
        <v>4200</v>
      </c>
      <c r="M101" s="35" t="s">
        <v>4072</v>
      </c>
      <c r="N101" s="35" t="s">
        <v>4200</v>
      </c>
      <c r="O101" s="35" t="s">
        <v>4200</v>
      </c>
      <c r="P101" s="35" t="s">
        <v>4200</v>
      </c>
      <c r="Q101" s="35" t="s">
        <v>2449</v>
      </c>
      <c r="R101" s="35" t="s">
        <v>4200</v>
      </c>
      <c r="S101" s="35"/>
      <c r="T101" s="35"/>
    </row>
    <row r="102" spans="1:20" ht="14">
      <c r="A102" s="35" t="s">
        <v>127</v>
      </c>
      <c r="B102" s="35"/>
      <c r="C102" s="35" t="s">
        <v>4582</v>
      </c>
      <c r="D102" s="35" t="s">
        <v>138</v>
      </c>
      <c r="E102" s="35"/>
      <c r="F102" s="35">
        <v>900</v>
      </c>
      <c r="G102" s="35" t="b">
        <v>0</v>
      </c>
      <c r="H102" s="39" t="s">
        <v>15</v>
      </c>
      <c r="I102" s="35" t="s">
        <v>37</v>
      </c>
      <c r="J102" s="35">
        <v>0</v>
      </c>
      <c r="K102" s="35" t="s">
        <v>4202</v>
      </c>
      <c r="L102" s="35" t="s">
        <v>4200</v>
      </c>
      <c r="M102" s="35" t="s">
        <v>4072</v>
      </c>
      <c r="N102" s="35" t="s">
        <v>4200</v>
      </c>
      <c r="O102" s="35" t="s">
        <v>4200</v>
      </c>
      <c r="P102" s="35" t="s">
        <v>4200</v>
      </c>
      <c r="Q102" s="35" t="s">
        <v>2449</v>
      </c>
      <c r="R102" s="35" t="s">
        <v>4200</v>
      </c>
      <c r="S102" s="35"/>
      <c r="T102" s="35"/>
    </row>
    <row r="103" spans="1:20" ht="14">
      <c r="A103" s="26" t="s">
        <v>4068</v>
      </c>
      <c r="B103" s="26"/>
      <c r="C103" s="35"/>
      <c r="D103" s="36" t="s">
        <v>4069</v>
      </c>
      <c r="E103" s="36" t="s">
        <v>3160</v>
      </c>
      <c r="F103" s="35">
        <v>500</v>
      </c>
      <c r="G103" s="35" t="b">
        <v>1</v>
      </c>
      <c r="H103" s="39" t="s">
        <v>15</v>
      </c>
      <c r="I103" s="35" t="s">
        <v>3042</v>
      </c>
      <c r="J103" s="35">
        <v>2</v>
      </c>
      <c r="K103" s="35" t="s">
        <v>4202</v>
      </c>
      <c r="L103" s="35" t="s">
        <v>4200</v>
      </c>
      <c r="M103" s="35" t="s">
        <v>4072</v>
      </c>
      <c r="N103" s="35" t="s">
        <v>4200</v>
      </c>
      <c r="O103" s="35" t="s">
        <v>4200</v>
      </c>
      <c r="P103" s="35" t="s">
        <v>4200</v>
      </c>
      <c r="Q103" s="35" t="s">
        <v>2449</v>
      </c>
      <c r="R103" s="35" t="s">
        <v>4159</v>
      </c>
      <c r="S103" s="35"/>
      <c r="T103" s="35"/>
    </row>
    <row r="104" spans="1:20" ht="14">
      <c r="A104" s="26" t="s">
        <v>4075</v>
      </c>
      <c r="B104" s="26"/>
      <c r="C104" s="35"/>
      <c r="D104" s="36" t="s">
        <v>4073</v>
      </c>
      <c r="E104" s="36" t="s">
        <v>4074</v>
      </c>
      <c r="F104" s="35">
        <v>500</v>
      </c>
      <c r="G104" s="35" t="b">
        <v>1</v>
      </c>
      <c r="H104" s="39" t="s">
        <v>15</v>
      </c>
      <c r="I104" s="35" t="s">
        <v>3042</v>
      </c>
      <c r="J104" s="35">
        <v>2</v>
      </c>
      <c r="K104" s="35" t="s">
        <v>4202</v>
      </c>
      <c r="L104" s="35" t="s">
        <v>4200</v>
      </c>
      <c r="M104" s="35" t="s">
        <v>4072</v>
      </c>
      <c r="N104" s="35" t="s">
        <v>4200</v>
      </c>
      <c r="O104" s="35" t="s">
        <v>4200</v>
      </c>
      <c r="P104" s="35" t="s">
        <v>4200</v>
      </c>
      <c r="Q104" s="35" t="s">
        <v>2449</v>
      </c>
      <c r="R104" s="35" t="s">
        <v>4159</v>
      </c>
      <c r="S104" s="35"/>
      <c r="T104" s="35"/>
    </row>
    <row r="105" spans="1:20" ht="14">
      <c r="A105" s="26" t="s">
        <v>4083</v>
      </c>
      <c r="B105" s="35"/>
      <c r="C105" s="35"/>
      <c r="D105" s="36" t="s">
        <v>4479</v>
      </c>
      <c r="E105" s="36" t="s">
        <v>4084</v>
      </c>
      <c r="F105" s="35">
        <v>500</v>
      </c>
      <c r="G105" s="35" t="b">
        <v>1</v>
      </c>
      <c r="H105" s="39" t="s">
        <v>15</v>
      </c>
      <c r="I105" s="35" t="s">
        <v>3042</v>
      </c>
      <c r="J105" s="35">
        <v>2</v>
      </c>
      <c r="K105" s="35" t="s">
        <v>4202</v>
      </c>
      <c r="L105" s="35" t="s">
        <v>4200</v>
      </c>
      <c r="M105" s="35" t="s">
        <v>4072</v>
      </c>
      <c r="N105" s="35" t="s">
        <v>4200</v>
      </c>
      <c r="O105" s="35" t="s">
        <v>4200</v>
      </c>
      <c r="P105" s="35" t="s">
        <v>4200</v>
      </c>
      <c r="Q105" s="35" t="s">
        <v>2449</v>
      </c>
      <c r="R105" s="35" t="s">
        <v>4159</v>
      </c>
      <c r="S105" s="35"/>
      <c r="T105" s="35"/>
    </row>
    <row r="106" spans="1:20" ht="14">
      <c r="A106" s="35" t="s">
        <v>3871</v>
      </c>
      <c r="B106" s="35"/>
      <c r="C106" s="35"/>
      <c r="D106" s="35" t="s">
        <v>3872</v>
      </c>
      <c r="E106" s="35"/>
      <c r="F106" s="35">
        <v>450</v>
      </c>
      <c r="G106" s="35" t="b">
        <v>0</v>
      </c>
      <c r="H106" s="39" t="s">
        <v>15</v>
      </c>
      <c r="I106" s="35" t="s">
        <v>3873</v>
      </c>
      <c r="J106" s="35">
        <v>0</v>
      </c>
      <c r="K106" s="35" t="s">
        <v>4204</v>
      </c>
      <c r="L106" s="35" t="s">
        <v>4200</v>
      </c>
      <c r="M106" s="35" t="s">
        <v>4200</v>
      </c>
      <c r="N106" s="35" t="s">
        <v>4200</v>
      </c>
      <c r="O106" s="35" t="s">
        <v>4200</v>
      </c>
      <c r="P106" s="35" t="s">
        <v>4200</v>
      </c>
      <c r="Q106" s="35" t="s">
        <v>2449</v>
      </c>
      <c r="R106" s="35" t="s">
        <v>4159</v>
      </c>
      <c r="S106" s="35"/>
      <c r="T106" s="35"/>
    </row>
    <row r="107" spans="1:20" ht="14">
      <c r="A107" s="35" t="s">
        <v>141</v>
      </c>
      <c r="B107" s="35"/>
      <c r="C107" s="35" t="s">
        <v>3991</v>
      </c>
      <c r="D107" s="35" t="s">
        <v>142</v>
      </c>
      <c r="E107" s="35"/>
      <c r="F107" s="35">
        <v>500</v>
      </c>
      <c r="G107" s="35" t="b">
        <v>0</v>
      </c>
      <c r="H107" s="39" t="s">
        <v>15</v>
      </c>
      <c r="I107" s="35" t="s">
        <v>37</v>
      </c>
      <c r="J107" s="35">
        <v>0</v>
      </c>
      <c r="K107" s="35" t="s">
        <v>4202</v>
      </c>
      <c r="L107" s="35" t="s">
        <v>4200</v>
      </c>
      <c r="M107" s="35" t="s">
        <v>4072</v>
      </c>
      <c r="N107" s="35" t="s">
        <v>4200</v>
      </c>
      <c r="O107" s="35" t="s">
        <v>4200</v>
      </c>
      <c r="P107" s="35" t="s">
        <v>4200</v>
      </c>
      <c r="Q107" s="35" t="s">
        <v>2449</v>
      </c>
      <c r="R107" s="35" t="s">
        <v>4200</v>
      </c>
      <c r="S107" s="35"/>
      <c r="T107" s="35"/>
    </row>
    <row r="108" spans="1:20" ht="14">
      <c r="A108" s="26" t="s">
        <v>4076</v>
      </c>
      <c r="B108" s="26"/>
      <c r="C108" s="35"/>
      <c r="D108" s="36" t="s">
        <v>4077</v>
      </c>
      <c r="E108" s="36" t="s">
        <v>4078</v>
      </c>
      <c r="F108" s="35">
        <v>500</v>
      </c>
      <c r="G108" s="35" t="b">
        <v>1</v>
      </c>
      <c r="H108" s="39" t="s">
        <v>15</v>
      </c>
      <c r="I108" s="35" t="s">
        <v>3042</v>
      </c>
      <c r="J108" s="35">
        <v>2</v>
      </c>
      <c r="K108" s="35" t="s">
        <v>4202</v>
      </c>
      <c r="L108" s="35" t="s">
        <v>4200</v>
      </c>
      <c r="M108" s="35" t="s">
        <v>4072</v>
      </c>
      <c r="N108" s="35" t="s">
        <v>4200</v>
      </c>
      <c r="O108" s="35" t="s">
        <v>4200</v>
      </c>
      <c r="P108" s="35" t="s">
        <v>4200</v>
      </c>
      <c r="Q108" s="35" t="s">
        <v>2449</v>
      </c>
      <c r="R108" s="35" t="s">
        <v>4159</v>
      </c>
      <c r="S108" s="35"/>
      <c r="T108" s="35"/>
    </row>
    <row r="109" spans="1:20" ht="14">
      <c r="A109" s="26" t="s">
        <v>3999</v>
      </c>
      <c r="B109" s="26"/>
      <c r="C109" s="35"/>
      <c r="D109" s="36" t="s">
        <v>3983</v>
      </c>
      <c r="E109" s="36"/>
      <c r="F109" s="35">
        <v>500</v>
      </c>
      <c r="G109" s="35" t="b">
        <v>1</v>
      </c>
      <c r="H109" s="39" t="s">
        <v>15</v>
      </c>
      <c r="I109" s="35" t="s">
        <v>3042</v>
      </c>
      <c r="J109" s="35">
        <v>2</v>
      </c>
      <c r="K109" s="35" t="s">
        <v>4202</v>
      </c>
      <c r="L109" s="35" t="s">
        <v>4200</v>
      </c>
      <c r="M109" s="35" t="s">
        <v>4072</v>
      </c>
      <c r="N109" s="35" t="s">
        <v>4200</v>
      </c>
      <c r="O109" s="35" t="s">
        <v>4200</v>
      </c>
      <c r="P109" s="35" t="s">
        <v>4200</v>
      </c>
      <c r="Q109" s="35" t="s">
        <v>2449</v>
      </c>
      <c r="R109" s="35" t="s">
        <v>4159</v>
      </c>
      <c r="S109" s="35"/>
      <c r="T109" s="35"/>
    </row>
    <row r="110" spans="1:20" ht="14">
      <c r="A110" s="35" t="s">
        <v>4114</v>
      </c>
      <c r="B110" s="35" t="s">
        <v>4117</v>
      </c>
      <c r="C110" s="35"/>
      <c r="D110" s="35" t="s">
        <v>3983</v>
      </c>
      <c r="E110" s="35"/>
      <c r="F110" s="35">
        <v>500</v>
      </c>
      <c r="G110" s="35" t="b">
        <v>1</v>
      </c>
      <c r="H110" s="39" t="s">
        <v>15</v>
      </c>
      <c r="I110" s="35" t="s">
        <v>95</v>
      </c>
      <c r="J110" s="35">
        <v>0</v>
      </c>
      <c r="K110" s="35" t="s">
        <v>4213</v>
      </c>
      <c r="L110" s="35" t="s">
        <v>4200</v>
      </c>
      <c r="M110" s="35" t="s">
        <v>4072</v>
      </c>
      <c r="N110" s="35" t="s">
        <v>4200</v>
      </c>
      <c r="O110" s="35" t="s">
        <v>95</v>
      </c>
      <c r="P110" s="35" t="s">
        <v>4200</v>
      </c>
      <c r="Q110" s="35" t="s">
        <v>4200</v>
      </c>
      <c r="R110" s="35" t="s">
        <v>4200</v>
      </c>
      <c r="S110" s="35"/>
      <c r="T110" s="35"/>
    </row>
    <row r="111" spans="1:20" ht="14">
      <c r="A111" s="35" t="s">
        <v>4116</v>
      </c>
      <c r="B111" s="35" t="s">
        <v>4118</v>
      </c>
      <c r="C111" s="35"/>
      <c r="D111" s="35" t="s">
        <v>4124</v>
      </c>
      <c r="E111" s="35"/>
      <c r="F111" s="35">
        <v>500</v>
      </c>
      <c r="G111" s="35" t="b">
        <v>1</v>
      </c>
      <c r="H111" s="39" t="s">
        <v>15</v>
      </c>
      <c r="I111" s="35" t="s">
        <v>95</v>
      </c>
      <c r="J111" s="35">
        <v>0</v>
      </c>
      <c r="K111" s="35" t="s">
        <v>4213</v>
      </c>
      <c r="L111" s="35" t="s">
        <v>4200</v>
      </c>
      <c r="M111" s="35" t="s">
        <v>4072</v>
      </c>
      <c r="N111" s="35" t="s">
        <v>4200</v>
      </c>
      <c r="O111" s="35" t="s">
        <v>95</v>
      </c>
      <c r="P111" s="35" t="s">
        <v>4200</v>
      </c>
      <c r="Q111" s="35" t="s">
        <v>4200</v>
      </c>
      <c r="R111" s="35" t="s">
        <v>4200</v>
      </c>
      <c r="S111" s="35"/>
      <c r="T111" s="35"/>
    </row>
    <row r="112" spans="1:20" ht="14">
      <c r="A112" s="35" t="s">
        <v>4115</v>
      </c>
      <c r="B112" s="35" t="s">
        <v>4118</v>
      </c>
      <c r="C112" s="35"/>
      <c r="D112" s="35" t="s">
        <v>4123</v>
      </c>
      <c r="E112" s="35"/>
      <c r="F112" s="35">
        <v>600</v>
      </c>
      <c r="G112" s="35" t="b">
        <v>1</v>
      </c>
      <c r="H112" s="39" t="s">
        <v>15</v>
      </c>
      <c r="I112" s="35" t="s">
        <v>95</v>
      </c>
      <c r="J112" s="35">
        <v>0</v>
      </c>
      <c r="K112" s="35" t="s">
        <v>4213</v>
      </c>
      <c r="L112" s="35" t="s">
        <v>4200</v>
      </c>
      <c r="M112" s="35" t="s">
        <v>4072</v>
      </c>
      <c r="N112" s="35" t="s">
        <v>4200</v>
      </c>
      <c r="O112" s="35" t="s">
        <v>95</v>
      </c>
      <c r="P112" s="35" t="s">
        <v>4200</v>
      </c>
      <c r="Q112" s="35" t="s">
        <v>4200</v>
      </c>
      <c r="R112" s="35" t="s">
        <v>4200</v>
      </c>
      <c r="S112" s="35"/>
      <c r="T112" s="35"/>
    </row>
    <row r="113" spans="1:20" ht="14">
      <c r="A113" s="26" t="s">
        <v>4153</v>
      </c>
      <c r="B113" s="26"/>
      <c r="C113" s="35"/>
      <c r="D113" s="36" t="s">
        <v>4156</v>
      </c>
      <c r="E113" s="36"/>
      <c r="F113" s="35">
        <v>800</v>
      </c>
      <c r="G113" s="35" t="b">
        <v>1</v>
      </c>
      <c r="H113" s="39" t="s">
        <v>15</v>
      </c>
      <c r="I113" s="35" t="s">
        <v>3042</v>
      </c>
      <c r="J113" s="35">
        <v>2</v>
      </c>
      <c r="K113" s="35" t="s">
        <v>4202</v>
      </c>
      <c r="L113" s="35" t="s">
        <v>4200</v>
      </c>
      <c r="M113" s="35" t="s">
        <v>4072</v>
      </c>
      <c r="N113" s="35" t="s">
        <v>4200</v>
      </c>
      <c r="O113" s="35" t="s">
        <v>4200</v>
      </c>
      <c r="P113" s="35" t="s">
        <v>4200</v>
      </c>
      <c r="Q113" s="35" t="s">
        <v>2449</v>
      </c>
      <c r="R113" s="35" t="s">
        <v>4159</v>
      </c>
      <c r="S113" s="35"/>
      <c r="T113" s="35"/>
    </row>
    <row r="114" spans="1:20" ht="14">
      <c r="A114" s="36" t="s">
        <v>22</v>
      </c>
      <c r="B114" s="36"/>
      <c r="C114" s="36" t="s">
        <v>3892</v>
      </c>
      <c r="D114" s="36" t="s">
        <v>24</v>
      </c>
      <c r="E114" s="36"/>
      <c r="F114" s="35">
        <v>550</v>
      </c>
      <c r="G114" s="35" t="b">
        <v>0</v>
      </c>
      <c r="H114" s="39" t="s">
        <v>15</v>
      </c>
      <c r="I114" s="35" t="s">
        <v>25</v>
      </c>
      <c r="J114" s="35">
        <v>1</v>
      </c>
      <c r="K114" s="35" t="s">
        <v>4203</v>
      </c>
      <c r="L114" s="35" t="s">
        <v>4200</v>
      </c>
      <c r="M114" s="35" t="s">
        <v>4072</v>
      </c>
      <c r="N114" s="35" t="s">
        <v>4200</v>
      </c>
      <c r="O114" s="35" t="s">
        <v>4200</v>
      </c>
      <c r="P114" s="35" t="s">
        <v>4200</v>
      </c>
      <c r="Q114" s="35" t="s">
        <v>2449</v>
      </c>
      <c r="R114" s="35" t="s">
        <v>4200</v>
      </c>
      <c r="S114" s="35"/>
      <c r="T114" s="35"/>
    </row>
    <row r="115" spans="1:20" ht="14">
      <c r="A115" s="35" t="s">
        <v>2774</v>
      </c>
      <c r="B115" s="35"/>
      <c r="C115" s="35" t="s">
        <v>4153</v>
      </c>
      <c r="D115" s="35" t="s">
        <v>2775</v>
      </c>
      <c r="E115" s="35"/>
      <c r="F115" s="35">
        <v>500</v>
      </c>
      <c r="G115" s="35" t="b">
        <v>0</v>
      </c>
      <c r="H115" s="39" t="s">
        <v>17</v>
      </c>
      <c r="I115" s="35" t="s">
        <v>37</v>
      </c>
      <c r="J115" s="35">
        <v>0</v>
      </c>
      <c r="K115" s="35" t="s">
        <v>2449</v>
      </c>
      <c r="L115" s="35" t="s">
        <v>4200</v>
      </c>
      <c r="M115" s="35" t="s">
        <v>4200</v>
      </c>
      <c r="N115" s="35" t="s">
        <v>4200</v>
      </c>
      <c r="O115" s="35" t="s">
        <v>4200</v>
      </c>
      <c r="P115" s="35" t="s">
        <v>4200</v>
      </c>
      <c r="Q115" s="35" t="s">
        <v>2449</v>
      </c>
      <c r="R115" s="35" t="s">
        <v>4200</v>
      </c>
      <c r="S115" s="35"/>
      <c r="T115" s="35"/>
    </row>
    <row r="116" spans="1:20" ht="14">
      <c r="A116" s="35" t="s">
        <v>4218</v>
      </c>
      <c r="B116" s="35" t="s">
        <v>4199</v>
      </c>
      <c r="C116" s="35" t="s">
        <v>4153</v>
      </c>
      <c r="D116" s="35" t="s">
        <v>4219</v>
      </c>
      <c r="E116" s="35"/>
      <c r="F116" s="35">
        <v>500</v>
      </c>
      <c r="G116" s="35" t="b">
        <v>1</v>
      </c>
      <c r="H116" s="39" t="s">
        <v>15</v>
      </c>
      <c r="I116" s="35" t="s">
        <v>37</v>
      </c>
      <c r="J116" s="35">
        <v>0</v>
      </c>
      <c r="K116" s="35" t="s">
        <v>4202</v>
      </c>
      <c r="L116" s="35" t="s">
        <v>4200</v>
      </c>
      <c r="M116" s="35" t="s">
        <v>4072</v>
      </c>
      <c r="N116" s="35" t="s">
        <v>4200</v>
      </c>
      <c r="O116" s="35" t="s">
        <v>4200</v>
      </c>
      <c r="P116" s="35" t="s">
        <v>4200</v>
      </c>
      <c r="Q116" s="35" t="s">
        <v>2449</v>
      </c>
      <c r="R116" s="35" t="s">
        <v>4159</v>
      </c>
      <c r="S116" s="35"/>
      <c r="T116" s="35"/>
    </row>
    <row r="117" spans="1:20" ht="14">
      <c r="A117" s="35" t="s">
        <v>145</v>
      </c>
      <c r="B117" s="35" t="s">
        <v>4191</v>
      </c>
      <c r="C117" s="35" t="s">
        <v>147</v>
      </c>
      <c r="D117" s="35" t="s">
        <v>146</v>
      </c>
      <c r="E117" s="35"/>
      <c r="F117" s="35">
        <v>400</v>
      </c>
      <c r="G117" s="35" t="b">
        <v>0</v>
      </c>
      <c r="H117" s="39" t="s">
        <v>15</v>
      </c>
      <c r="I117" s="35" t="s">
        <v>95</v>
      </c>
      <c r="J117" s="35">
        <v>0</v>
      </c>
      <c r="K117" s="35" t="s">
        <v>4213</v>
      </c>
      <c r="L117" s="35" t="s">
        <v>4200</v>
      </c>
      <c r="M117" s="35" t="s">
        <v>4072</v>
      </c>
      <c r="N117" s="35" t="s">
        <v>4200</v>
      </c>
      <c r="O117" s="35" t="s">
        <v>95</v>
      </c>
      <c r="P117" s="35" t="s">
        <v>4200</v>
      </c>
      <c r="Q117" s="35" t="s">
        <v>4200</v>
      </c>
      <c r="R117" s="35" t="s">
        <v>4200</v>
      </c>
      <c r="S117" s="35"/>
      <c r="T117" s="35"/>
    </row>
    <row r="118" spans="1:20" ht="14">
      <c r="A118" s="35" t="s">
        <v>147</v>
      </c>
      <c r="B118" s="35"/>
      <c r="C118" s="35" t="s">
        <v>4120</v>
      </c>
      <c r="D118" s="35" t="s">
        <v>4113</v>
      </c>
      <c r="E118" s="35"/>
      <c r="F118" s="35">
        <v>500</v>
      </c>
      <c r="G118" s="35" t="b">
        <v>0</v>
      </c>
      <c r="H118" s="39" t="s">
        <v>15</v>
      </c>
      <c r="I118" s="35" t="s">
        <v>95</v>
      </c>
      <c r="J118" s="35">
        <v>0</v>
      </c>
      <c r="K118" s="35" t="s">
        <v>4213</v>
      </c>
      <c r="L118" s="35" t="s">
        <v>4200</v>
      </c>
      <c r="M118" s="35" t="s">
        <v>4072</v>
      </c>
      <c r="N118" s="35" t="s">
        <v>4200</v>
      </c>
      <c r="O118" s="35" t="s">
        <v>95</v>
      </c>
      <c r="P118" s="35" t="s">
        <v>4200</v>
      </c>
      <c r="Q118" s="35" t="s">
        <v>4200</v>
      </c>
      <c r="R118" s="35" t="s">
        <v>4200</v>
      </c>
      <c r="S118" s="35"/>
      <c r="T118" s="35"/>
    </row>
    <row r="119" spans="1:20" ht="14">
      <c r="A119" s="36" t="s">
        <v>152</v>
      </c>
      <c r="B119" s="36"/>
      <c r="C119" s="36" t="s">
        <v>4026</v>
      </c>
      <c r="D119" s="36" t="s">
        <v>153</v>
      </c>
      <c r="E119" s="36"/>
      <c r="F119" s="35">
        <v>550</v>
      </c>
      <c r="G119" s="35" t="b">
        <v>0</v>
      </c>
      <c r="H119" s="39" t="s">
        <v>15</v>
      </c>
      <c r="I119" s="35" t="s">
        <v>25</v>
      </c>
      <c r="J119" s="35">
        <v>1</v>
      </c>
      <c r="K119" s="35" t="s">
        <v>4203</v>
      </c>
      <c r="L119" s="35" t="s">
        <v>4200</v>
      </c>
      <c r="M119" s="35" t="s">
        <v>4072</v>
      </c>
      <c r="N119" s="35" t="s">
        <v>4200</v>
      </c>
      <c r="O119" s="35" t="s">
        <v>4200</v>
      </c>
      <c r="P119" s="35" t="s">
        <v>4200</v>
      </c>
      <c r="Q119" s="35" t="s">
        <v>2449</v>
      </c>
      <c r="R119" s="35" t="s">
        <v>4200</v>
      </c>
      <c r="S119" s="35"/>
      <c r="T119" s="35"/>
    </row>
    <row r="120" spans="1:20" ht="14">
      <c r="A120" s="35" t="s">
        <v>2824</v>
      </c>
      <c r="B120" s="35"/>
      <c r="C120" s="35"/>
      <c r="D120" s="35" t="s">
        <v>2825</v>
      </c>
      <c r="E120" s="35"/>
      <c r="F120" s="35">
        <v>500</v>
      </c>
      <c r="G120" s="35" t="b">
        <v>0</v>
      </c>
      <c r="H120" s="39" t="s">
        <v>15</v>
      </c>
      <c r="I120" s="35" t="s">
        <v>41</v>
      </c>
      <c r="J120" s="35">
        <v>1</v>
      </c>
      <c r="K120" s="35" t="s">
        <v>4202</v>
      </c>
      <c r="L120" s="35" t="s">
        <v>4200</v>
      </c>
      <c r="M120" s="35" t="s">
        <v>4072</v>
      </c>
      <c r="N120" s="35" t="s">
        <v>4200</v>
      </c>
      <c r="O120" s="35" t="s">
        <v>4200</v>
      </c>
      <c r="P120" s="35" t="s">
        <v>4200</v>
      </c>
      <c r="Q120" s="35" t="s">
        <v>2449</v>
      </c>
      <c r="R120" s="35" t="s">
        <v>4159</v>
      </c>
      <c r="S120" s="35"/>
      <c r="T120" s="35"/>
    </row>
    <row r="121" spans="1:20" ht="14">
      <c r="A121" s="35" t="s">
        <v>3091</v>
      </c>
      <c r="B121" s="35"/>
      <c r="C121" s="35"/>
      <c r="D121" s="35" t="s">
        <v>3092</v>
      </c>
      <c r="E121" s="35"/>
      <c r="F121" s="35">
        <v>600</v>
      </c>
      <c r="G121" s="35" t="b">
        <v>0</v>
      </c>
      <c r="H121" s="39" t="s">
        <v>15</v>
      </c>
      <c r="I121" s="35" t="s">
        <v>37</v>
      </c>
      <c r="J121" s="35">
        <v>0</v>
      </c>
      <c r="K121" s="35" t="s">
        <v>4206</v>
      </c>
      <c r="L121" s="35" t="s">
        <v>4200</v>
      </c>
      <c r="M121" s="35" t="s">
        <v>4072</v>
      </c>
      <c r="N121" s="35" t="s">
        <v>4200</v>
      </c>
      <c r="O121" s="35" t="s">
        <v>4200</v>
      </c>
      <c r="P121" s="35" t="s">
        <v>4207</v>
      </c>
      <c r="Q121" s="35" t="s">
        <v>4200</v>
      </c>
      <c r="R121" s="35" t="s">
        <v>4200</v>
      </c>
      <c r="S121" s="35"/>
      <c r="T121" s="35"/>
    </row>
    <row r="122" spans="1:20" ht="14">
      <c r="A122" s="35" t="s">
        <v>172</v>
      </c>
      <c r="B122" s="35"/>
      <c r="C122" s="35"/>
      <c r="D122" s="35" t="s">
        <v>173</v>
      </c>
      <c r="E122" s="35"/>
      <c r="F122" s="35">
        <v>500</v>
      </c>
      <c r="G122" s="35" t="b">
        <v>0</v>
      </c>
      <c r="H122" s="39" t="s">
        <v>15</v>
      </c>
      <c r="I122" s="35" t="s">
        <v>165</v>
      </c>
      <c r="J122" s="35">
        <v>0</v>
      </c>
      <c r="K122" s="35" t="s">
        <v>4201</v>
      </c>
      <c r="L122" s="35" t="s">
        <v>4200</v>
      </c>
      <c r="M122" s="35" t="s">
        <v>4072</v>
      </c>
      <c r="N122" s="35" t="s">
        <v>165</v>
      </c>
      <c r="O122" s="35" t="s">
        <v>4200</v>
      </c>
      <c r="P122" s="35" t="s">
        <v>4200</v>
      </c>
      <c r="Q122" s="35" t="s">
        <v>4200</v>
      </c>
      <c r="R122" s="35" t="s">
        <v>4200</v>
      </c>
      <c r="S122" s="35"/>
      <c r="T122" s="35"/>
    </row>
    <row r="123" spans="1:20" ht="14">
      <c r="A123" s="35" t="s">
        <v>154</v>
      </c>
      <c r="B123" s="35"/>
      <c r="C123" s="35"/>
      <c r="D123" s="35" t="s">
        <v>155</v>
      </c>
      <c r="E123" s="35"/>
      <c r="F123" s="35">
        <v>500</v>
      </c>
      <c r="G123" s="35" t="b">
        <v>0</v>
      </c>
      <c r="H123" s="39" t="s">
        <v>15</v>
      </c>
      <c r="I123" s="35" t="s">
        <v>21</v>
      </c>
      <c r="J123" s="35">
        <v>2</v>
      </c>
      <c r="K123" s="35" t="s">
        <v>4212</v>
      </c>
      <c r="L123" s="35" t="s">
        <v>4200</v>
      </c>
      <c r="M123" s="35" t="s">
        <v>4072</v>
      </c>
      <c r="N123" s="35" t="s">
        <v>4200</v>
      </c>
      <c r="O123" s="35" t="s">
        <v>4200</v>
      </c>
      <c r="P123" s="35" t="s">
        <v>4207</v>
      </c>
      <c r="Q123" s="35" t="s">
        <v>2449</v>
      </c>
      <c r="R123" s="35" t="s">
        <v>4159</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4200</v>
      </c>
      <c r="M124" s="35" t="s">
        <v>4200</v>
      </c>
      <c r="N124" s="35" t="s">
        <v>165</v>
      </c>
      <c r="O124" s="35" t="s">
        <v>4200</v>
      </c>
      <c r="P124" s="35" t="s">
        <v>4200</v>
      </c>
      <c r="Q124" s="35" t="s">
        <v>4200</v>
      </c>
      <c r="R124" s="35" t="s">
        <v>4200</v>
      </c>
      <c r="S124" s="35"/>
      <c r="T124" s="35"/>
    </row>
    <row r="125" spans="1:20" ht="14">
      <c r="A125" s="36" t="s">
        <v>26</v>
      </c>
      <c r="B125" s="36"/>
      <c r="C125" s="36"/>
      <c r="D125" s="35" t="s">
        <v>28</v>
      </c>
      <c r="E125" s="35"/>
      <c r="F125" s="35">
        <v>500</v>
      </c>
      <c r="G125" s="35" t="b">
        <v>0</v>
      </c>
      <c r="H125" s="39" t="s">
        <v>15</v>
      </c>
      <c r="I125" s="35" t="s">
        <v>29</v>
      </c>
      <c r="J125" s="35">
        <v>3</v>
      </c>
      <c r="K125" s="35" t="s">
        <v>4203</v>
      </c>
      <c r="L125" s="35" t="s">
        <v>4200</v>
      </c>
      <c r="M125" s="35" t="s">
        <v>4072</v>
      </c>
      <c r="N125" s="35" t="s">
        <v>4200</v>
      </c>
      <c r="O125" s="35" t="s">
        <v>4200</v>
      </c>
      <c r="P125" s="35" t="s">
        <v>4200</v>
      </c>
      <c r="Q125" s="35" t="s">
        <v>2449</v>
      </c>
      <c r="R125" s="35" t="s">
        <v>4200</v>
      </c>
      <c r="S125" s="35"/>
      <c r="T125" s="35"/>
    </row>
    <row r="126" spans="1:20" ht="14">
      <c r="A126" s="35" t="s">
        <v>3022</v>
      </c>
      <c r="B126" s="35"/>
      <c r="C126" s="35"/>
      <c r="D126" s="35" t="s">
        <v>3021</v>
      </c>
      <c r="E126" s="35"/>
      <c r="F126" s="35">
        <v>500</v>
      </c>
      <c r="G126" s="35" t="b">
        <v>0</v>
      </c>
      <c r="H126" s="39" t="s">
        <v>15</v>
      </c>
      <c r="I126" s="35" t="s">
        <v>37</v>
      </c>
      <c r="J126" s="35">
        <v>0</v>
      </c>
      <c r="K126" s="35" t="s">
        <v>4202</v>
      </c>
      <c r="L126" s="35" t="s">
        <v>4200</v>
      </c>
      <c r="M126" s="35" t="s">
        <v>4072</v>
      </c>
      <c r="N126" s="35" t="s">
        <v>4200</v>
      </c>
      <c r="O126" s="35" t="s">
        <v>4200</v>
      </c>
      <c r="P126" s="35" t="s">
        <v>4200</v>
      </c>
      <c r="Q126" s="35" t="s">
        <v>2449</v>
      </c>
      <c r="R126" s="35" t="s">
        <v>4159</v>
      </c>
      <c r="S126" s="35"/>
      <c r="T126" s="35"/>
    </row>
    <row r="127" spans="1:20" ht="14">
      <c r="A127" s="35" t="s">
        <v>89</v>
      </c>
      <c r="B127" s="35"/>
      <c r="C127" s="35"/>
      <c r="D127" s="35" t="s">
        <v>90</v>
      </c>
      <c r="E127" s="35"/>
      <c r="F127" s="35">
        <v>500</v>
      </c>
      <c r="G127" s="35" t="b">
        <v>0</v>
      </c>
      <c r="H127" s="39" t="s">
        <v>15</v>
      </c>
      <c r="I127" s="35" t="s">
        <v>91</v>
      </c>
      <c r="J127" s="35">
        <v>0</v>
      </c>
      <c r="K127" s="35" t="s">
        <v>4203</v>
      </c>
      <c r="L127" s="35" t="s">
        <v>4200</v>
      </c>
      <c r="M127" s="35" t="s">
        <v>4072</v>
      </c>
      <c r="N127" s="35" t="s">
        <v>4200</v>
      </c>
      <c r="O127" s="35" t="s">
        <v>4200</v>
      </c>
      <c r="P127" s="35" t="s">
        <v>4200</v>
      </c>
      <c r="Q127" s="35" t="s">
        <v>2449</v>
      </c>
      <c r="R127" s="35" t="s">
        <v>4200</v>
      </c>
      <c r="S127" s="35"/>
      <c r="T127" s="35"/>
    </row>
    <row r="128" spans="1:20" ht="14">
      <c r="A128" s="36" t="s">
        <v>157</v>
      </c>
      <c r="B128" s="36"/>
      <c r="C128" s="36"/>
      <c r="D128" s="35" t="s">
        <v>158</v>
      </c>
      <c r="E128" s="35"/>
      <c r="F128" s="35">
        <v>500</v>
      </c>
      <c r="G128" s="35" t="b">
        <v>0</v>
      </c>
      <c r="H128" s="39" t="s">
        <v>15</v>
      </c>
      <c r="I128" s="35" t="s">
        <v>132</v>
      </c>
      <c r="J128" s="35">
        <v>1</v>
      </c>
      <c r="K128" s="35" t="s">
        <v>4203</v>
      </c>
      <c r="L128" s="35" t="s">
        <v>4200</v>
      </c>
      <c r="M128" s="35" t="s">
        <v>4072</v>
      </c>
      <c r="N128" s="35" t="s">
        <v>4200</v>
      </c>
      <c r="O128" s="35" t="s">
        <v>4200</v>
      </c>
      <c r="P128" s="35" t="s">
        <v>4200</v>
      </c>
      <c r="Q128" s="35" t="s">
        <v>2449</v>
      </c>
      <c r="R128" s="35" t="s">
        <v>4200</v>
      </c>
      <c r="S128" s="35"/>
      <c r="T128" s="35"/>
    </row>
    <row r="129" spans="1:20" ht="14">
      <c r="A129" s="35" t="s">
        <v>2780</v>
      </c>
      <c r="B129" s="35"/>
      <c r="C129" s="35"/>
      <c r="D129" s="35" t="s">
        <v>3020</v>
      </c>
      <c r="E129" s="35"/>
      <c r="F129" s="35">
        <v>650</v>
      </c>
      <c r="G129" s="35" t="b">
        <v>0</v>
      </c>
      <c r="H129" s="39" t="s">
        <v>15</v>
      </c>
      <c r="I129" s="35" t="s">
        <v>41</v>
      </c>
      <c r="J129" s="35">
        <v>0</v>
      </c>
      <c r="K129" s="35" t="s">
        <v>4202</v>
      </c>
      <c r="L129" s="35" t="s">
        <v>4200</v>
      </c>
      <c r="M129" s="35" t="s">
        <v>4072</v>
      </c>
      <c r="N129" s="35" t="s">
        <v>4200</v>
      </c>
      <c r="O129" s="35" t="s">
        <v>4200</v>
      </c>
      <c r="P129" s="35" t="s">
        <v>4200</v>
      </c>
      <c r="Q129" s="35" t="s">
        <v>2449</v>
      </c>
      <c r="R129" s="35" t="s">
        <v>4159</v>
      </c>
      <c r="S129" s="35"/>
      <c r="T129" s="35"/>
    </row>
    <row r="130" spans="1:20" ht="14">
      <c r="A130" s="35" t="s">
        <v>4119</v>
      </c>
      <c r="B130" s="35" t="s">
        <v>4121</v>
      </c>
      <c r="C130" s="35"/>
      <c r="D130" s="35" t="s">
        <v>4125</v>
      </c>
      <c r="E130" s="35"/>
      <c r="F130" s="35">
        <v>500</v>
      </c>
      <c r="G130" s="35" t="b">
        <v>1</v>
      </c>
      <c r="H130" s="39" t="s">
        <v>15</v>
      </c>
      <c r="I130" s="35" t="s">
        <v>95</v>
      </c>
      <c r="J130" s="35">
        <v>0</v>
      </c>
      <c r="K130" s="35" t="s">
        <v>4213</v>
      </c>
      <c r="L130" s="35" t="s">
        <v>4200</v>
      </c>
      <c r="M130" s="35" t="s">
        <v>4072</v>
      </c>
      <c r="N130" s="35" t="s">
        <v>4200</v>
      </c>
      <c r="O130" s="35" t="s">
        <v>95</v>
      </c>
      <c r="P130" s="35" t="s">
        <v>4200</v>
      </c>
      <c r="Q130" s="35" t="s">
        <v>4200</v>
      </c>
      <c r="R130" s="35" t="s">
        <v>4200</v>
      </c>
      <c r="S130" s="35"/>
      <c r="T130" s="35"/>
    </row>
    <row r="131" spans="1:20" ht="14">
      <c r="A131" s="26" t="s">
        <v>3896</v>
      </c>
      <c r="B131" s="26"/>
      <c r="C131" s="35"/>
      <c r="D131" s="36" t="s">
        <v>3898</v>
      </c>
      <c r="E131" s="36" t="s">
        <v>2469</v>
      </c>
      <c r="F131" s="35">
        <v>500</v>
      </c>
      <c r="G131" s="35" t="b">
        <v>1</v>
      </c>
      <c r="H131" s="39" t="s">
        <v>15</v>
      </c>
      <c r="I131" s="35" t="s">
        <v>3042</v>
      </c>
      <c r="J131" s="35">
        <v>2</v>
      </c>
      <c r="K131" s="35" t="s">
        <v>4202</v>
      </c>
      <c r="L131" s="35" t="s">
        <v>4200</v>
      </c>
      <c r="M131" s="35" t="s">
        <v>4072</v>
      </c>
      <c r="N131" s="35" t="s">
        <v>4200</v>
      </c>
      <c r="O131" s="35" t="s">
        <v>4200</v>
      </c>
      <c r="P131" s="35" t="s">
        <v>4200</v>
      </c>
      <c r="Q131" s="35" t="s">
        <v>2449</v>
      </c>
      <c r="R131" s="35" t="s">
        <v>4159</v>
      </c>
      <c r="S131" s="35"/>
      <c r="T131" s="35"/>
    </row>
    <row r="132" spans="1:20" ht="14">
      <c r="A132" s="35" t="s">
        <v>60</v>
      </c>
      <c r="B132" s="35"/>
      <c r="C132" s="36" t="s">
        <v>3892</v>
      </c>
      <c r="D132" s="35" t="s">
        <v>61</v>
      </c>
      <c r="E132" s="35"/>
      <c r="F132" s="35">
        <v>200</v>
      </c>
      <c r="G132" s="35" t="b">
        <v>0</v>
      </c>
      <c r="H132" s="39" t="s">
        <v>15</v>
      </c>
      <c r="I132" s="35" t="s">
        <v>55</v>
      </c>
      <c r="J132" s="35">
        <v>0</v>
      </c>
      <c r="K132" s="35" t="s">
        <v>4202</v>
      </c>
      <c r="L132" s="35" t="s">
        <v>4200</v>
      </c>
      <c r="M132" s="35" t="s">
        <v>4072</v>
      </c>
      <c r="N132" s="35" t="s">
        <v>4200</v>
      </c>
      <c r="O132" s="35" t="s">
        <v>4200</v>
      </c>
      <c r="P132" s="35" t="s">
        <v>4200</v>
      </c>
      <c r="Q132" s="35" t="s">
        <v>2449</v>
      </c>
      <c r="R132" s="35" t="s">
        <v>4200</v>
      </c>
      <c r="S132" s="35"/>
      <c r="T132" s="35"/>
    </row>
    <row r="133" spans="1:20" ht="14">
      <c r="A133" s="36" t="s">
        <v>159</v>
      </c>
      <c r="B133" s="36"/>
      <c r="C133" s="36" t="s">
        <v>4024</v>
      </c>
      <c r="D133" s="35" t="s">
        <v>160</v>
      </c>
      <c r="E133" s="35"/>
      <c r="F133" s="35">
        <v>500</v>
      </c>
      <c r="G133" s="35" t="b">
        <v>0</v>
      </c>
      <c r="H133" s="39" t="s">
        <v>15</v>
      </c>
      <c r="I133" s="35" t="s">
        <v>37</v>
      </c>
      <c r="J133" s="35">
        <v>0</v>
      </c>
      <c r="K133" s="35" t="s">
        <v>4202</v>
      </c>
      <c r="L133" s="35" t="s">
        <v>4200</v>
      </c>
      <c r="M133" s="35" t="s">
        <v>4072</v>
      </c>
      <c r="N133" s="35" t="s">
        <v>4200</v>
      </c>
      <c r="O133" s="35" t="s">
        <v>4200</v>
      </c>
      <c r="P133" s="35" t="s">
        <v>4200</v>
      </c>
      <c r="Q133" s="35" t="s">
        <v>2449</v>
      </c>
      <c r="R133" s="35" t="s">
        <v>4200</v>
      </c>
      <c r="S133" s="35"/>
      <c r="T133" s="35"/>
    </row>
    <row r="134" spans="1:20" ht="14">
      <c r="A134" s="36" t="s">
        <v>161</v>
      </c>
      <c r="B134" s="36"/>
      <c r="C134" s="36"/>
      <c r="D134" s="35" t="s">
        <v>2673</v>
      </c>
      <c r="E134" s="35"/>
      <c r="F134" s="35">
        <v>500</v>
      </c>
      <c r="G134" s="35" t="b">
        <v>0</v>
      </c>
      <c r="H134" s="39" t="s">
        <v>15</v>
      </c>
      <c r="I134" s="35" t="s">
        <v>37</v>
      </c>
      <c r="J134" s="35">
        <v>0</v>
      </c>
      <c r="K134" s="35" t="s">
        <v>4203</v>
      </c>
      <c r="L134" s="35" t="s">
        <v>4200</v>
      </c>
      <c r="M134" s="35" t="s">
        <v>4072</v>
      </c>
      <c r="N134" s="35" t="s">
        <v>4200</v>
      </c>
      <c r="O134" s="35" t="s">
        <v>4200</v>
      </c>
      <c r="P134" s="35" t="s">
        <v>4200</v>
      </c>
      <c r="Q134" s="35" t="s">
        <v>2449</v>
      </c>
      <c r="R134" s="35" t="s">
        <v>4200</v>
      </c>
      <c r="S134" s="35"/>
      <c r="T134" s="35"/>
    </row>
    <row r="135" spans="1:20" ht="14">
      <c r="A135" s="26" t="s">
        <v>3993</v>
      </c>
      <c r="B135" s="26"/>
      <c r="C135" s="35"/>
      <c r="D135" s="36" t="s">
        <v>4444</v>
      </c>
      <c r="E135" s="36" t="s">
        <v>3951</v>
      </c>
      <c r="F135" s="35">
        <v>500</v>
      </c>
      <c r="G135" s="35" t="b">
        <v>1</v>
      </c>
      <c r="H135" s="39" t="s">
        <v>15</v>
      </c>
      <c r="I135" s="35" t="s">
        <v>3042</v>
      </c>
      <c r="J135" s="35">
        <v>2</v>
      </c>
      <c r="K135" s="35" t="s">
        <v>4202</v>
      </c>
      <c r="L135" s="35" t="s">
        <v>4200</v>
      </c>
      <c r="M135" s="35" t="s">
        <v>4072</v>
      </c>
      <c r="N135" s="35" t="s">
        <v>4200</v>
      </c>
      <c r="O135" s="35" t="s">
        <v>4200</v>
      </c>
      <c r="P135" s="35" t="s">
        <v>4200</v>
      </c>
      <c r="Q135" s="35" t="s">
        <v>2449</v>
      </c>
      <c r="R135" s="35" t="s">
        <v>4159</v>
      </c>
      <c r="S135" s="35"/>
      <c r="T135" s="35"/>
    </row>
    <row r="136" spans="1:20" ht="14">
      <c r="A136" s="35" t="s">
        <v>4197</v>
      </c>
      <c r="B136" s="35" t="s">
        <v>4198</v>
      </c>
      <c r="C136" s="35" t="s">
        <v>147</v>
      </c>
      <c r="D136" s="35" t="s">
        <v>4192</v>
      </c>
      <c r="E136" s="35"/>
      <c r="F136" s="35">
        <v>400</v>
      </c>
      <c r="G136" s="35" t="b">
        <v>0</v>
      </c>
      <c r="H136" s="39" t="s">
        <v>15</v>
      </c>
      <c r="I136" s="35" t="s">
        <v>95</v>
      </c>
      <c r="J136" s="35">
        <v>0</v>
      </c>
      <c r="K136" s="35" t="s">
        <v>4213</v>
      </c>
      <c r="L136" s="35" t="s">
        <v>4200</v>
      </c>
      <c r="M136" s="35" t="s">
        <v>4072</v>
      </c>
      <c r="N136" s="35" t="s">
        <v>4200</v>
      </c>
      <c r="O136" s="35" t="s">
        <v>95</v>
      </c>
      <c r="P136" s="35" t="s">
        <v>4200</v>
      </c>
      <c r="Q136" s="35" t="s">
        <v>4200</v>
      </c>
      <c r="R136" s="35" t="s">
        <v>4200</v>
      </c>
      <c r="S136" s="35"/>
      <c r="T136" s="35"/>
    </row>
    <row r="137" spans="1:20" ht="14">
      <c r="A137" s="26" t="s">
        <v>3997</v>
      </c>
      <c r="B137" s="26"/>
      <c r="C137" s="35"/>
      <c r="D137" s="36" t="s">
        <v>3979</v>
      </c>
      <c r="E137" s="36" t="s">
        <v>3980</v>
      </c>
      <c r="F137" s="35">
        <v>500</v>
      </c>
      <c r="G137" s="35" t="b">
        <v>1</v>
      </c>
      <c r="H137" s="39" t="s">
        <v>15</v>
      </c>
      <c r="I137" s="35" t="s">
        <v>3042</v>
      </c>
      <c r="J137" s="35">
        <v>2</v>
      </c>
      <c r="K137" s="35" t="s">
        <v>4202</v>
      </c>
      <c r="L137" s="35" t="s">
        <v>4200</v>
      </c>
      <c r="M137" s="35" t="s">
        <v>4072</v>
      </c>
      <c r="N137" s="35" t="s">
        <v>4200</v>
      </c>
      <c r="O137" s="35" t="s">
        <v>4200</v>
      </c>
      <c r="P137" s="35" t="s">
        <v>4200</v>
      </c>
      <c r="Q137" s="35" t="s">
        <v>2449</v>
      </c>
      <c r="R137" s="35" t="s">
        <v>4159</v>
      </c>
      <c r="S137" s="35"/>
      <c r="T137" s="35"/>
    </row>
    <row r="138" spans="1:20" ht="14">
      <c r="A138" s="26" t="s">
        <v>3894</v>
      </c>
      <c r="B138" s="26"/>
      <c r="C138" s="35"/>
      <c r="D138" s="36" t="s">
        <v>3946</v>
      </c>
      <c r="E138" s="36" t="s">
        <v>4047</v>
      </c>
      <c r="F138" s="35">
        <v>500</v>
      </c>
      <c r="G138" s="35" t="b">
        <v>1</v>
      </c>
      <c r="H138" s="39" t="s">
        <v>15</v>
      </c>
      <c r="I138" s="35" t="s">
        <v>3042</v>
      </c>
      <c r="J138" s="35">
        <v>2</v>
      </c>
      <c r="K138" s="35" t="s">
        <v>4202</v>
      </c>
      <c r="L138" s="35" t="s">
        <v>4200</v>
      </c>
      <c r="M138" s="35" t="s">
        <v>4072</v>
      </c>
      <c r="N138" s="35" t="s">
        <v>4200</v>
      </c>
      <c r="O138" s="35" t="s">
        <v>4200</v>
      </c>
      <c r="P138" s="35" t="s">
        <v>4200</v>
      </c>
      <c r="Q138" s="35" t="s">
        <v>2449</v>
      </c>
      <c r="R138" s="35" t="s">
        <v>4159</v>
      </c>
      <c r="S138" s="35"/>
      <c r="T138" s="35"/>
    </row>
    <row r="139" spans="1:20" ht="14">
      <c r="A139" s="26" t="s">
        <v>3995</v>
      </c>
      <c r="B139" s="26"/>
      <c r="C139" s="35"/>
      <c r="D139" s="36" t="s">
        <v>3960</v>
      </c>
      <c r="E139" s="36" t="s">
        <v>3947</v>
      </c>
      <c r="F139" s="35">
        <v>500</v>
      </c>
      <c r="G139" s="35" t="b">
        <v>1</v>
      </c>
      <c r="H139" s="39" t="s">
        <v>15</v>
      </c>
      <c r="I139" s="35" t="s">
        <v>3042</v>
      </c>
      <c r="J139" s="35">
        <v>2</v>
      </c>
      <c r="K139" s="35" t="s">
        <v>4202</v>
      </c>
      <c r="L139" s="35" t="s">
        <v>4200</v>
      </c>
      <c r="M139" s="35" t="s">
        <v>4072</v>
      </c>
      <c r="N139" s="35" t="s">
        <v>4200</v>
      </c>
      <c r="O139" s="35" t="s">
        <v>4200</v>
      </c>
      <c r="P139" s="35" t="s">
        <v>4200</v>
      </c>
      <c r="Q139" s="35" t="s">
        <v>2449</v>
      </c>
      <c r="R139" s="35" t="s">
        <v>4159</v>
      </c>
      <c r="S139" s="35"/>
      <c r="T139" s="35"/>
    </row>
    <row r="140" spans="1:20" ht="14">
      <c r="A140" s="35" t="s">
        <v>93</v>
      </c>
      <c r="B140" s="35"/>
      <c r="C140" s="35"/>
      <c r="D140" s="35" t="s">
        <v>98</v>
      </c>
      <c r="E140" s="35"/>
      <c r="F140" s="35">
        <v>550</v>
      </c>
      <c r="G140" s="35" t="b">
        <v>0</v>
      </c>
      <c r="H140" s="39" t="s">
        <v>15</v>
      </c>
      <c r="I140" s="35" t="s">
        <v>95</v>
      </c>
      <c r="J140" s="35">
        <v>0</v>
      </c>
      <c r="K140" s="35" t="s">
        <v>4213</v>
      </c>
      <c r="L140" s="35" t="s">
        <v>4200</v>
      </c>
      <c r="M140" s="35" t="s">
        <v>4072</v>
      </c>
      <c r="N140" s="35" t="s">
        <v>4200</v>
      </c>
      <c r="O140" s="35" t="s">
        <v>95</v>
      </c>
      <c r="P140" s="35" t="s">
        <v>4200</v>
      </c>
      <c r="Q140" s="35" t="s">
        <v>4200</v>
      </c>
      <c r="R140" s="35" t="s">
        <v>4200</v>
      </c>
      <c r="S140" s="35"/>
      <c r="T140" s="35"/>
    </row>
    <row r="141" spans="1:20" ht="14">
      <c r="A141" s="35" t="s">
        <v>4157</v>
      </c>
      <c r="B141" s="35"/>
      <c r="C141" s="35" t="s">
        <v>3892</v>
      </c>
      <c r="D141" s="35" t="s">
        <v>4158</v>
      </c>
      <c r="E141" s="35"/>
      <c r="F141" s="35">
        <v>600</v>
      </c>
      <c r="G141" s="35" t="b">
        <v>0</v>
      </c>
      <c r="H141" s="39" t="s">
        <v>15</v>
      </c>
      <c r="I141" s="35" t="s">
        <v>37</v>
      </c>
      <c r="J141" s="35">
        <v>0</v>
      </c>
      <c r="K141" s="35" t="s">
        <v>4204</v>
      </c>
      <c r="L141" s="35"/>
      <c r="M141" s="35"/>
      <c r="N141" s="35"/>
      <c r="O141" s="35"/>
      <c r="P141" s="35"/>
      <c r="Q141" s="35" t="s">
        <v>2449</v>
      </c>
      <c r="R141" s="35" t="s">
        <v>4159</v>
      </c>
      <c r="S141" s="35"/>
      <c r="T141" s="35"/>
    </row>
    <row r="142" spans="1:20" ht="14">
      <c r="A142" s="26" t="s">
        <v>154</v>
      </c>
      <c r="B142" t="s">
        <v>4424</v>
      </c>
      <c r="D142" s="36" t="s">
        <v>4421</v>
      </c>
      <c r="E142" s="36" t="s">
        <v>1922</v>
      </c>
      <c r="F142" s="35">
        <v>500</v>
      </c>
      <c r="G142" s="35" t="b">
        <v>1</v>
      </c>
      <c r="H142" s="1" t="s">
        <v>15</v>
      </c>
      <c r="I142" s="35" t="s">
        <v>3042</v>
      </c>
      <c r="J142" s="35">
        <v>0</v>
      </c>
      <c r="K142" s="35" t="s">
        <v>4422</v>
      </c>
      <c r="M142" s="35" t="s">
        <v>4072</v>
      </c>
      <c r="N142" s="35" t="s">
        <v>4200</v>
      </c>
      <c r="O142" s="35" t="s">
        <v>4200</v>
      </c>
      <c r="P142" s="35" t="s">
        <v>4200</v>
      </c>
      <c r="Q142" s="35" t="s">
        <v>2449</v>
      </c>
      <c r="R142" s="35" t="s">
        <v>4159</v>
      </c>
    </row>
    <row r="143" spans="1:20" ht="14">
      <c r="A143" t="s">
        <v>121</v>
      </c>
      <c r="D143" s="36" t="s">
        <v>4436</v>
      </c>
      <c r="E143" s="36" t="s">
        <v>1922</v>
      </c>
      <c r="F143" s="35">
        <v>600</v>
      </c>
      <c r="G143" s="35" t="b">
        <v>1</v>
      </c>
      <c r="H143" s="1" t="s">
        <v>15</v>
      </c>
      <c r="I143" s="35" t="s">
        <v>3042</v>
      </c>
      <c r="J143" s="35">
        <v>0</v>
      </c>
      <c r="K143" s="35" t="s">
        <v>4422</v>
      </c>
      <c r="M143" s="35" t="s">
        <v>4072</v>
      </c>
      <c r="N143" s="35" t="s">
        <v>4200</v>
      </c>
      <c r="O143" s="35" t="s">
        <v>4200</v>
      </c>
      <c r="P143" s="35" t="s">
        <v>4200</v>
      </c>
      <c r="Q143" s="35" t="s">
        <v>2449</v>
      </c>
      <c r="R143" s="35" t="s">
        <v>4159</v>
      </c>
    </row>
    <row r="144" spans="1:20" ht="14">
      <c r="A144" t="s">
        <v>124</v>
      </c>
      <c r="D144" s="36" t="s">
        <v>4437</v>
      </c>
      <c r="E144" s="36" t="s">
        <v>1922</v>
      </c>
      <c r="F144" s="35">
        <v>600</v>
      </c>
      <c r="G144" s="35" t="b">
        <v>1</v>
      </c>
      <c r="H144" s="1" t="s">
        <v>15</v>
      </c>
      <c r="I144" s="35" t="s">
        <v>3042</v>
      </c>
      <c r="J144" s="35">
        <v>0</v>
      </c>
      <c r="K144" s="35" t="s">
        <v>4422</v>
      </c>
      <c r="M144" s="35" t="s">
        <v>4072</v>
      </c>
      <c r="N144" s="35" t="s">
        <v>4200</v>
      </c>
      <c r="O144" s="35" t="s">
        <v>4200</v>
      </c>
      <c r="P144" s="35" t="s">
        <v>4200</v>
      </c>
      <c r="Q144" s="35" t="s">
        <v>2449</v>
      </c>
      <c r="R144" s="35" t="s">
        <v>4159</v>
      </c>
    </row>
    <row r="145" spans="1:18" ht="14">
      <c r="A145" t="s">
        <v>71</v>
      </c>
      <c r="D145" s="36" t="s">
        <v>72</v>
      </c>
      <c r="F145" s="35">
        <v>600</v>
      </c>
      <c r="G145" s="35" t="b">
        <v>0</v>
      </c>
      <c r="H145" s="1" t="s">
        <v>15</v>
      </c>
      <c r="I145" s="35" t="s">
        <v>41</v>
      </c>
      <c r="J145" s="35">
        <v>0</v>
      </c>
      <c r="K145" s="35" t="s">
        <v>4422</v>
      </c>
      <c r="M145" s="35" t="s">
        <v>4072</v>
      </c>
      <c r="N145" s="35" t="s">
        <v>4200</v>
      </c>
      <c r="O145" s="35" t="s">
        <v>4200</v>
      </c>
      <c r="P145" s="35" t="s">
        <v>4200</v>
      </c>
      <c r="Q145" s="35" t="s">
        <v>2449</v>
      </c>
      <c r="R145" s="35" t="s">
        <v>4159</v>
      </c>
    </row>
    <row r="146" spans="1:18" ht="14">
      <c r="A146" t="s">
        <v>4464</v>
      </c>
      <c r="C146" t="s">
        <v>4476</v>
      </c>
      <c r="D146" s="36" t="s">
        <v>4459</v>
      </c>
      <c r="F146" s="35">
        <v>800</v>
      </c>
      <c r="G146" s="35" t="b">
        <v>0</v>
      </c>
      <c r="H146" s="1" t="s">
        <v>15</v>
      </c>
      <c r="I146" s="35" t="s">
        <v>41</v>
      </c>
      <c r="J146" s="35">
        <v>0</v>
      </c>
      <c r="K146" s="35" t="s">
        <v>4422</v>
      </c>
      <c r="M146" s="35" t="s">
        <v>4072</v>
      </c>
      <c r="N146" s="35" t="s">
        <v>4200</v>
      </c>
      <c r="O146" s="35" t="s">
        <v>4200</v>
      </c>
      <c r="P146" s="35" t="s">
        <v>4200</v>
      </c>
      <c r="Q146" s="35" t="s">
        <v>2449</v>
      </c>
      <c r="R146" s="35" t="s">
        <v>4159</v>
      </c>
    </row>
    <row r="147" spans="1:18" ht="14">
      <c r="A147" t="s">
        <v>4460</v>
      </c>
      <c r="D147" s="36" t="s">
        <v>4478</v>
      </c>
      <c r="F147" s="35">
        <v>750</v>
      </c>
      <c r="G147" s="35" t="b">
        <v>1</v>
      </c>
      <c r="H147" s="1" t="s">
        <v>15</v>
      </c>
      <c r="I147" s="35" t="s">
        <v>41</v>
      </c>
      <c r="J147" s="35">
        <v>0</v>
      </c>
      <c r="K147" s="35" t="s">
        <v>4422</v>
      </c>
      <c r="M147" s="35" t="s">
        <v>4072</v>
      </c>
      <c r="N147" s="35" t="s">
        <v>4200</v>
      </c>
      <c r="O147" s="35" t="s">
        <v>4200</v>
      </c>
      <c r="P147" s="35" t="s">
        <v>4200</v>
      </c>
      <c r="Q147" s="35" t="s">
        <v>2449</v>
      </c>
      <c r="R147" s="35" t="s">
        <v>4159</v>
      </c>
    </row>
    <row r="148" spans="1:18" ht="14">
      <c r="A148" t="s">
        <v>4500</v>
      </c>
      <c r="B148" t="s">
        <v>4502</v>
      </c>
      <c r="D148" s="36" t="s">
        <v>4503</v>
      </c>
      <c r="F148" s="35">
        <v>600</v>
      </c>
      <c r="G148" s="35" t="b">
        <v>1</v>
      </c>
      <c r="H148" s="1" t="s">
        <v>15</v>
      </c>
      <c r="I148" s="35" t="s">
        <v>41</v>
      </c>
      <c r="J148" s="35">
        <v>0</v>
      </c>
      <c r="K148" s="35" t="s">
        <v>4422</v>
      </c>
      <c r="M148" s="35" t="s">
        <v>4072</v>
      </c>
      <c r="N148" s="35" t="s">
        <v>4200</v>
      </c>
      <c r="O148" s="35" t="s">
        <v>4200</v>
      </c>
      <c r="P148" s="35" t="s">
        <v>4200</v>
      </c>
      <c r="Q148" s="35" t="s">
        <v>2449</v>
      </c>
      <c r="R148" s="35" t="s">
        <v>4159</v>
      </c>
    </row>
    <row r="149" spans="1:18" ht="14">
      <c r="A149" t="s">
        <v>4501</v>
      </c>
      <c r="B149" t="s">
        <v>4502</v>
      </c>
      <c r="D149" s="36" t="s">
        <v>4504</v>
      </c>
      <c r="F149" s="35">
        <v>500</v>
      </c>
      <c r="G149" s="35" t="b">
        <v>1</v>
      </c>
      <c r="H149" s="1" t="s">
        <v>15</v>
      </c>
      <c r="I149" s="35" t="s">
        <v>41</v>
      </c>
      <c r="J149" s="35">
        <v>0</v>
      </c>
      <c r="K149" s="35" t="s">
        <v>4422</v>
      </c>
      <c r="M149" s="35" t="s">
        <v>4072</v>
      </c>
      <c r="N149" s="35" t="s">
        <v>4200</v>
      </c>
      <c r="O149" s="35" t="s">
        <v>4200</v>
      </c>
      <c r="P149" s="35" t="s">
        <v>4200</v>
      </c>
      <c r="Q149" s="35" t="s">
        <v>2449</v>
      </c>
      <c r="R149" s="35" t="s">
        <v>4159</v>
      </c>
    </row>
    <row r="150" spans="1:18" ht="14">
      <c r="A150" s="22" t="s">
        <v>4559</v>
      </c>
      <c r="B150" t="s">
        <v>4580</v>
      </c>
      <c r="D150" s="36" t="s">
        <v>4514</v>
      </c>
      <c r="F150" s="35">
        <v>500</v>
      </c>
      <c r="G150" s="35" t="b">
        <v>0</v>
      </c>
      <c r="H150" s="1" t="s">
        <v>15</v>
      </c>
      <c r="I150" s="35" t="s">
        <v>41</v>
      </c>
      <c r="J150" s="35">
        <v>0</v>
      </c>
      <c r="K150" s="35" t="s">
        <v>4422</v>
      </c>
      <c r="M150" s="35" t="s">
        <v>4072</v>
      </c>
      <c r="N150" s="35" t="s">
        <v>4200</v>
      </c>
      <c r="O150" s="35" t="s">
        <v>4200</v>
      </c>
      <c r="P150" s="35" t="s">
        <v>4200</v>
      </c>
      <c r="Q150" s="35" t="s">
        <v>2449</v>
      </c>
      <c r="R150" s="35" t="s">
        <v>4159</v>
      </c>
    </row>
    <row r="151" spans="1:18" ht="14">
      <c r="A151" t="s">
        <v>4585</v>
      </c>
      <c r="B151" t="s">
        <v>4583</v>
      </c>
      <c r="D151" s="36" t="s">
        <v>1186</v>
      </c>
      <c r="F151" s="35">
        <v>500</v>
      </c>
      <c r="G151" t="b">
        <v>1</v>
      </c>
      <c r="H151" s="1" t="s">
        <v>15</v>
      </c>
      <c r="I151" s="35" t="s">
        <v>41</v>
      </c>
      <c r="J151" s="35">
        <v>0</v>
      </c>
      <c r="K151" s="35" t="s">
        <v>4422</v>
      </c>
      <c r="M151" s="35" t="s">
        <v>4072</v>
      </c>
      <c r="N151" s="35" t="s">
        <v>4200</v>
      </c>
      <c r="O151" s="35" t="s">
        <v>4200</v>
      </c>
      <c r="P151" s="35" t="s">
        <v>4200</v>
      </c>
      <c r="Q151" s="35" t="s">
        <v>2449</v>
      </c>
      <c r="R151" s="35" t="s">
        <v>4159</v>
      </c>
    </row>
  </sheetData>
  <autoFilter ref="A1:ALX126" xr:uid="{00000000-0001-0000-0000-000000000000}">
    <sortState xmlns:xlrd2="http://schemas.microsoft.com/office/spreadsheetml/2017/richdata2" ref="A2:ALX147">
      <sortCondition descending="1" ref="L1:L147"/>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3891</v>
      </c>
    </row>
    <row r="2" spans="1:2">
      <c r="A2" t="s">
        <v>164</v>
      </c>
    </row>
    <row r="3" spans="1:2">
      <c r="A3" t="s">
        <v>166</v>
      </c>
    </row>
    <row r="4" spans="1:2">
      <c r="A4" t="s">
        <v>170</v>
      </c>
    </row>
    <row r="5" spans="1:2">
      <c r="A5" t="s">
        <v>168</v>
      </c>
    </row>
    <row r="6" spans="1:2">
      <c r="A6" t="s">
        <v>172</v>
      </c>
    </row>
    <row r="7" spans="1:2">
      <c r="A7" t="s">
        <v>174</v>
      </c>
    </row>
    <row r="8" spans="1:2">
      <c r="A8" s="19" t="s">
        <v>3989</v>
      </c>
      <c r="B8" t="s">
        <v>13</v>
      </c>
    </row>
    <row r="9" spans="1:2">
      <c r="A9" s="5" t="s">
        <v>3990</v>
      </c>
    </row>
    <row r="10" spans="1:2">
      <c r="A10" s="5" t="s">
        <v>3991</v>
      </c>
    </row>
    <row r="11" spans="1:2">
      <c r="A11" s="5" t="s">
        <v>4153</v>
      </c>
    </row>
    <row r="12" spans="1:2">
      <c r="A12" s="5" t="s">
        <v>3993</v>
      </c>
    </row>
    <row r="13" spans="1:2">
      <c r="A13" s="5" t="s">
        <v>3994</v>
      </c>
    </row>
    <row r="14" spans="1:2">
      <c r="A14" s="5" t="s">
        <v>3896</v>
      </c>
    </row>
    <row r="15" spans="1:2">
      <c r="A15" s="5" t="s">
        <v>3894</v>
      </c>
    </row>
    <row r="16" spans="1:2">
      <c r="A16" s="5" t="s">
        <v>3899</v>
      </c>
    </row>
    <row r="17" spans="1:2">
      <c r="A17" s="5" t="s">
        <v>3995</v>
      </c>
    </row>
    <row r="18" spans="1:2">
      <c r="A18" s="5" t="s">
        <v>3996</v>
      </c>
    </row>
    <row r="19" spans="1:2">
      <c r="A19" s="5" t="s">
        <v>1116</v>
      </c>
    </row>
    <row r="20" spans="1:2">
      <c r="A20" s="5" t="s">
        <v>3997</v>
      </c>
    </row>
    <row r="21" spans="1:2">
      <c r="A21" s="5" t="s">
        <v>3998</v>
      </c>
    </row>
    <row r="22" spans="1:2">
      <c r="A22" s="5" t="s">
        <v>3999</v>
      </c>
    </row>
    <row r="23" spans="1:2">
      <c r="A23" t="s">
        <v>4005</v>
      </c>
    </row>
    <row r="24" spans="1:2">
      <c r="A24" s="5" t="s">
        <v>4068</v>
      </c>
    </row>
    <row r="25" spans="1:2">
      <c r="A25" s="5" t="s">
        <v>4070</v>
      </c>
    </row>
    <row r="26" spans="1:2">
      <c r="A26" s="5" t="s">
        <v>4075</v>
      </c>
    </row>
    <row r="27" spans="1:2">
      <c r="A27" s="5" t="s">
        <v>4076</v>
      </c>
    </row>
    <row r="28" spans="1:2">
      <c r="A28" s="5" t="s">
        <v>4083</v>
      </c>
    </row>
    <row r="29" spans="1:2">
      <c r="A29" s="4" t="s">
        <v>12</v>
      </c>
      <c r="B29" s="4"/>
    </row>
    <row r="30" spans="1:2">
      <c r="A30" s="4" t="s">
        <v>75</v>
      </c>
      <c r="B30" s="4" t="s">
        <v>3991</v>
      </c>
    </row>
    <row r="31" spans="1:2">
      <c r="A31" s="4" t="s">
        <v>190</v>
      </c>
      <c r="B31" s="4"/>
    </row>
    <row r="32" spans="1:2">
      <c r="A32" t="s">
        <v>2682</v>
      </c>
    </row>
    <row r="33" spans="1:2">
      <c r="A33" s="4" t="s">
        <v>51</v>
      </c>
      <c r="B33" s="4" t="s">
        <v>3892</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4083</v>
      </c>
    </row>
    <row r="41" spans="1:2">
      <c r="A41" t="s">
        <v>2879</v>
      </c>
    </row>
    <row r="42" spans="1:2">
      <c r="A42" s="4" t="s">
        <v>2922</v>
      </c>
      <c r="B42" s="4"/>
    </row>
    <row r="43" spans="1:2">
      <c r="A43" s="4" t="s">
        <v>3043</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2944</v>
      </c>
    </row>
    <row r="51" spans="1:2">
      <c r="A51" t="s">
        <v>127</v>
      </c>
    </row>
    <row r="52" spans="1:2">
      <c r="A52" s="4" t="s">
        <v>3038</v>
      </c>
      <c r="B52" s="4"/>
    </row>
    <row r="53" spans="1:2">
      <c r="A53" t="s">
        <v>141</v>
      </c>
    </row>
    <row r="54" spans="1:2">
      <c r="A54" s="4" t="s">
        <v>159</v>
      </c>
      <c r="B54" s="4"/>
    </row>
    <row r="55" spans="1:2">
      <c r="A55" s="4" t="s">
        <v>161</v>
      </c>
      <c r="B55" s="4"/>
    </row>
    <row r="56" spans="1:2">
      <c r="A56" t="s">
        <v>2774</v>
      </c>
      <c r="B56" t="s">
        <v>4153</v>
      </c>
    </row>
    <row r="57" spans="1:2">
      <c r="A57" t="s">
        <v>4024</v>
      </c>
    </row>
    <row r="58" spans="1:2">
      <c r="A58" t="s">
        <v>3022</v>
      </c>
    </row>
    <row r="59" spans="1:2">
      <c r="A59" t="s">
        <v>3053</v>
      </c>
    </row>
    <row r="60" spans="1:2" ht="16">
      <c r="A60" s="16" t="s">
        <v>3069</v>
      </c>
      <c r="B60" s="16"/>
    </row>
    <row r="61" spans="1:2">
      <c r="A61" t="s">
        <v>3075</v>
      </c>
    </row>
    <row r="62" spans="1:2">
      <c r="A62" t="s">
        <v>3091</v>
      </c>
    </row>
    <row r="63" spans="1:2">
      <c r="A63" t="s">
        <v>2712</v>
      </c>
    </row>
    <row r="64" spans="1:2">
      <c r="A64" t="s">
        <v>3879</v>
      </c>
      <c r="B64" t="s">
        <v>3892</v>
      </c>
    </row>
    <row r="65" spans="1:2">
      <c r="A65" s="4" t="s">
        <v>3172</v>
      </c>
      <c r="B65" s="4"/>
    </row>
    <row r="66" spans="1:2">
      <c r="A66" t="s">
        <v>3871</v>
      </c>
    </row>
    <row r="67" spans="1:2">
      <c r="A67" t="s">
        <v>111</v>
      </c>
    </row>
    <row r="68" spans="1:2">
      <c r="A68" t="s">
        <v>34</v>
      </c>
      <c r="B68" t="s">
        <v>3893</v>
      </c>
    </row>
    <row r="69" spans="1:2">
      <c r="A69" t="s">
        <v>80</v>
      </c>
      <c r="B69" t="s">
        <v>3894</v>
      </c>
    </row>
    <row r="70" spans="1:2">
      <c r="A70" s="4" t="s">
        <v>62</v>
      </c>
      <c r="B70" s="4"/>
    </row>
    <row r="71" spans="1:2">
      <c r="A71" s="4" t="s">
        <v>3895</v>
      </c>
      <c r="B71" s="4" t="s">
        <v>3896</v>
      </c>
    </row>
    <row r="72" spans="1:2">
      <c r="A72" t="s">
        <v>83</v>
      </c>
      <c r="B72" s="4" t="s">
        <v>3896</v>
      </c>
    </row>
    <row r="73" spans="1:2">
      <c r="A73" t="s">
        <v>85</v>
      </c>
      <c r="B73" s="4" t="s">
        <v>3896</v>
      </c>
    </row>
    <row r="74" spans="1:2">
      <c r="A74" t="s">
        <v>3779</v>
      </c>
      <c r="B74" t="s">
        <v>19</v>
      </c>
    </row>
    <row r="75" spans="1:2">
      <c r="A75" t="s">
        <v>19</v>
      </c>
      <c r="B75" t="s">
        <v>18</v>
      </c>
    </row>
    <row r="76" spans="1:2">
      <c r="A76" s="4" t="s">
        <v>18</v>
      </c>
      <c r="B76" s="4" t="s">
        <v>4004</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3996</v>
      </c>
    </row>
    <row r="87" spans="1:2">
      <c r="A87" t="s">
        <v>124</v>
      </c>
      <c r="B87" t="s">
        <v>3996</v>
      </c>
    </row>
    <row r="88" spans="1:2">
      <c r="A88" s="4" t="s">
        <v>2979</v>
      </c>
      <c r="B88" s="4"/>
    </row>
    <row r="89" spans="1:2">
      <c r="A89" s="4" t="s">
        <v>2980</v>
      </c>
      <c r="B89" s="4"/>
    </row>
    <row r="90" spans="1:2">
      <c r="A90" s="4" t="s">
        <v>106</v>
      </c>
      <c r="B90" s="4"/>
    </row>
    <row r="91" spans="1:2">
      <c r="A91" s="4" t="s">
        <v>64</v>
      </c>
      <c r="B91" s="4" t="s">
        <v>106</v>
      </c>
    </row>
    <row r="92" spans="1:2">
      <c r="A92" s="4" t="s">
        <v>63</v>
      </c>
      <c r="B92" s="4" t="s">
        <v>3989</v>
      </c>
    </row>
    <row r="93" spans="1:2">
      <c r="A93" s="4" t="s">
        <v>3143</v>
      </c>
      <c r="B93" s="4" t="s">
        <v>3991</v>
      </c>
    </row>
    <row r="94" spans="1:2" ht="28">
      <c r="A94" t="s">
        <v>45</v>
      </c>
      <c r="B94" s="21" t="s">
        <v>4082</v>
      </c>
    </row>
    <row r="95" spans="1:2">
      <c r="A95" t="s">
        <v>4022</v>
      </c>
      <c r="B95" t="s">
        <v>4023</v>
      </c>
    </row>
    <row r="96" spans="1:2">
      <c r="A96" t="s">
        <v>4023</v>
      </c>
      <c r="B96" t="s">
        <v>3143</v>
      </c>
    </row>
    <row r="97" spans="1:2">
      <c r="A97" t="s">
        <v>48</v>
      </c>
      <c r="B97" s="5"/>
    </row>
    <row r="98" spans="1:2">
      <c r="A98" t="s">
        <v>145</v>
      </c>
      <c r="B98" t="s">
        <v>147</v>
      </c>
    </row>
    <row r="99" spans="1:2">
      <c r="A99" t="s">
        <v>92</v>
      </c>
      <c r="B99" t="s">
        <v>4106</v>
      </c>
    </row>
    <row r="100" spans="1:2">
      <c r="A100" t="s">
        <v>93</v>
      </c>
    </row>
    <row r="101" spans="1:2">
      <c r="A101" t="s">
        <v>96</v>
      </c>
      <c r="B101" t="s">
        <v>4154</v>
      </c>
    </row>
    <row r="102" spans="1:2">
      <c r="A102" s="4" t="s">
        <v>4089</v>
      </c>
    </row>
    <row r="103" spans="1:2">
      <c r="A103" s="4" t="s">
        <v>4103</v>
      </c>
    </row>
    <row r="104" spans="1:2">
      <c r="A104" t="s">
        <v>147</v>
      </c>
      <c r="B104" t="s">
        <v>4120</v>
      </c>
    </row>
    <row r="105" spans="1:2">
      <c r="A105" t="s">
        <v>4114</v>
      </c>
    </row>
    <row r="106" spans="1:2">
      <c r="A106" t="s">
        <v>4115</v>
      </c>
    </row>
    <row r="107" spans="1:2">
      <c r="A107" t="s">
        <v>4116</v>
      </c>
    </row>
    <row r="108" spans="1:2">
      <c r="A108" t="s">
        <v>4119</v>
      </c>
    </row>
    <row r="109" spans="1:2">
      <c r="A109" t="s">
        <v>4129</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4155</v>
      </c>
    </row>
    <row r="118" spans="1:2">
      <c r="A118" s="18" t="s">
        <v>3770</v>
      </c>
      <c r="B118" s="18"/>
    </row>
    <row r="119" spans="1:2">
      <c r="A119" s="4" t="s">
        <v>23</v>
      </c>
      <c r="B119" s="4" t="s">
        <v>4088</v>
      </c>
    </row>
    <row r="120" spans="1:2">
      <c r="A120" s="4" t="s">
        <v>152</v>
      </c>
      <c r="B120" s="4" t="s">
        <v>4026</v>
      </c>
    </row>
    <row r="121" spans="1:2">
      <c r="A121" s="4" t="s">
        <v>143</v>
      </c>
      <c r="B121" s="4"/>
    </row>
    <row r="122" spans="1:2">
      <c r="A122" s="4" t="s">
        <v>4011</v>
      </c>
      <c r="B122" s="4" t="s">
        <v>3995</v>
      </c>
    </row>
    <row r="123" spans="1:2">
      <c r="A123" s="4" t="s">
        <v>104</v>
      </c>
      <c r="B123" s="4"/>
    </row>
    <row r="124" spans="1:2">
      <c r="A124" s="4" t="s">
        <v>22</v>
      </c>
      <c r="B124" s="4" t="s">
        <v>3892</v>
      </c>
    </row>
    <row r="125" spans="1:2">
      <c r="A125" t="s">
        <v>27</v>
      </c>
      <c r="B125" t="s">
        <v>3997</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4157</v>
      </c>
      <c r="B135" t="s">
        <v>3892</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39"/>
  <sheetViews>
    <sheetView tabSelected="1" topLeftCell="A1375" zoomScale="120" zoomScaleNormal="120" workbookViewId="0">
      <selection activeCell="E1406" sqref="E1406"/>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4025</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8"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4174</v>
      </c>
      <c r="B25" s="26" t="s">
        <v>190</v>
      </c>
      <c r="C25" s="25" t="str">
        <f t="shared" si="0"/>
        <v>ctrl</v>
      </c>
      <c r="D25" s="25" t="s">
        <v>4174</v>
      </c>
      <c r="E25" s="25" t="s">
        <v>2776</v>
      </c>
      <c r="F25" s="25" t="s">
        <v>4592</v>
      </c>
      <c r="G25" s="25">
        <v>550</v>
      </c>
      <c r="H25" s="25"/>
    </row>
    <row r="26" spans="1:8" ht="14">
      <c r="A26" s="25" t="s">
        <v>4589</v>
      </c>
      <c r="B26" s="26" t="s">
        <v>190</v>
      </c>
      <c r="C26" s="25" t="str">
        <f t="shared" si="0"/>
        <v>neaa</v>
      </c>
      <c r="D26" s="25" t="s">
        <v>4589</v>
      </c>
      <c r="E26" s="25" t="s">
        <v>4590</v>
      </c>
      <c r="F26" s="25" t="s">
        <v>4591</v>
      </c>
      <c r="G26" s="25">
        <v>540</v>
      </c>
      <c r="H26" s="25"/>
    </row>
    <row r="27" spans="1:8" ht="14">
      <c r="A27" s="25" t="s">
        <v>189</v>
      </c>
      <c r="B27" s="26" t="s">
        <v>12</v>
      </c>
      <c r="C27" s="25" t="str">
        <f t="shared" si="0"/>
        <v>arginine</v>
      </c>
      <c r="D27" s="27" t="s">
        <v>13</v>
      </c>
      <c r="E27" s="25" t="s">
        <v>191</v>
      </c>
      <c r="F27" s="25" t="s">
        <v>192</v>
      </c>
      <c r="G27" s="25">
        <v>500</v>
      </c>
      <c r="H27" s="25"/>
    </row>
    <row r="28" spans="1:8" ht="14">
      <c r="A28" s="25" t="s">
        <v>193</v>
      </c>
      <c r="B28" s="26" t="s">
        <v>12</v>
      </c>
      <c r="C28" s="25" t="str">
        <f t="shared" si="0"/>
        <v>asparagine</v>
      </c>
      <c r="D28" s="27" t="s">
        <v>13</v>
      </c>
      <c r="E28" s="25" t="s">
        <v>194</v>
      </c>
      <c r="F28" s="25" t="s">
        <v>195</v>
      </c>
      <c r="G28" s="25">
        <v>500</v>
      </c>
      <c r="H28" s="25"/>
    </row>
    <row r="29" spans="1:8" ht="14">
      <c r="A29" s="25" t="s">
        <v>196</v>
      </c>
      <c r="B29" s="26" t="s">
        <v>12</v>
      </c>
      <c r="C29" s="25" t="str">
        <f t="shared" si="0"/>
        <v>asparticacid</v>
      </c>
      <c r="D29" s="27" t="s">
        <v>13</v>
      </c>
      <c r="E29" s="25" t="s">
        <v>197</v>
      </c>
      <c r="F29" s="25" t="s">
        <v>198</v>
      </c>
      <c r="G29" s="25">
        <v>500</v>
      </c>
      <c r="H29" s="25"/>
    </row>
    <row r="30" spans="1:8" ht="14">
      <c r="A30" s="25" t="s">
        <v>199</v>
      </c>
      <c r="B30" s="26" t="s">
        <v>12</v>
      </c>
      <c r="C30" s="25" t="str">
        <f t="shared" si="0"/>
        <v>cysteine</v>
      </c>
      <c r="D30" s="27" t="s">
        <v>13</v>
      </c>
      <c r="E30" s="25" t="s">
        <v>200</v>
      </c>
      <c r="F30" s="25" t="s">
        <v>201</v>
      </c>
      <c r="G30" s="25">
        <v>500</v>
      </c>
      <c r="H30" s="25"/>
    </row>
    <row r="31" spans="1:8" ht="14">
      <c r="A31" s="25" t="s">
        <v>202</v>
      </c>
      <c r="B31" s="26" t="s">
        <v>12</v>
      </c>
      <c r="C31" s="25" t="str">
        <f t="shared" si="0"/>
        <v>glutamicacid</v>
      </c>
      <c r="D31" s="27" t="s">
        <v>13</v>
      </c>
      <c r="E31" s="25" t="s">
        <v>203</v>
      </c>
      <c r="F31" s="25" t="s">
        <v>204</v>
      </c>
      <c r="G31" s="25">
        <v>500</v>
      </c>
      <c r="H31" s="25"/>
    </row>
    <row r="32" spans="1:8" ht="14">
      <c r="A32" s="25" t="s">
        <v>205</v>
      </c>
      <c r="B32" s="26" t="s">
        <v>12</v>
      </c>
      <c r="C32" s="25" t="str">
        <f t="shared" si="0"/>
        <v>glutamine</v>
      </c>
      <c r="D32" s="27" t="s">
        <v>13</v>
      </c>
      <c r="E32" s="25" t="s">
        <v>206</v>
      </c>
      <c r="F32" s="25" t="s">
        <v>207</v>
      </c>
      <c r="G32" s="25">
        <v>500</v>
      </c>
      <c r="H32" s="25"/>
    </row>
    <row r="33" spans="1:8" ht="14">
      <c r="A33" s="25" t="s">
        <v>208</v>
      </c>
      <c r="B33" s="26" t="s">
        <v>12</v>
      </c>
      <c r="C33" s="25" t="str">
        <f t="shared" si="0"/>
        <v>glycine</v>
      </c>
      <c r="D33" s="27" t="s">
        <v>13</v>
      </c>
      <c r="E33" s="25" t="s">
        <v>209</v>
      </c>
      <c r="F33" s="25" t="s">
        <v>210</v>
      </c>
      <c r="G33" s="25">
        <v>500</v>
      </c>
      <c r="H33" s="25"/>
    </row>
    <row r="34" spans="1:8" ht="14">
      <c r="A34" s="25" t="s">
        <v>211</v>
      </c>
      <c r="B34" s="26" t="s">
        <v>12</v>
      </c>
      <c r="C34" s="25" t="str">
        <f t="shared" si="0"/>
        <v>histidine</v>
      </c>
      <c r="D34" s="27" t="s">
        <v>13</v>
      </c>
      <c r="E34" s="25" t="s">
        <v>212</v>
      </c>
      <c r="F34" s="25" t="s">
        <v>213</v>
      </c>
      <c r="G34" s="25">
        <v>500</v>
      </c>
      <c r="H34" s="25"/>
    </row>
    <row r="35" spans="1:8" ht="14">
      <c r="A35" s="25" t="s">
        <v>214</v>
      </c>
      <c r="B35" s="26" t="s">
        <v>12</v>
      </c>
      <c r="C35" s="25" t="str">
        <f t="shared" si="0"/>
        <v>isoleucine</v>
      </c>
      <c r="D35" s="27" t="s">
        <v>13</v>
      </c>
      <c r="E35" s="25" t="s">
        <v>215</v>
      </c>
      <c r="F35" s="25" t="s">
        <v>216</v>
      </c>
      <c r="G35" s="25">
        <v>500</v>
      </c>
      <c r="H35" s="25"/>
    </row>
    <row r="36" spans="1:8" ht="14">
      <c r="A36" s="25" t="s">
        <v>217</v>
      </c>
      <c r="B36" s="26" t="s">
        <v>12</v>
      </c>
      <c r="C36" s="25" t="str">
        <f t="shared" si="0"/>
        <v>leucine</v>
      </c>
      <c r="D36" s="27" t="s">
        <v>13</v>
      </c>
      <c r="E36" s="25" t="s">
        <v>218</v>
      </c>
      <c r="F36" s="25" t="s">
        <v>219</v>
      </c>
      <c r="G36" s="25">
        <v>500</v>
      </c>
      <c r="H36" s="25"/>
    </row>
    <row r="37" spans="1:8" ht="14">
      <c r="A37" s="25" t="s">
        <v>220</v>
      </c>
      <c r="B37" s="26" t="s">
        <v>12</v>
      </c>
      <c r="C37" s="25" t="str">
        <f t="shared" si="0"/>
        <v>lysine</v>
      </c>
      <c r="D37" s="27" t="s">
        <v>13</v>
      </c>
      <c r="E37" s="25" t="s">
        <v>221</v>
      </c>
      <c r="F37" s="25" t="s">
        <v>222</v>
      </c>
      <c r="G37" s="25">
        <v>500</v>
      </c>
      <c r="H37" s="25"/>
    </row>
    <row r="38" spans="1:8" ht="14">
      <c r="A38" s="25" t="s">
        <v>223</v>
      </c>
      <c r="B38" s="26" t="s">
        <v>12</v>
      </c>
      <c r="C38" s="25" t="str">
        <f t="shared" si="0"/>
        <v>methionine</v>
      </c>
      <c r="D38" s="27" t="s">
        <v>13</v>
      </c>
      <c r="E38" s="25" t="s">
        <v>224</v>
      </c>
      <c r="F38" s="25" t="s">
        <v>225</v>
      </c>
      <c r="G38" s="25">
        <v>500</v>
      </c>
      <c r="H38" s="25"/>
    </row>
    <row r="39" spans="1:8" ht="14">
      <c r="A39" s="25" t="s">
        <v>226</v>
      </c>
      <c r="B39" s="26" t="s">
        <v>12</v>
      </c>
      <c r="C39" s="25" t="str">
        <f t="shared" si="0"/>
        <v>phenylalanine</v>
      </c>
      <c r="D39" s="27" t="s">
        <v>13</v>
      </c>
      <c r="E39" s="25" t="s">
        <v>227</v>
      </c>
      <c r="F39" s="25" t="s">
        <v>228</v>
      </c>
      <c r="G39" s="25">
        <v>500</v>
      </c>
      <c r="H39" s="25"/>
    </row>
    <row r="40" spans="1:8" ht="14">
      <c r="A40" s="25" t="s">
        <v>229</v>
      </c>
      <c r="B40" s="26" t="s">
        <v>12</v>
      </c>
      <c r="C40" s="25" t="str">
        <f t="shared" si="0"/>
        <v>proline</v>
      </c>
      <c r="D40" s="27" t="s">
        <v>13</v>
      </c>
      <c r="E40" s="25" t="s">
        <v>230</v>
      </c>
      <c r="F40" s="25" t="s">
        <v>231</v>
      </c>
      <c r="G40" s="25">
        <v>500</v>
      </c>
      <c r="H40" s="25"/>
    </row>
    <row r="41" spans="1:8" ht="14">
      <c r="A41" s="25" t="s">
        <v>232</v>
      </c>
      <c r="B41" s="26" t="s">
        <v>12</v>
      </c>
      <c r="C41" s="25" t="str">
        <f t="shared" si="0"/>
        <v>serine</v>
      </c>
      <c r="D41" s="27" t="s">
        <v>13</v>
      </c>
      <c r="E41" s="25" t="s">
        <v>233</v>
      </c>
      <c r="F41" s="25" t="s">
        <v>234</v>
      </c>
      <c r="G41" s="25">
        <v>500</v>
      </c>
      <c r="H41" s="25"/>
    </row>
    <row r="42" spans="1:8" ht="14">
      <c r="A42" s="25" t="s">
        <v>235</v>
      </c>
      <c r="B42" s="26" t="s">
        <v>12</v>
      </c>
      <c r="C42" s="25" t="str">
        <f t="shared" si="0"/>
        <v>threonine</v>
      </c>
      <c r="D42" s="27" t="s">
        <v>13</v>
      </c>
      <c r="E42" s="25" t="s">
        <v>236</v>
      </c>
      <c r="F42" s="25" t="s">
        <v>237</v>
      </c>
      <c r="G42" s="25">
        <v>500</v>
      </c>
      <c r="H42" s="25"/>
    </row>
    <row r="43" spans="1:8" ht="14">
      <c r="A43" s="25" t="s">
        <v>238</v>
      </c>
      <c r="B43" s="26" t="s">
        <v>12</v>
      </c>
      <c r="C43" s="25" t="str">
        <f t="shared" si="0"/>
        <v>tryptophan</v>
      </c>
      <c r="D43" s="27" t="s">
        <v>13</v>
      </c>
      <c r="E43" s="25" t="s">
        <v>239</v>
      </c>
      <c r="F43" s="25" t="s">
        <v>240</v>
      </c>
      <c r="G43" s="25">
        <v>500</v>
      </c>
      <c r="H43" s="25"/>
    </row>
    <row r="44" spans="1:8" ht="14">
      <c r="A44" s="25" t="s">
        <v>241</v>
      </c>
      <c r="B44" s="26" t="s">
        <v>12</v>
      </c>
      <c r="C44" s="25" t="str">
        <f t="shared" si="0"/>
        <v>tyrosine</v>
      </c>
      <c r="D44" s="27" t="s">
        <v>13</v>
      </c>
      <c r="E44" s="25" t="s">
        <v>242</v>
      </c>
      <c r="F44" s="25" t="s">
        <v>243</v>
      </c>
      <c r="G44" s="25">
        <v>500</v>
      </c>
      <c r="H44" s="25"/>
    </row>
    <row r="45" spans="1:8" ht="14">
      <c r="A45" s="25" t="s">
        <v>244</v>
      </c>
      <c r="B45" s="26" t="s">
        <v>12</v>
      </c>
      <c r="C45" s="25" t="str">
        <f t="shared" si="0"/>
        <v>valine</v>
      </c>
      <c r="D45" s="27" t="s">
        <v>13</v>
      </c>
      <c r="E45" s="25" t="s">
        <v>245</v>
      </c>
      <c r="F45" s="25" t="s">
        <v>246</v>
      </c>
      <c r="G45" s="25">
        <v>500</v>
      </c>
      <c r="H45" s="25"/>
    </row>
    <row r="46" spans="1:8" ht="14">
      <c r="A46" s="25" t="s">
        <v>262</v>
      </c>
      <c r="B46" s="26" t="s">
        <v>12</v>
      </c>
      <c r="C46" s="25" t="str">
        <f t="shared" si="0"/>
        <v>none</v>
      </c>
      <c r="D46" s="27" t="s">
        <v>13</v>
      </c>
      <c r="E46" s="25" t="s">
        <v>2942</v>
      </c>
      <c r="F46" s="25" t="s">
        <v>2943</v>
      </c>
      <c r="G46" s="25">
        <v>500</v>
      </c>
      <c r="H46" s="25"/>
    </row>
    <row r="47" spans="1:8" ht="14">
      <c r="A47" s="25" t="s">
        <v>247</v>
      </c>
      <c r="B47" s="26" t="s">
        <v>18</v>
      </c>
      <c r="C47" s="25" t="str">
        <f t="shared" si="0"/>
        <v>dda</v>
      </c>
      <c r="D47" s="25" t="s">
        <v>247</v>
      </c>
      <c r="E47" s="25" t="s">
        <v>248</v>
      </c>
      <c r="F47" s="25" t="s">
        <v>249</v>
      </c>
      <c r="G47" s="25">
        <v>500</v>
      </c>
      <c r="H47" s="25"/>
    </row>
    <row r="48" spans="1:8" ht="14">
      <c r="A48" s="25" t="s">
        <v>250</v>
      </c>
      <c r="B48" s="26" t="s">
        <v>18</v>
      </c>
      <c r="C48" s="25" t="str">
        <f t="shared" si="0"/>
        <v>dia</v>
      </c>
      <c r="D48" s="25" t="s">
        <v>250</v>
      </c>
      <c r="E48" s="25" t="s">
        <v>251</v>
      </c>
      <c r="F48" s="25" t="s">
        <v>252</v>
      </c>
      <c r="G48" s="25">
        <v>500</v>
      </c>
      <c r="H48" s="25"/>
    </row>
    <row r="49" spans="1:8" ht="14">
      <c r="A49" s="25" t="s">
        <v>253</v>
      </c>
      <c r="B49" s="26" t="s">
        <v>18</v>
      </c>
      <c r="C49" s="25" t="str">
        <f t="shared" si="0"/>
        <v>srm</v>
      </c>
      <c r="D49" s="25" t="s">
        <v>253</v>
      </c>
      <c r="E49" s="25" t="s">
        <v>254</v>
      </c>
      <c r="F49" s="25" t="s">
        <v>255</v>
      </c>
      <c r="G49" s="25">
        <v>500</v>
      </c>
      <c r="H49" s="25"/>
    </row>
    <row r="50" spans="1:8" ht="14">
      <c r="A50" s="25" t="s">
        <v>256</v>
      </c>
      <c r="B50" s="26" t="s">
        <v>22</v>
      </c>
      <c r="C50" s="25" t="str">
        <f t="shared" si="0"/>
        <v>caa</v>
      </c>
      <c r="D50" s="27" t="s">
        <v>13</v>
      </c>
      <c r="E50" s="25" t="s">
        <v>257</v>
      </c>
      <c r="F50" s="25" t="s">
        <v>258</v>
      </c>
      <c r="G50" s="25">
        <v>500</v>
      </c>
      <c r="H50" s="25"/>
    </row>
    <row r="51" spans="1:8" ht="14">
      <c r="A51" s="25" t="s">
        <v>259</v>
      </c>
      <c r="B51" s="26" t="s">
        <v>22</v>
      </c>
      <c r="C51" s="25" t="str">
        <f t="shared" si="0"/>
        <v>iaa</v>
      </c>
      <c r="D51" s="27" t="s">
        <v>13</v>
      </c>
      <c r="E51" s="25" t="s">
        <v>260</v>
      </c>
      <c r="F51" s="25" t="s">
        <v>261</v>
      </c>
      <c r="G51" s="25">
        <v>500</v>
      </c>
      <c r="H51" s="25"/>
    </row>
    <row r="52" spans="1:8" ht="14">
      <c r="A52" s="25" t="s">
        <v>262</v>
      </c>
      <c r="B52" s="26" t="s">
        <v>22</v>
      </c>
      <c r="C52" s="25" t="str">
        <f t="shared" si="0"/>
        <v>none</v>
      </c>
      <c r="D52" s="27" t="s">
        <v>13</v>
      </c>
      <c r="E52" s="25" t="s">
        <v>263</v>
      </c>
      <c r="F52" s="25" t="s">
        <v>264</v>
      </c>
      <c r="G52" s="25">
        <v>500</v>
      </c>
      <c r="H52" s="25"/>
    </row>
    <row r="53" spans="1:8" ht="14">
      <c r="A53" s="25" t="s">
        <v>265</v>
      </c>
      <c r="B53" s="26" t="s">
        <v>26</v>
      </c>
      <c r="C53" s="25" t="str">
        <f t="shared" si="0"/>
        <v>directdia</v>
      </c>
      <c r="D53" s="27" t="s">
        <v>13</v>
      </c>
      <c r="E53" s="25" t="s">
        <v>266</v>
      </c>
      <c r="F53" s="25" t="s">
        <v>267</v>
      </c>
      <c r="G53" s="25">
        <v>500</v>
      </c>
      <c r="H53" s="25"/>
    </row>
    <row r="54" spans="1:8" ht="14">
      <c r="A54" s="25" t="s">
        <v>268</v>
      </c>
      <c r="B54" s="26" t="s">
        <v>26</v>
      </c>
      <c r="C54" s="25" t="str">
        <f t="shared" si="0"/>
        <v>libdia</v>
      </c>
      <c r="D54" s="27" t="s">
        <v>13</v>
      </c>
      <c r="E54" s="25" t="s">
        <v>269</v>
      </c>
      <c r="F54" s="25" t="s">
        <v>270</v>
      </c>
      <c r="G54" s="25">
        <v>500</v>
      </c>
      <c r="H54" s="25"/>
    </row>
    <row r="55" spans="1:8" ht="14">
      <c r="A55" s="25" t="s">
        <v>271</v>
      </c>
      <c r="B55" s="26" t="s">
        <v>272</v>
      </c>
      <c r="C55" s="25" t="str">
        <f t="shared" si="0"/>
        <v>adipoq_cre</v>
      </c>
      <c r="D55" s="27" t="s">
        <v>13</v>
      </c>
      <c r="E55" s="25" t="s">
        <v>273</v>
      </c>
      <c r="F55" s="25" t="s">
        <v>274</v>
      </c>
      <c r="G55" s="25">
        <v>500</v>
      </c>
      <c r="H55" s="25"/>
    </row>
    <row r="56" spans="1:8" ht="14">
      <c r="A56" s="25" t="s">
        <v>275</v>
      </c>
      <c r="B56" s="26" t="s">
        <v>272</v>
      </c>
      <c r="C56" s="25" t="str">
        <f t="shared" si="0"/>
        <v>alb_cre</v>
      </c>
      <c r="D56" s="27" t="s">
        <v>13</v>
      </c>
      <c r="E56" s="25" t="s">
        <v>276</v>
      </c>
      <c r="F56" s="25" t="s">
        <v>277</v>
      </c>
      <c r="G56" s="25">
        <v>500</v>
      </c>
      <c r="H56" s="25"/>
    </row>
    <row r="57" spans="1:8" ht="14">
      <c r="A57" s="25" t="s">
        <v>278</v>
      </c>
      <c r="B57" s="26" t="s">
        <v>272</v>
      </c>
      <c r="C57" s="25" t="str">
        <f t="shared" si="0"/>
        <v>asc_ko</v>
      </c>
      <c r="D57" s="27" t="s">
        <v>13</v>
      </c>
      <c r="E57" s="25" t="s">
        <v>279</v>
      </c>
      <c r="F57" s="25" t="s">
        <v>279</v>
      </c>
      <c r="G57" s="25">
        <v>500</v>
      </c>
      <c r="H57" s="25"/>
    </row>
    <row r="58" spans="1:8" ht="14">
      <c r="A58" s="25" t="s">
        <v>280</v>
      </c>
      <c r="B58" s="26" t="s">
        <v>272</v>
      </c>
      <c r="C58" s="25" t="str">
        <f t="shared" si="0"/>
        <v>baf53b_cre</v>
      </c>
      <c r="D58" s="27" t="s">
        <v>13</v>
      </c>
      <c r="E58" s="25" t="s">
        <v>281</v>
      </c>
      <c r="F58" s="25" t="s">
        <v>282</v>
      </c>
      <c r="G58" s="25">
        <v>500</v>
      </c>
      <c r="H58" s="25"/>
    </row>
    <row r="59" spans="1:8" ht="14">
      <c r="A59" s="25" t="s">
        <v>283</v>
      </c>
      <c r="B59" s="26" t="s">
        <v>272</v>
      </c>
      <c r="C59" s="25" t="str">
        <f t="shared" si="0"/>
        <v>c57_bl6j</v>
      </c>
      <c r="D59" s="27" t="s">
        <v>13</v>
      </c>
      <c r="E59" s="25" t="s">
        <v>284</v>
      </c>
      <c r="F59" s="25" t="s">
        <v>284</v>
      </c>
      <c r="G59" s="25">
        <v>500</v>
      </c>
      <c r="H59" s="25"/>
    </row>
    <row r="60" spans="1:8" ht="14">
      <c r="A60" s="25" t="s">
        <v>285</v>
      </c>
      <c r="B60" s="26" t="s">
        <v>272</v>
      </c>
      <c r="C60" s="25" t="str">
        <f t="shared" si="0"/>
        <v>clec4f_cre</v>
      </c>
      <c r="D60" s="27" t="s">
        <v>13</v>
      </c>
      <c r="E60" s="25" t="s">
        <v>286</v>
      </c>
      <c r="F60" s="25" t="s">
        <v>287</v>
      </c>
      <c r="G60" s="25">
        <v>500</v>
      </c>
      <c r="H60" s="25"/>
    </row>
    <row r="61" spans="1:8" ht="14">
      <c r="A61" s="25" t="s">
        <v>288</v>
      </c>
      <c r="B61" s="26" t="s">
        <v>272</v>
      </c>
      <c r="C61" s="25" t="str">
        <f t="shared" si="0"/>
        <v>cx3cr1_cre</v>
      </c>
      <c r="D61" s="27" t="s">
        <v>13</v>
      </c>
      <c r="E61" s="25" t="s">
        <v>289</v>
      </c>
      <c r="F61" s="25" t="s">
        <v>290</v>
      </c>
      <c r="G61" s="25">
        <v>500</v>
      </c>
      <c r="H61" s="25"/>
    </row>
    <row r="62" spans="1:8" ht="14">
      <c r="A62" s="25" t="s">
        <v>291</v>
      </c>
      <c r="B62" s="26" t="s">
        <v>272</v>
      </c>
      <c r="C62" s="25" t="str">
        <f t="shared" si="0"/>
        <v>cxcr4creert2</v>
      </c>
      <c r="D62" s="27" t="s">
        <v>13</v>
      </c>
      <c r="E62" s="25" t="s">
        <v>292</v>
      </c>
      <c r="F62" s="25" t="s">
        <v>292</v>
      </c>
      <c r="G62" s="25">
        <v>500</v>
      </c>
      <c r="H62" s="25"/>
    </row>
    <row r="63" spans="1:8" ht="14">
      <c r="A63" s="25" t="s">
        <v>293</v>
      </c>
      <c r="B63" s="26" t="s">
        <v>272</v>
      </c>
      <c r="C63" s="25" t="str">
        <f t="shared" si="0"/>
        <v>glast_cre</v>
      </c>
      <c r="D63" s="27" t="s">
        <v>13</v>
      </c>
      <c r="E63" s="25" t="s">
        <v>294</v>
      </c>
      <c r="F63" s="25" t="s">
        <v>295</v>
      </c>
      <c r="G63" s="25">
        <v>500</v>
      </c>
      <c r="H63" s="25"/>
    </row>
    <row r="64" spans="1:8" ht="14">
      <c r="A64" s="25" t="s">
        <v>296</v>
      </c>
      <c r="B64" s="26" t="s">
        <v>272</v>
      </c>
      <c r="C64" s="25" t="str">
        <f t="shared" si="0"/>
        <v>lrat_cre</v>
      </c>
      <c r="D64" s="27" t="s">
        <v>13</v>
      </c>
      <c r="E64" s="25" t="s">
        <v>297</v>
      </c>
      <c r="F64" s="25" t="s">
        <v>298</v>
      </c>
      <c r="G64" s="25">
        <v>500</v>
      </c>
      <c r="H64" s="25"/>
    </row>
    <row r="65" spans="1:8" ht="14">
      <c r="A65" s="25" t="s">
        <v>299</v>
      </c>
      <c r="B65" s="26" t="s">
        <v>272</v>
      </c>
      <c r="C65" s="25" t="str">
        <f t="shared" si="0"/>
        <v>lysm_cre</v>
      </c>
      <c r="D65" s="27" t="s">
        <v>13</v>
      </c>
      <c r="E65" s="25" t="s">
        <v>300</v>
      </c>
      <c r="F65" s="25" t="s">
        <v>301</v>
      </c>
      <c r="G65" s="25">
        <v>500</v>
      </c>
      <c r="H65" s="25"/>
    </row>
    <row r="66" spans="1:8" ht="14">
      <c r="A66" s="25" t="s">
        <v>302</v>
      </c>
      <c r="B66" s="26" t="s">
        <v>272</v>
      </c>
      <c r="C66" s="25" t="str">
        <f t="shared" si="0"/>
        <v>ms4a3_cre</v>
      </c>
      <c r="D66" s="27" t="s">
        <v>13</v>
      </c>
      <c r="E66" s="25" t="s">
        <v>303</v>
      </c>
      <c r="F66" s="25" t="s">
        <v>304</v>
      </c>
      <c r="G66" s="25">
        <v>500</v>
      </c>
      <c r="H66" s="25"/>
    </row>
    <row r="67" spans="1:8" ht="14">
      <c r="A67" s="25" t="s">
        <v>305</v>
      </c>
      <c r="B67" s="26" t="s">
        <v>272</v>
      </c>
      <c r="C67" s="25" t="str">
        <f t="shared" si="0"/>
        <v>mt_nlrp3_cre</v>
      </c>
      <c r="D67" s="27" t="s">
        <v>13</v>
      </c>
      <c r="E67" s="25" t="s">
        <v>306</v>
      </c>
      <c r="F67" s="25" t="s">
        <v>307</v>
      </c>
      <c r="G67" s="25">
        <v>500</v>
      </c>
      <c r="H67" s="25"/>
    </row>
    <row r="68" spans="1:8" ht="14">
      <c r="A68" s="25" t="s">
        <v>308</v>
      </c>
      <c r="B68" s="26" t="s">
        <v>272</v>
      </c>
      <c r="C68" s="25" t="str">
        <f t="shared" si="0"/>
        <v>nlrp3_flox</v>
      </c>
      <c r="D68" s="27" t="s">
        <v>13</v>
      </c>
      <c r="E68" s="25" t="s">
        <v>309</v>
      </c>
      <c r="F68" s="25" t="s">
        <v>309</v>
      </c>
      <c r="G68" s="25">
        <v>500</v>
      </c>
      <c r="H68" s="25"/>
    </row>
    <row r="69" spans="1:8" ht="14">
      <c r="A69" s="25" t="s">
        <v>310</v>
      </c>
      <c r="B69" s="26" t="s">
        <v>272</v>
      </c>
      <c r="C69" s="25" t="str">
        <f t="shared" ref="C69:C133" si="1">A69</f>
        <v>nlrp3_ko</v>
      </c>
      <c r="D69" s="27" t="s">
        <v>13</v>
      </c>
      <c r="E69" s="25" t="s">
        <v>311</v>
      </c>
      <c r="F69" s="25" t="s">
        <v>311</v>
      </c>
      <c r="G69" s="25">
        <v>500</v>
      </c>
      <c r="H69" s="25"/>
    </row>
    <row r="70" spans="1:8" ht="14">
      <c r="A70" s="25" t="s">
        <v>312</v>
      </c>
      <c r="B70" s="26" t="s">
        <v>272</v>
      </c>
      <c r="C70" s="25" t="str">
        <f t="shared" si="1"/>
        <v>oaf</v>
      </c>
      <c r="D70" s="27" t="s">
        <v>13</v>
      </c>
      <c r="E70" s="25" t="s">
        <v>313</v>
      </c>
      <c r="F70" s="25" t="s">
        <v>313</v>
      </c>
      <c r="G70" s="25">
        <v>500</v>
      </c>
      <c r="H70" s="25"/>
    </row>
    <row r="71" spans="1:8" ht="14">
      <c r="A71" s="25" t="s">
        <v>314</v>
      </c>
      <c r="B71" s="26" t="s">
        <v>272</v>
      </c>
      <c r="C71" s="25" t="str">
        <f t="shared" si="1"/>
        <v>r26_ert2cre</v>
      </c>
      <c r="D71" s="27" t="s">
        <v>13</v>
      </c>
      <c r="E71" s="25" t="s">
        <v>315</v>
      </c>
      <c r="F71" s="25" t="s">
        <v>316</v>
      </c>
      <c r="G71" s="25">
        <v>500</v>
      </c>
      <c r="H71" s="25"/>
    </row>
    <row r="72" spans="1:8" ht="14">
      <c r="A72" s="25" t="s">
        <v>317</v>
      </c>
      <c r="B72" s="26" t="s">
        <v>272</v>
      </c>
      <c r="C72" s="25" t="str">
        <f t="shared" si="1"/>
        <v>r26_metrs_flox</v>
      </c>
      <c r="D72" s="27" t="s">
        <v>13</v>
      </c>
      <c r="E72" s="27" t="s">
        <v>318</v>
      </c>
      <c r="F72" s="25" t="s">
        <v>319</v>
      </c>
      <c r="G72" s="25">
        <v>500</v>
      </c>
      <c r="H72" s="25"/>
    </row>
    <row r="73" spans="1:8" ht="14">
      <c r="A73" s="25" t="s">
        <v>320</v>
      </c>
      <c r="B73" s="26" t="s">
        <v>272</v>
      </c>
      <c r="C73" s="25" t="str">
        <f t="shared" si="1"/>
        <v>r26_nlrp3_flox</v>
      </c>
      <c r="D73" s="27" t="s">
        <v>13</v>
      </c>
      <c r="E73" s="25" t="s">
        <v>321</v>
      </c>
      <c r="F73" s="25" t="s">
        <v>321</v>
      </c>
      <c r="G73" s="25">
        <v>500</v>
      </c>
      <c r="H73" s="25"/>
    </row>
    <row r="74" spans="1:8" ht="14">
      <c r="A74" s="25" t="s">
        <v>322</v>
      </c>
      <c r="B74" s="26" t="s">
        <v>272</v>
      </c>
      <c r="C74" s="25" t="str">
        <f t="shared" si="1"/>
        <v>ribotag_lox</v>
      </c>
      <c r="D74" s="27" t="s">
        <v>13</v>
      </c>
      <c r="E74" s="25" t="s">
        <v>323</v>
      </c>
      <c r="F74" s="27" t="s">
        <v>13</v>
      </c>
      <c r="G74" s="25">
        <v>500</v>
      </c>
      <c r="H74" s="25"/>
    </row>
    <row r="75" spans="1:8" ht="14">
      <c r="A75" s="25" t="s">
        <v>324</v>
      </c>
      <c r="B75" s="26" t="s">
        <v>272</v>
      </c>
      <c r="C75" s="25" t="str">
        <f t="shared" si="1"/>
        <v>sox10_cre</v>
      </c>
      <c r="D75" s="27" t="s">
        <v>13</v>
      </c>
      <c r="E75" s="25" t="s">
        <v>325</v>
      </c>
      <c r="F75" s="25" t="s">
        <v>326</v>
      </c>
      <c r="G75" s="25">
        <v>500</v>
      </c>
      <c r="H75" s="25"/>
    </row>
    <row r="76" spans="1:8" ht="14">
      <c r="A76" s="25" t="s">
        <v>327</v>
      </c>
      <c r="B76" s="26" t="s">
        <v>272</v>
      </c>
      <c r="C76" s="25" t="str">
        <f t="shared" si="1"/>
        <v>ucp1_cre</v>
      </c>
      <c r="D76" s="27" t="s">
        <v>13</v>
      </c>
      <c r="E76" s="25" t="s">
        <v>328</v>
      </c>
      <c r="F76" s="25" t="s">
        <v>329</v>
      </c>
      <c r="G76" s="25">
        <v>500</v>
      </c>
      <c r="H76" s="25"/>
    </row>
    <row r="77" spans="1:8" ht="14">
      <c r="A77" s="25" t="s">
        <v>330</v>
      </c>
      <c r="B77" s="26" t="s">
        <v>272</v>
      </c>
      <c r="C77" s="25" t="str">
        <f t="shared" si="1"/>
        <v>vil_cre</v>
      </c>
      <c r="D77" s="27" t="s">
        <v>13</v>
      </c>
      <c r="E77" s="25" t="s">
        <v>331</v>
      </c>
      <c r="F77" s="25" t="s">
        <v>332</v>
      </c>
      <c r="G77" s="25">
        <v>500</v>
      </c>
      <c r="H77" s="25"/>
    </row>
    <row r="78" spans="1:8" ht="14">
      <c r="A78" s="25" t="s">
        <v>333</v>
      </c>
      <c r="B78" s="26" t="s">
        <v>35</v>
      </c>
      <c r="C78" s="25" t="str">
        <f t="shared" si="1"/>
        <v>adipose_macrophages</v>
      </c>
      <c r="D78" s="25" t="s">
        <v>334</v>
      </c>
      <c r="E78" s="25" t="s">
        <v>335</v>
      </c>
      <c r="F78" s="25" t="s">
        <v>336</v>
      </c>
      <c r="G78" s="25">
        <v>500</v>
      </c>
      <c r="H78" s="25"/>
    </row>
    <row r="79" spans="1:8" ht="14">
      <c r="A79" s="25" t="s">
        <v>337</v>
      </c>
      <c r="B79" s="26" t="s">
        <v>35</v>
      </c>
      <c r="C79" s="25" t="str">
        <f t="shared" si="1"/>
        <v>astrocytes</v>
      </c>
      <c r="D79" s="25" t="s">
        <v>337</v>
      </c>
      <c r="E79" s="25" t="s">
        <v>295</v>
      </c>
      <c r="F79" s="25" t="s">
        <v>295</v>
      </c>
      <c r="G79" s="25">
        <v>500</v>
      </c>
      <c r="H79" s="25"/>
    </row>
    <row r="80" spans="1:8" ht="14">
      <c r="A80" s="25" t="s">
        <v>338</v>
      </c>
      <c r="B80" s="26" t="s">
        <v>35</v>
      </c>
      <c r="C80" s="25" t="str">
        <f t="shared" si="1"/>
        <v>basophils</v>
      </c>
      <c r="D80" s="25" t="s">
        <v>338</v>
      </c>
      <c r="E80" s="25" t="s">
        <v>339</v>
      </c>
      <c r="F80" s="25" t="s">
        <v>340</v>
      </c>
      <c r="G80" s="25">
        <v>500</v>
      </c>
      <c r="H80" s="25"/>
    </row>
    <row r="81" spans="1:8" ht="14">
      <c r="A81" s="25" t="s">
        <v>341</v>
      </c>
      <c r="B81" s="26" t="s">
        <v>35</v>
      </c>
      <c r="C81" s="25" t="str">
        <f t="shared" si="1"/>
        <v>bcells</v>
      </c>
      <c r="D81" s="25" t="s">
        <v>341</v>
      </c>
      <c r="E81" s="25" t="s">
        <v>342</v>
      </c>
      <c r="F81" s="25" t="s">
        <v>342</v>
      </c>
      <c r="G81" s="25">
        <v>500</v>
      </c>
      <c r="H81" s="25"/>
    </row>
    <row r="82" spans="1:8" ht="14">
      <c r="A82" s="25" t="s">
        <v>343</v>
      </c>
      <c r="B82" s="26" t="s">
        <v>35</v>
      </c>
      <c r="C82" s="25" t="str">
        <f t="shared" si="1"/>
        <v>cytotoxict</v>
      </c>
      <c r="D82" s="25" t="s">
        <v>343</v>
      </c>
      <c r="E82" s="25" t="s">
        <v>344</v>
      </c>
      <c r="F82" s="25" t="s">
        <v>345</v>
      </c>
      <c r="G82" s="25">
        <v>500</v>
      </c>
      <c r="H82" s="25"/>
    </row>
    <row r="83" spans="1:8" ht="14">
      <c r="A83" s="25" t="s">
        <v>346</v>
      </c>
      <c r="B83" s="26" t="s">
        <v>35</v>
      </c>
      <c r="C83" s="25" t="str">
        <f t="shared" si="1"/>
        <v>endothelial</v>
      </c>
      <c r="D83" s="25" t="s">
        <v>346</v>
      </c>
      <c r="E83" s="25" t="s">
        <v>347</v>
      </c>
      <c r="F83" s="25" t="s">
        <v>348</v>
      </c>
      <c r="G83" s="25">
        <v>500</v>
      </c>
      <c r="H83" s="25"/>
    </row>
    <row r="84" spans="1:8" ht="14">
      <c r="A84" s="25" t="s">
        <v>349</v>
      </c>
      <c r="B84" s="26" t="s">
        <v>35</v>
      </c>
      <c r="C84" s="25" t="str">
        <f t="shared" si="1"/>
        <v>eosinophils</v>
      </c>
      <c r="D84" s="25" t="s">
        <v>349</v>
      </c>
      <c r="E84" s="25" t="s">
        <v>350</v>
      </c>
      <c r="F84" s="25" t="s">
        <v>351</v>
      </c>
      <c r="G84" s="25">
        <v>500</v>
      </c>
      <c r="H84" s="25"/>
    </row>
    <row r="85" spans="1:8" ht="14">
      <c r="A85" s="25" t="s">
        <v>352</v>
      </c>
      <c r="B85" s="26" t="s">
        <v>35</v>
      </c>
      <c r="C85" s="25" t="str">
        <f t="shared" si="1"/>
        <v>epithelioid</v>
      </c>
      <c r="D85" s="25" t="s">
        <v>352</v>
      </c>
      <c r="E85" s="25" t="s">
        <v>353</v>
      </c>
      <c r="F85" s="25" t="s">
        <v>354</v>
      </c>
      <c r="G85" s="25">
        <v>500</v>
      </c>
      <c r="H85" s="25"/>
    </row>
    <row r="86" spans="1:8" ht="14">
      <c r="A86" s="25" t="s">
        <v>355</v>
      </c>
      <c r="B86" s="26" t="s">
        <v>35</v>
      </c>
      <c r="C86" s="25" t="str">
        <f t="shared" si="1"/>
        <v>erythrocytes</v>
      </c>
      <c r="D86" s="25" t="s">
        <v>355</v>
      </c>
      <c r="E86" s="25" t="s">
        <v>356</v>
      </c>
      <c r="F86" s="25" t="s">
        <v>357</v>
      </c>
      <c r="G86" s="25">
        <v>500</v>
      </c>
      <c r="H86" s="25"/>
    </row>
    <row r="87" spans="1:8" ht="14">
      <c r="A87" s="25" t="s">
        <v>358</v>
      </c>
      <c r="B87" s="26" t="s">
        <v>35</v>
      </c>
      <c r="C87" s="25" t="str">
        <f t="shared" si="1"/>
        <v>gammadeltat</v>
      </c>
      <c r="D87" s="25" t="s">
        <v>358</v>
      </c>
      <c r="E87" s="25" t="s">
        <v>359</v>
      </c>
      <c r="F87" s="25" t="s">
        <v>360</v>
      </c>
      <c r="G87" s="25">
        <v>500</v>
      </c>
      <c r="H87" s="25"/>
    </row>
    <row r="88" spans="1:8" ht="14">
      <c r="A88" s="25" t="s">
        <v>361</v>
      </c>
      <c r="B88" s="26" t="s">
        <v>35</v>
      </c>
      <c r="C88" s="25" t="str">
        <f t="shared" si="1"/>
        <v>hofbauer</v>
      </c>
      <c r="D88" s="25" t="s">
        <v>361</v>
      </c>
      <c r="E88" s="25" t="s">
        <v>362</v>
      </c>
      <c r="F88" s="25" t="s">
        <v>363</v>
      </c>
      <c r="G88" s="25">
        <v>500</v>
      </c>
      <c r="H88" s="25"/>
    </row>
    <row r="89" spans="1:8" ht="14">
      <c r="A89" s="25" t="s">
        <v>364</v>
      </c>
      <c r="B89" s="26" t="s">
        <v>35</v>
      </c>
      <c r="C89" s="25" t="str">
        <f t="shared" si="1"/>
        <v>keratinocytes</v>
      </c>
      <c r="D89" s="25" t="s">
        <v>364</v>
      </c>
      <c r="E89" s="25" t="s">
        <v>365</v>
      </c>
      <c r="F89" s="25" t="s">
        <v>366</v>
      </c>
      <c r="G89" s="25">
        <v>500</v>
      </c>
      <c r="H89" s="25"/>
    </row>
    <row r="90" spans="1:8" ht="14">
      <c r="A90" s="25" t="s">
        <v>367</v>
      </c>
      <c r="B90" s="26" t="s">
        <v>35</v>
      </c>
      <c r="C90" s="25" t="str">
        <f t="shared" si="1"/>
        <v>kupffer</v>
      </c>
      <c r="D90" s="25" t="s">
        <v>367</v>
      </c>
      <c r="E90" s="25" t="s">
        <v>368</v>
      </c>
      <c r="F90" s="25" t="s">
        <v>369</v>
      </c>
      <c r="G90" s="25">
        <v>500</v>
      </c>
      <c r="H90" s="25"/>
    </row>
    <row r="91" spans="1:8" ht="14">
      <c r="A91" s="25" t="s">
        <v>370</v>
      </c>
      <c r="B91" s="26" t="s">
        <v>35</v>
      </c>
      <c r="C91" s="25" t="str">
        <f t="shared" si="1"/>
        <v>langerhans</v>
      </c>
      <c r="D91" s="25" t="s">
        <v>370</v>
      </c>
      <c r="E91" s="25" t="s">
        <v>371</v>
      </c>
      <c r="F91" s="25" t="s">
        <v>372</v>
      </c>
      <c r="G91" s="25">
        <v>500</v>
      </c>
      <c r="H91" s="25"/>
    </row>
    <row r="92" spans="1:8" ht="14">
      <c r="A92" s="25" t="s">
        <v>373</v>
      </c>
      <c r="B92" s="26" t="s">
        <v>35</v>
      </c>
      <c r="C92" s="25" t="str">
        <f t="shared" si="1"/>
        <v>leukocytes</v>
      </c>
      <c r="D92" s="25" t="s">
        <v>373</v>
      </c>
      <c r="E92" s="25" t="s">
        <v>374</v>
      </c>
      <c r="F92" s="25" t="s">
        <v>375</v>
      </c>
      <c r="G92" s="25">
        <v>500</v>
      </c>
      <c r="H92" s="25"/>
    </row>
    <row r="93" spans="1:8" ht="14">
      <c r="A93" s="25" t="s">
        <v>376</v>
      </c>
      <c r="B93" s="26" t="s">
        <v>35</v>
      </c>
      <c r="C93" s="25" t="str">
        <f t="shared" si="1"/>
        <v>lymphocytes</v>
      </c>
      <c r="D93" s="25" t="s">
        <v>376</v>
      </c>
      <c r="E93" s="25" t="s">
        <v>377</v>
      </c>
      <c r="F93" s="25" t="s">
        <v>378</v>
      </c>
      <c r="G93" s="25">
        <v>500</v>
      </c>
      <c r="H93" s="25"/>
    </row>
    <row r="94" spans="1:8" ht="14">
      <c r="A94" s="25" t="s">
        <v>379</v>
      </c>
      <c r="B94" s="26" t="s">
        <v>35</v>
      </c>
      <c r="C94" s="25" t="str">
        <f t="shared" si="1"/>
        <v>macrophage</v>
      </c>
      <c r="D94" s="25" t="s">
        <v>379</v>
      </c>
      <c r="E94" s="25" t="s">
        <v>380</v>
      </c>
      <c r="F94" s="25" t="s">
        <v>380</v>
      </c>
      <c r="G94" s="25">
        <v>500</v>
      </c>
      <c r="H94" s="25"/>
    </row>
    <row r="95" spans="1:8" ht="14">
      <c r="A95" s="25" t="s">
        <v>381</v>
      </c>
      <c r="B95" s="26" t="s">
        <v>35</v>
      </c>
      <c r="C95" s="25" t="str">
        <f t="shared" si="1"/>
        <v>microglia</v>
      </c>
      <c r="D95" s="25" t="s">
        <v>381</v>
      </c>
      <c r="E95" s="25" t="s">
        <v>382</v>
      </c>
      <c r="F95" s="25" t="s">
        <v>383</v>
      </c>
      <c r="G95" s="25">
        <v>500</v>
      </c>
      <c r="H95" s="25"/>
    </row>
    <row r="96" spans="1:8" ht="14">
      <c r="A96" s="25" t="s">
        <v>384</v>
      </c>
      <c r="B96" s="26" t="s">
        <v>35</v>
      </c>
      <c r="C96" s="25" t="str">
        <f t="shared" si="1"/>
        <v>monoblast</v>
      </c>
      <c r="D96" s="25" t="s">
        <v>384</v>
      </c>
      <c r="E96" s="25" t="s">
        <v>385</v>
      </c>
      <c r="F96" s="25" t="s">
        <v>385</v>
      </c>
      <c r="G96" s="25">
        <v>500</v>
      </c>
      <c r="H96" s="25"/>
    </row>
    <row r="97" spans="1:8" ht="14">
      <c r="A97" s="25" t="s">
        <v>386</v>
      </c>
      <c r="B97" s="26" t="s">
        <v>35</v>
      </c>
      <c r="C97" s="25" t="str">
        <f t="shared" si="1"/>
        <v>monocytes</v>
      </c>
      <c r="D97" s="25" t="s">
        <v>386</v>
      </c>
      <c r="E97" s="25" t="s">
        <v>304</v>
      </c>
      <c r="F97" s="25" t="s">
        <v>387</v>
      </c>
      <c r="G97" s="25">
        <v>500</v>
      </c>
      <c r="H97" s="25"/>
    </row>
    <row r="98" spans="1:8" ht="14">
      <c r="A98" s="25" t="s">
        <v>388</v>
      </c>
      <c r="B98" s="26" t="s">
        <v>35</v>
      </c>
      <c r="C98" s="25" t="str">
        <f t="shared" si="1"/>
        <v>neutrophils</v>
      </c>
      <c r="D98" s="25" t="s">
        <v>388</v>
      </c>
      <c r="E98" s="25" t="s">
        <v>389</v>
      </c>
      <c r="F98" s="25" t="s">
        <v>390</v>
      </c>
      <c r="G98" s="25">
        <v>500</v>
      </c>
      <c r="H98" s="25"/>
    </row>
    <row r="99" spans="1:8" ht="14">
      <c r="A99" s="25" t="s">
        <v>391</v>
      </c>
      <c r="B99" s="26" t="s">
        <v>35</v>
      </c>
      <c r="C99" s="25" t="str">
        <f t="shared" si="1"/>
        <v>nk</v>
      </c>
      <c r="D99" s="25" t="s">
        <v>391</v>
      </c>
      <c r="E99" s="25" t="s">
        <v>392</v>
      </c>
      <c r="F99" s="25" t="s">
        <v>393</v>
      </c>
      <c r="G99" s="25">
        <v>500</v>
      </c>
      <c r="H99" s="25"/>
    </row>
    <row r="100" spans="1:8" ht="14">
      <c r="A100" s="25" t="s">
        <v>394</v>
      </c>
      <c r="B100" s="26" t="s">
        <v>35</v>
      </c>
      <c r="C100" s="25" t="str">
        <f t="shared" si="1"/>
        <v>osteoblast</v>
      </c>
      <c r="D100" s="25" t="s">
        <v>394</v>
      </c>
      <c r="E100" s="25" t="s">
        <v>395</v>
      </c>
      <c r="F100" s="25" t="s">
        <v>396</v>
      </c>
      <c r="G100" s="25">
        <v>500</v>
      </c>
      <c r="H100" s="25"/>
    </row>
    <row r="101" spans="1:8" ht="14">
      <c r="A101" s="25" t="s">
        <v>397</v>
      </c>
      <c r="B101" s="26" t="s">
        <v>35</v>
      </c>
      <c r="C101" s="25" t="str">
        <f t="shared" si="1"/>
        <v>osteoclast</v>
      </c>
      <c r="D101" s="25" t="s">
        <v>397</v>
      </c>
      <c r="E101" s="25" t="s">
        <v>398</v>
      </c>
      <c r="F101" s="25" t="s">
        <v>399</v>
      </c>
      <c r="G101" s="25">
        <v>500</v>
      </c>
      <c r="H101" s="25"/>
    </row>
    <row r="102" spans="1:8" ht="14">
      <c r="A102" s="25" t="s">
        <v>400</v>
      </c>
      <c r="B102" s="26" t="s">
        <v>35</v>
      </c>
      <c r="C102" s="25" t="str">
        <f t="shared" si="1"/>
        <v>osteocytes</v>
      </c>
      <c r="D102" s="25" t="s">
        <v>400</v>
      </c>
      <c r="E102" s="25" t="s">
        <v>401</v>
      </c>
      <c r="F102" s="25" t="s">
        <v>402</v>
      </c>
      <c r="G102" s="25">
        <v>500</v>
      </c>
      <c r="H102" s="25"/>
    </row>
    <row r="103" spans="1:8" ht="14">
      <c r="A103" s="25" t="s">
        <v>403</v>
      </c>
      <c r="B103" s="26" t="s">
        <v>35</v>
      </c>
      <c r="C103" s="25" t="str">
        <f t="shared" si="1"/>
        <v>osteogenic</v>
      </c>
      <c r="D103" s="25" t="s">
        <v>403</v>
      </c>
      <c r="E103" s="25" t="s">
        <v>404</v>
      </c>
      <c r="F103" s="25" t="s">
        <v>405</v>
      </c>
      <c r="G103" s="25">
        <v>500</v>
      </c>
      <c r="H103" s="25"/>
    </row>
    <row r="104" spans="1:8" ht="14">
      <c r="A104" s="25" t="s">
        <v>406</v>
      </c>
      <c r="B104" s="26" t="s">
        <v>35</v>
      </c>
      <c r="C104" s="25" t="str">
        <f t="shared" si="1"/>
        <v>regt</v>
      </c>
      <c r="D104" s="25" t="s">
        <v>406</v>
      </c>
      <c r="E104" s="25" t="s">
        <v>407</v>
      </c>
      <c r="F104" s="25" t="s">
        <v>408</v>
      </c>
      <c r="G104" s="25">
        <v>500</v>
      </c>
      <c r="H104" s="25"/>
    </row>
    <row r="105" spans="1:8" ht="14">
      <c r="A105" s="25" t="s">
        <v>409</v>
      </c>
      <c r="B105" s="26" t="s">
        <v>35</v>
      </c>
      <c r="C105" s="25" t="str">
        <f t="shared" si="1"/>
        <v>stemcells</v>
      </c>
      <c r="D105" s="25" t="s">
        <v>409</v>
      </c>
      <c r="E105" s="25" t="s">
        <v>410</v>
      </c>
      <c r="F105" s="25" t="s">
        <v>411</v>
      </c>
      <c r="G105" s="25">
        <v>500</v>
      </c>
      <c r="H105" s="25"/>
    </row>
    <row r="106" spans="1:8" ht="14">
      <c r="A106" s="25" t="s">
        <v>412</v>
      </c>
      <c r="B106" s="26" t="s">
        <v>35</v>
      </c>
      <c r="C106" s="25" t="str">
        <f t="shared" si="1"/>
        <v>tcells</v>
      </c>
      <c r="D106" s="25" t="s">
        <v>412</v>
      </c>
      <c r="E106" s="25" t="s">
        <v>413</v>
      </c>
      <c r="F106" s="25" t="s">
        <v>413</v>
      </c>
      <c r="G106" s="25">
        <v>500</v>
      </c>
      <c r="H106" s="25"/>
    </row>
    <row r="107" spans="1:8" ht="14">
      <c r="A107" s="25" t="s">
        <v>414</v>
      </c>
      <c r="B107" s="26" t="s">
        <v>35</v>
      </c>
      <c r="C107" s="25" t="str">
        <f t="shared" si="1"/>
        <v>thelper</v>
      </c>
      <c r="D107" s="25" t="s">
        <v>414</v>
      </c>
      <c r="E107" s="25" t="s">
        <v>415</v>
      </c>
      <c r="F107" s="25" t="s">
        <v>416</v>
      </c>
      <c r="G107" s="25">
        <v>500</v>
      </c>
      <c r="H107" s="25"/>
    </row>
    <row r="108" spans="1:8" ht="14">
      <c r="A108" s="25" t="s">
        <v>417</v>
      </c>
      <c r="B108" s="26" t="s">
        <v>35</v>
      </c>
      <c r="C108" s="25" t="str">
        <f t="shared" si="1"/>
        <v>thrombocytes</v>
      </c>
      <c r="D108" s="25" t="s">
        <v>417</v>
      </c>
      <c r="E108" s="25" t="s">
        <v>418</v>
      </c>
      <c r="F108" s="25" t="s">
        <v>419</v>
      </c>
      <c r="G108" s="25">
        <v>500</v>
      </c>
      <c r="H108" s="25"/>
    </row>
    <row r="109" spans="1:8" ht="14">
      <c r="A109" s="25" t="s">
        <v>420</v>
      </c>
      <c r="B109" s="26" t="s">
        <v>38</v>
      </c>
      <c r="C109" s="25" t="str">
        <f t="shared" si="1"/>
        <v>786_0</v>
      </c>
      <c r="D109" s="25">
        <v>786</v>
      </c>
      <c r="E109" s="25" t="s">
        <v>421</v>
      </c>
      <c r="F109" s="25" t="s">
        <v>422</v>
      </c>
      <c r="G109" s="25">
        <v>500</v>
      </c>
      <c r="H109" s="25"/>
    </row>
    <row r="110" spans="1:8" ht="14">
      <c r="A110" s="25" t="s">
        <v>423</v>
      </c>
      <c r="B110" s="26" t="s">
        <v>38</v>
      </c>
      <c r="C110" s="25" t="str">
        <f t="shared" si="1"/>
        <v>a498</v>
      </c>
      <c r="D110" s="25" t="s">
        <v>423</v>
      </c>
      <c r="E110" s="25" t="s">
        <v>424</v>
      </c>
      <c r="F110" s="25" t="s">
        <v>422</v>
      </c>
      <c r="G110" s="25">
        <v>500</v>
      </c>
      <c r="H110" s="25"/>
    </row>
    <row r="111" spans="1:8" ht="14">
      <c r="A111" s="25" t="s">
        <v>425</v>
      </c>
      <c r="B111" s="26" t="s">
        <v>38</v>
      </c>
      <c r="C111" s="25" t="str">
        <f t="shared" si="1"/>
        <v>a549</v>
      </c>
      <c r="D111" s="25" t="s">
        <v>425</v>
      </c>
      <c r="E111" s="25" t="s">
        <v>426</v>
      </c>
      <c r="F111" s="25" t="s">
        <v>427</v>
      </c>
      <c r="G111" s="25">
        <v>500</v>
      </c>
      <c r="H111" s="25"/>
    </row>
    <row r="112" spans="1:8" ht="14">
      <c r="A112" s="25" t="s">
        <v>428</v>
      </c>
      <c r="B112" s="26" t="s">
        <v>38</v>
      </c>
      <c r="C112" s="25" t="str">
        <f t="shared" si="1"/>
        <v>achn</v>
      </c>
      <c r="D112" s="25" t="s">
        <v>428</v>
      </c>
      <c r="E112" s="25" t="s">
        <v>429</v>
      </c>
      <c r="F112" s="25" t="s">
        <v>422</v>
      </c>
      <c r="G112" s="25">
        <v>500</v>
      </c>
      <c r="H112" s="25"/>
    </row>
    <row r="113" spans="1:8" ht="14">
      <c r="A113" s="25" t="s">
        <v>430</v>
      </c>
      <c r="B113" s="26" t="s">
        <v>38</v>
      </c>
      <c r="C113" s="25" t="str">
        <f t="shared" si="1"/>
        <v>bmdc</v>
      </c>
      <c r="D113" s="25" t="s">
        <v>430</v>
      </c>
      <c r="E113" s="25" t="s">
        <v>431</v>
      </c>
      <c r="F113" s="25" t="s">
        <v>431</v>
      </c>
      <c r="G113" s="25">
        <v>500</v>
      </c>
      <c r="H113" s="25"/>
    </row>
    <row r="114" spans="1:8" ht="14">
      <c r="A114" s="25" t="s">
        <v>432</v>
      </c>
      <c r="B114" s="26" t="s">
        <v>38</v>
      </c>
      <c r="C114" s="25" t="str">
        <f t="shared" si="1"/>
        <v>bmm</v>
      </c>
      <c r="D114" s="25" t="s">
        <v>432</v>
      </c>
      <c r="E114" s="25" t="s">
        <v>433</v>
      </c>
      <c r="F114" s="25" t="s">
        <v>434</v>
      </c>
      <c r="G114" s="25">
        <v>500</v>
      </c>
      <c r="H114" s="25"/>
    </row>
    <row r="115" spans="1:8" ht="14">
      <c r="A115" s="25" t="s">
        <v>435</v>
      </c>
      <c r="B115" s="26" t="s">
        <v>38</v>
      </c>
      <c r="C115" s="25" t="str">
        <f t="shared" si="1"/>
        <v>bt549</v>
      </c>
      <c r="D115" s="25" t="s">
        <v>435</v>
      </c>
      <c r="E115" s="25" t="s">
        <v>436</v>
      </c>
      <c r="F115" s="25" t="s">
        <v>437</v>
      </c>
      <c r="G115" s="25">
        <v>500</v>
      </c>
      <c r="H115" s="25"/>
    </row>
    <row r="116" spans="1:8" ht="14">
      <c r="A116" s="25" t="s">
        <v>438</v>
      </c>
      <c r="B116" s="26" t="s">
        <v>38</v>
      </c>
      <c r="C116" s="25" t="str">
        <f t="shared" si="1"/>
        <v>caki1</v>
      </c>
      <c r="D116" s="25" t="s">
        <v>438</v>
      </c>
      <c r="E116" s="25" t="s">
        <v>439</v>
      </c>
      <c r="F116" s="25" t="s">
        <v>422</v>
      </c>
      <c r="G116" s="25">
        <v>500</v>
      </c>
      <c r="H116" s="25"/>
    </row>
    <row r="117" spans="1:8" ht="14">
      <c r="A117" s="25" t="s">
        <v>440</v>
      </c>
      <c r="B117" s="26" t="s">
        <v>38</v>
      </c>
      <c r="C117" s="25" t="str">
        <f t="shared" si="1"/>
        <v>cho</v>
      </c>
      <c r="D117" s="25" t="s">
        <v>440</v>
      </c>
      <c r="E117" s="25" t="s">
        <v>441</v>
      </c>
      <c r="F117" s="25" t="s">
        <v>442</v>
      </c>
      <c r="G117" s="25">
        <v>500</v>
      </c>
      <c r="H117" s="25"/>
    </row>
    <row r="118" spans="1:8" ht="14">
      <c r="A118" s="25" t="s">
        <v>443</v>
      </c>
      <c r="B118" s="26" t="s">
        <v>38</v>
      </c>
      <c r="C118" s="25" t="str">
        <f t="shared" si="1"/>
        <v>colo205</v>
      </c>
      <c r="D118" s="25" t="s">
        <v>443</v>
      </c>
      <c r="E118" s="25" t="s">
        <v>444</v>
      </c>
      <c r="F118" s="25" t="s">
        <v>445</v>
      </c>
      <c r="G118" s="25">
        <v>500</v>
      </c>
      <c r="H118" s="25"/>
    </row>
    <row r="119" spans="1:8" ht="14">
      <c r="A119" s="25" t="s">
        <v>446</v>
      </c>
      <c r="B119" s="26" t="s">
        <v>38</v>
      </c>
      <c r="C119" s="25" t="str">
        <f t="shared" si="1"/>
        <v>crfcem</v>
      </c>
      <c r="D119" s="25" t="s">
        <v>446</v>
      </c>
      <c r="E119" s="25" t="s">
        <v>447</v>
      </c>
      <c r="F119" s="25" t="s">
        <v>448</v>
      </c>
      <c r="G119" s="25">
        <v>500</v>
      </c>
      <c r="H119" s="25"/>
    </row>
    <row r="120" spans="1:8" ht="14">
      <c r="A120" s="25" t="s">
        <v>449</v>
      </c>
      <c r="B120" s="26" t="s">
        <v>38</v>
      </c>
      <c r="C120" s="25" t="str">
        <f t="shared" si="1"/>
        <v>du145</v>
      </c>
      <c r="D120" s="25" t="s">
        <v>449</v>
      </c>
      <c r="E120" s="25" t="s">
        <v>450</v>
      </c>
      <c r="F120" s="25" t="s">
        <v>451</v>
      </c>
      <c r="G120" s="25">
        <v>500</v>
      </c>
      <c r="H120" s="25"/>
    </row>
    <row r="121" spans="1:8" ht="14">
      <c r="A121" s="25" t="s">
        <v>452</v>
      </c>
      <c r="B121" s="26" t="s">
        <v>38</v>
      </c>
      <c r="C121" s="25" t="str">
        <f t="shared" si="1"/>
        <v>ekvx</v>
      </c>
      <c r="D121" s="25" t="s">
        <v>452</v>
      </c>
      <c r="E121" s="25" t="s">
        <v>453</v>
      </c>
      <c r="F121" s="25" t="s">
        <v>427</v>
      </c>
      <c r="G121" s="25">
        <v>500</v>
      </c>
      <c r="H121" s="25"/>
    </row>
    <row r="122" spans="1:8" ht="14">
      <c r="A122" s="25" t="s">
        <v>454</v>
      </c>
      <c r="B122" s="26" t="s">
        <v>38</v>
      </c>
      <c r="C122" s="25" t="str">
        <f t="shared" si="1"/>
        <v>hcc2998</v>
      </c>
      <c r="D122" s="25" t="s">
        <v>454</v>
      </c>
      <c r="E122" s="25" t="s">
        <v>455</v>
      </c>
      <c r="F122" s="25" t="s">
        <v>445</v>
      </c>
      <c r="G122" s="25">
        <v>500</v>
      </c>
      <c r="H122" s="25"/>
    </row>
    <row r="123" spans="1:8" ht="14">
      <c r="A123" s="25" t="s">
        <v>456</v>
      </c>
      <c r="B123" s="26" t="s">
        <v>38</v>
      </c>
      <c r="C123" s="25" t="str">
        <f t="shared" si="1"/>
        <v>hct116</v>
      </c>
      <c r="D123" s="25" t="s">
        <v>456</v>
      </c>
      <c r="E123" s="25" t="s">
        <v>457</v>
      </c>
      <c r="F123" s="25" t="s">
        <v>445</v>
      </c>
      <c r="G123" s="25">
        <v>500</v>
      </c>
      <c r="H123" s="25"/>
    </row>
    <row r="124" spans="1:8" ht="14">
      <c r="A124" s="25" t="s">
        <v>458</v>
      </c>
      <c r="B124" s="26" t="s">
        <v>38</v>
      </c>
      <c r="C124" s="25" t="str">
        <f t="shared" si="1"/>
        <v>hct15</v>
      </c>
      <c r="D124" s="25" t="s">
        <v>458</v>
      </c>
      <c r="E124" s="25" t="s">
        <v>459</v>
      </c>
      <c r="F124" s="25" t="s">
        <v>445</v>
      </c>
      <c r="G124" s="25">
        <v>500</v>
      </c>
      <c r="H124" s="25"/>
    </row>
    <row r="125" spans="1:8" ht="14">
      <c r="A125" s="25" t="s">
        <v>460</v>
      </c>
      <c r="B125" s="26" t="s">
        <v>38</v>
      </c>
      <c r="C125" s="25" t="str">
        <f t="shared" si="1"/>
        <v>hek293</v>
      </c>
      <c r="D125" s="25" t="s">
        <v>460</v>
      </c>
      <c r="E125" s="25" t="s">
        <v>461</v>
      </c>
      <c r="F125" s="25" t="s">
        <v>462</v>
      </c>
      <c r="G125" s="25">
        <v>500</v>
      </c>
      <c r="H125" s="25"/>
    </row>
    <row r="126" spans="1:8" ht="14">
      <c r="A126" s="25" t="s">
        <v>463</v>
      </c>
      <c r="B126" s="26" t="s">
        <v>38</v>
      </c>
      <c r="C126" s="25" t="str">
        <f t="shared" si="1"/>
        <v>hek293t</v>
      </c>
      <c r="D126" s="25" t="s">
        <v>463</v>
      </c>
      <c r="E126" s="25" t="s">
        <v>464</v>
      </c>
      <c r="F126" s="25" t="s">
        <v>465</v>
      </c>
      <c r="G126" s="25">
        <v>500</v>
      </c>
      <c r="H126" s="25"/>
    </row>
    <row r="127" spans="1:8" ht="14">
      <c r="A127" s="25" t="s">
        <v>466</v>
      </c>
      <c r="B127" s="26" t="s">
        <v>38</v>
      </c>
      <c r="C127" s="25" t="str">
        <f t="shared" si="1"/>
        <v>hela</v>
      </c>
      <c r="D127" s="25" t="s">
        <v>466</v>
      </c>
      <c r="E127" s="25" t="s">
        <v>467</v>
      </c>
      <c r="F127" s="25" t="s">
        <v>468</v>
      </c>
      <c r="G127" s="25">
        <v>500</v>
      </c>
      <c r="H127" s="25"/>
    </row>
    <row r="128" spans="1:8" ht="14">
      <c r="A128" s="25" t="s">
        <v>3122</v>
      </c>
      <c r="B128" s="26" t="s">
        <v>38</v>
      </c>
      <c r="C128" s="25" t="str">
        <f t="shared" si="1"/>
        <v>trexflip</v>
      </c>
      <c r="D128" s="25" t="s">
        <v>3123</v>
      </c>
      <c r="E128" s="25" t="s">
        <v>3124</v>
      </c>
      <c r="F128" s="25" t="s">
        <v>3125</v>
      </c>
      <c r="G128" s="25">
        <v>500</v>
      </c>
      <c r="H128" s="25"/>
    </row>
    <row r="129" spans="1:8" ht="14">
      <c r="A129" s="25" t="s">
        <v>469</v>
      </c>
      <c r="B129" s="26" t="s">
        <v>38</v>
      </c>
      <c r="C129" s="25" t="str">
        <f t="shared" si="1"/>
        <v>hl60</v>
      </c>
      <c r="D129" s="25" t="s">
        <v>469</v>
      </c>
      <c r="E129" s="25" t="s">
        <v>470</v>
      </c>
      <c r="F129" s="25" t="s">
        <v>448</v>
      </c>
      <c r="G129" s="25">
        <v>500</v>
      </c>
      <c r="H129" s="25"/>
    </row>
    <row r="130" spans="1:8" ht="14">
      <c r="A130" s="25" t="s">
        <v>471</v>
      </c>
      <c r="B130" s="26" t="s">
        <v>38</v>
      </c>
      <c r="C130" s="25" t="str">
        <f t="shared" si="1"/>
        <v>hop62</v>
      </c>
      <c r="D130" s="25" t="s">
        <v>471</v>
      </c>
      <c r="E130" s="25" t="s">
        <v>472</v>
      </c>
      <c r="F130" s="25" t="s">
        <v>427</v>
      </c>
      <c r="G130" s="25">
        <v>500</v>
      </c>
      <c r="H130" s="25"/>
    </row>
    <row r="131" spans="1:8" ht="14">
      <c r="A131" s="25" t="s">
        <v>473</v>
      </c>
      <c r="B131" s="26" t="s">
        <v>38</v>
      </c>
      <c r="C131" s="25" t="str">
        <f t="shared" si="1"/>
        <v>hop92</v>
      </c>
      <c r="D131" s="25" t="s">
        <v>473</v>
      </c>
      <c r="E131" s="25" t="s">
        <v>474</v>
      </c>
      <c r="F131" s="25" t="s">
        <v>427</v>
      </c>
      <c r="G131" s="25">
        <v>500</v>
      </c>
      <c r="H131" s="25"/>
    </row>
    <row r="132" spans="1:8" ht="14">
      <c r="A132" s="25" t="s">
        <v>475</v>
      </c>
      <c r="B132" s="26" t="s">
        <v>38</v>
      </c>
      <c r="C132" s="25" t="str">
        <f t="shared" si="1"/>
        <v>hs578t</v>
      </c>
      <c r="D132" s="25" t="s">
        <v>475</v>
      </c>
      <c r="E132" s="25" t="s">
        <v>476</v>
      </c>
      <c r="F132" s="25" t="s">
        <v>437</v>
      </c>
      <c r="G132" s="25">
        <v>500</v>
      </c>
      <c r="H132" s="25"/>
    </row>
    <row r="133" spans="1:8" ht="14">
      <c r="A133" s="25" t="s">
        <v>477</v>
      </c>
      <c r="B133" s="26" t="s">
        <v>38</v>
      </c>
      <c r="C133" s="25" t="str">
        <f t="shared" si="1"/>
        <v>ht29</v>
      </c>
      <c r="D133" s="25" t="s">
        <v>477</v>
      </c>
      <c r="E133" s="25" t="s">
        <v>478</v>
      </c>
      <c r="F133" s="25" t="s">
        <v>445</v>
      </c>
      <c r="G133" s="25">
        <v>500</v>
      </c>
      <c r="H133" s="25"/>
    </row>
    <row r="134" spans="1:8" ht="14">
      <c r="A134" s="25" t="s">
        <v>479</v>
      </c>
      <c r="B134" s="26" t="s">
        <v>38</v>
      </c>
      <c r="C134" s="25" t="str">
        <f t="shared" ref="C134:C190" si="2">A134</f>
        <v>igrov1</v>
      </c>
      <c r="D134" s="25" t="s">
        <v>479</v>
      </c>
      <c r="E134" s="25" t="s">
        <v>480</v>
      </c>
      <c r="F134" s="25" t="s">
        <v>481</v>
      </c>
      <c r="G134" s="25">
        <v>500</v>
      </c>
      <c r="H134" s="25"/>
    </row>
    <row r="135" spans="1:8" ht="14">
      <c r="A135" s="25" t="s">
        <v>482</v>
      </c>
      <c r="B135" s="26" t="s">
        <v>38</v>
      </c>
      <c r="C135" s="25" t="str">
        <f t="shared" si="2"/>
        <v>immmef</v>
      </c>
      <c r="D135" s="25" t="s">
        <v>482</v>
      </c>
      <c r="E135" s="25" t="s">
        <v>483</v>
      </c>
      <c r="F135" s="25" t="s">
        <v>484</v>
      </c>
      <c r="G135" s="25">
        <v>500</v>
      </c>
      <c r="H135" s="25"/>
    </row>
    <row r="136" spans="1:8" ht="14">
      <c r="A136" s="25" t="s">
        <v>485</v>
      </c>
      <c r="B136" s="26" t="s">
        <v>38</v>
      </c>
      <c r="C136" s="25" t="str">
        <f t="shared" si="2"/>
        <v>jeko1</v>
      </c>
      <c r="D136" s="25" t="s">
        <v>485</v>
      </c>
      <c r="E136" s="25" t="s">
        <v>486</v>
      </c>
      <c r="F136" s="25" t="s">
        <v>487</v>
      </c>
      <c r="G136" s="25">
        <v>500</v>
      </c>
      <c r="H136" s="25"/>
    </row>
    <row r="137" spans="1:8" ht="14">
      <c r="A137" s="25" t="s">
        <v>488</v>
      </c>
      <c r="B137" s="26" t="s">
        <v>38</v>
      </c>
      <c r="C137" s="25" t="str">
        <f t="shared" si="2"/>
        <v>jurkat</v>
      </c>
      <c r="D137" s="25" t="s">
        <v>488</v>
      </c>
      <c r="E137" s="25" t="s">
        <v>489</v>
      </c>
      <c r="F137" s="25" t="s">
        <v>490</v>
      </c>
      <c r="G137" s="25">
        <v>500</v>
      </c>
      <c r="H137" s="25"/>
    </row>
    <row r="138" spans="1:8" ht="14">
      <c r="A138" s="25" t="s">
        <v>491</v>
      </c>
      <c r="B138" s="26" t="s">
        <v>38</v>
      </c>
      <c r="C138" s="25" t="str">
        <f t="shared" si="2"/>
        <v>jvm13</v>
      </c>
      <c r="D138" s="25" t="s">
        <v>491</v>
      </c>
      <c r="E138" s="25" t="s">
        <v>492</v>
      </c>
      <c r="F138" s="25" t="s">
        <v>487</v>
      </c>
      <c r="G138" s="25">
        <v>500</v>
      </c>
      <c r="H138" s="25"/>
    </row>
    <row r="139" spans="1:8" ht="14">
      <c r="A139" s="25" t="s">
        <v>493</v>
      </c>
      <c r="B139" s="26" t="s">
        <v>38</v>
      </c>
      <c r="C139" s="25" t="str">
        <f t="shared" si="2"/>
        <v>jvm2</v>
      </c>
      <c r="D139" s="25" t="s">
        <v>493</v>
      </c>
      <c r="E139" s="25" t="s">
        <v>494</v>
      </c>
      <c r="F139" s="25" t="s">
        <v>487</v>
      </c>
      <c r="G139" s="25">
        <v>500</v>
      </c>
      <c r="H139" s="25"/>
    </row>
    <row r="140" spans="1:8" ht="14">
      <c r="A140" s="25" t="s">
        <v>495</v>
      </c>
      <c r="B140" s="26" t="s">
        <v>38</v>
      </c>
      <c r="C140" s="25" t="str">
        <f t="shared" si="2"/>
        <v>k562</v>
      </c>
      <c r="D140" s="25" t="s">
        <v>495</v>
      </c>
      <c r="E140" s="25" t="s">
        <v>496</v>
      </c>
      <c r="F140" s="25" t="s">
        <v>448</v>
      </c>
      <c r="G140" s="25">
        <v>500</v>
      </c>
      <c r="H140" s="25"/>
    </row>
    <row r="141" spans="1:8" ht="14">
      <c r="A141" s="25" t="s">
        <v>497</v>
      </c>
      <c r="B141" s="26" t="s">
        <v>38</v>
      </c>
      <c r="C141" s="25" t="str">
        <f t="shared" si="2"/>
        <v>km12</v>
      </c>
      <c r="D141" s="25" t="s">
        <v>497</v>
      </c>
      <c r="E141" s="25" t="s">
        <v>498</v>
      </c>
      <c r="F141" s="25" t="s">
        <v>445</v>
      </c>
      <c r="G141" s="25">
        <v>500</v>
      </c>
      <c r="H141" s="25"/>
    </row>
    <row r="142" spans="1:8" ht="14">
      <c r="A142" s="25" t="s">
        <v>499</v>
      </c>
      <c r="B142" s="26" t="s">
        <v>38</v>
      </c>
      <c r="C142" s="25" t="str">
        <f t="shared" si="2"/>
        <v>lox_imvi</v>
      </c>
      <c r="D142" s="25" t="s">
        <v>499</v>
      </c>
      <c r="E142" s="25" t="s">
        <v>500</v>
      </c>
      <c r="F142" s="25" t="s">
        <v>501</v>
      </c>
      <c r="G142" s="25">
        <v>500</v>
      </c>
      <c r="H142" s="25"/>
    </row>
    <row r="143" spans="1:8" ht="14">
      <c r="A143" s="25" t="s">
        <v>502</v>
      </c>
      <c r="B143" s="26" t="s">
        <v>38</v>
      </c>
      <c r="C143" s="25" t="str">
        <f t="shared" si="2"/>
        <v>m14</v>
      </c>
      <c r="D143" s="25" t="s">
        <v>502</v>
      </c>
      <c r="E143" s="25" t="s">
        <v>503</v>
      </c>
      <c r="F143" s="25" t="s">
        <v>501</v>
      </c>
      <c r="G143" s="25">
        <v>500</v>
      </c>
      <c r="H143" s="25"/>
    </row>
    <row r="144" spans="1:8" ht="14">
      <c r="A144" s="25" t="s">
        <v>504</v>
      </c>
      <c r="B144" s="26" t="s">
        <v>38</v>
      </c>
      <c r="C144" s="25" t="str">
        <f t="shared" si="2"/>
        <v>malme3m</v>
      </c>
      <c r="D144" s="25" t="s">
        <v>504</v>
      </c>
      <c r="E144" s="25" t="s">
        <v>505</v>
      </c>
      <c r="F144" s="25" t="s">
        <v>501</v>
      </c>
      <c r="G144" s="25">
        <v>500</v>
      </c>
      <c r="H144" s="25"/>
    </row>
    <row r="145" spans="1:8" ht="14">
      <c r="A145" s="25" t="s">
        <v>506</v>
      </c>
      <c r="B145" s="26" t="s">
        <v>38</v>
      </c>
      <c r="C145" s="25" t="str">
        <f t="shared" si="2"/>
        <v>maver1</v>
      </c>
      <c r="D145" s="25" t="s">
        <v>506</v>
      </c>
      <c r="E145" s="25" t="s">
        <v>507</v>
      </c>
      <c r="F145" s="25" t="s">
        <v>487</v>
      </c>
      <c r="G145" s="25">
        <v>500</v>
      </c>
      <c r="H145" s="25"/>
    </row>
    <row r="146" spans="1:8" ht="14">
      <c r="A146" s="25" t="s">
        <v>508</v>
      </c>
      <c r="B146" s="26" t="s">
        <v>38</v>
      </c>
      <c r="C146" s="25" t="str">
        <f t="shared" si="2"/>
        <v>mcf7</v>
      </c>
      <c r="D146" s="25" t="s">
        <v>508</v>
      </c>
      <c r="E146" s="25" t="s">
        <v>509</v>
      </c>
      <c r="F146" s="25" t="s">
        <v>437</v>
      </c>
      <c r="G146" s="25">
        <v>500</v>
      </c>
      <c r="H146" s="25"/>
    </row>
    <row r="147" spans="1:8" ht="14">
      <c r="A147" s="25" t="s">
        <v>510</v>
      </c>
      <c r="B147" s="26" t="s">
        <v>38</v>
      </c>
      <c r="C147" s="25" t="str">
        <f t="shared" si="2"/>
        <v>mdamb231</v>
      </c>
      <c r="D147" s="25" t="s">
        <v>510</v>
      </c>
      <c r="E147" s="25" t="s">
        <v>511</v>
      </c>
      <c r="F147" s="25" t="s">
        <v>437</v>
      </c>
      <c r="G147" s="25">
        <v>500</v>
      </c>
      <c r="H147" s="25"/>
    </row>
    <row r="148" spans="1:8" ht="14">
      <c r="A148" s="25" t="s">
        <v>512</v>
      </c>
      <c r="B148" s="26" t="s">
        <v>38</v>
      </c>
      <c r="C148" s="25" t="str">
        <f t="shared" si="2"/>
        <v>mdamb435</v>
      </c>
      <c r="D148" s="25" t="s">
        <v>512</v>
      </c>
      <c r="E148" s="25" t="s">
        <v>513</v>
      </c>
      <c r="F148" s="25" t="s">
        <v>501</v>
      </c>
      <c r="G148" s="25">
        <v>500</v>
      </c>
      <c r="H148" s="25"/>
    </row>
    <row r="149" spans="1:8" ht="14">
      <c r="A149" s="25" t="s">
        <v>514</v>
      </c>
      <c r="B149" s="26" t="s">
        <v>38</v>
      </c>
      <c r="C149" s="25" t="str">
        <f t="shared" si="2"/>
        <v>mdamb468</v>
      </c>
      <c r="D149" s="25" t="s">
        <v>514</v>
      </c>
      <c r="E149" s="25" t="s">
        <v>515</v>
      </c>
      <c r="F149" s="25" t="s">
        <v>437</v>
      </c>
      <c r="G149" s="25">
        <v>500</v>
      </c>
      <c r="H149" s="25"/>
    </row>
    <row r="150" spans="1:8" ht="14">
      <c r="A150" s="25" t="s">
        <v>516</v>
      </c>
      <c r="B150" s="26" t="s">
        <v>38</v>
      </c>
      <c r="C150" s="25" t="str">
        <f t="shared" si="2"/>
        <v>mef</v>
      </c>
      <c r="D150" s="25" t="s">
        <v>516</v>
      </c>
      <c r="E150" s="25" t="s">
        <v>517</v>
      </c>
      <c r="F150" s="25" t="s">
        <v>518</v>
      </c>
      <c r="G150" s="25">
        <v>500</v>
      </c>
      <c r="H150" s="25"/>
    </row>
    <row r="151" spans="1:8" ht="14">
      <c r="A151" s="25" t="s">
        <v>519</v>
      </c>
      <c r="B151" s="26" t="s">
        <v>38</v>
      </c>
      <c r="C151" s="25" t="str">
        <f t="shared" si="2"/>
        <v>mino</v>
      </c>
      <c r="D151" s="25" t="s">
        <v>519</v>
      </c>
      <c r="E151" s="25" t="s">
        <v>520</v>
      </c>
      <c r="F151" s="25" t="s">
        <v>487</v>
      </c>
      <c r="G151" s="25">
        <v>500</v>
      </c>
      <c r="H151" s="25"/>
    </row>
    <row r="152" spans="1:8" ht="14">
      <c r="A152" s="25" t="s">
        <v>521</v>
      </c>
      <c r="B152" s="26" t="s">
        <v>38</v>
      </c>
      <c r="C152" s="25" t="str">
        <f t="shared" si="2"/>
        <v>molt4</v>
      </c>
      <c r="D152" s="25" t="s">
        <v>521</v>
      </c>
      <c r="E152" s="25" t="s">
        <v>522</v>
      </c>
      <c r="F152" s="25" t="s">
        <v>448</v>
      </c>
      <c r="G152" s="25">
        <v>500</v>
      </c>
      <c r="H152" s="25"/>
    </row>
    <row r="153" spans="1:8" ht="14">
      <c r="A153" s="25" t="s">
        <v>523</v>
      </c>
      <c r="B153" s="26" t="s">
        <v>38</v>
      </c>
      <c r="C153" s="25" t="str">
        <f t="shared" si="2"/>
        <v>nceb1</v>
      </c>
      <c r="D153" s="25" t="s">
        <v>523</v>
      </c>
      <c r="E153" s="25" t="s">
        <v>524</v>
      </c>
      <c r="F153" s="25" t="s">
        <v>487</v>
      </c>
      <c r="G153" s="25">
        <v>500</v>
      </c>
      <c r="H153" s="25"/>
    </row>
    <row r="154" spans="1:8" ht="14">
      <c r="A154" s="25" t="s">
        <v>525</v>
      </c>
      <c r="B154" s="26" t="s">
        <v>38</v>
      </c>
      <c r="C154" s="25" t="str">
        <f t="shared" si="2"/>
        <v>nci_adrres</v>
      </c>
      <c r="D154" s="25" t="s">
        <v>526</v>
      </c>
      <c r="E154" s="25" t="s">
        <v>527</v>
      </c>
      <c r="F154" s="25" t="s">
        <v>481</v>
      </c>
      <c r="G154" s="25">
        <v>500</v>
      </c>
      <c r="H154" s="25"/>
    </row>
    <row r="155" spans="1:8" ht="14">
      <c r="A155" s="25" t="s">
        <v>528</v>
      </c>
      <c r="B155" s="26" t="s">
        <v>38</v>
      </c>
      <c r="C155" s="25" t="str">
        <f t="shared" si="2"/>
        <v>nci_h226</v>
      </c>
      <c r="D155" s="25" t="s">
        <v>529</v>
      </c>
      <c r="E155" s="25" t="s">
        <v>530</v>
      </c>
      <c r="F155" s="25" t="s">
        <v>427</v>
      </c>
      <c r="G155" s="25">
        <v>500</v>
      </c>
      <c r="H155" s="25"/>
    </row>
    <row r="156" spans="1:8" ht="14">
      <c r="A156" s="25" t="s">
        <v>531</v>
      </c>
      <c r="B156" s="26" t="s">
        <v>38</v>
      </c>
      <c r="C156" s="25" t="str">
        <f t="shared" si="2"/>
        <v>nci_h23</v>
      </c>
      <c r="D156" s="25" t="s">
        <v>532</v>
      </c>
      <c r="E156" s="25" t="s">
        <v>533</v>
      </c>
      <c r="F156" s="25" t="s">
        <v>427</v>
      </c>
      <c r="G156" s="25">
        <v>500</v>
      </c>
      <c r="H156" s="25"/>
    </row>
    <row r="157" spans="1:8" ht="14">
      <c r="A157" s="25" t="s">
        <v>534</v>
      </c>
      <c r="B157" s="26" t="s">
        <v>38</v>
      </c>
      <c r="C157" s="25" t="str">
        <f t="shared" si="2"/>
        <v>nci_h322m</v>
      </c>
      <c r="D157" s="25" t="s">
        <v>535</v>
      </c>
      <c r="E157" s="25" t="s">
        <v>536</v>
      </c>
      <c r="F157" s="25" t="s">
        <v>427</v>
      </c>
      <c r="G157" s="25">
        <v>500</v>
      </c>
      <c r="H157" s="25"/>
    </row>
    <row r="158" spans="1:8" ht="14">
      <c r="A158" s="25" t="s">
        <v>537</v>
      </c>
      <c r="B158" s="26" t="s">
        <v>38</v>
      </c>
      <c r="C158" s="25" t="str">
        <f t="shared" si="2"/>
        <v>nci_h460</v>
      </c>
      <c r="D158" s="25" t="s">
        <v>538</v>
      </c>
      <c r="E158" s="25" t="s">
        <v>539</v>
      </c>
      <c r="F158" s="25" t="s">
        <v>427</v>
      </c>
      <c r="G158" s="25">
        <v>500</v>
      </c>
      <c r="H158" s="25"/>
    </row>
    <row r="159" spans="1:8" ht="14">
      <c r="A159" s="25" t="s">
        <v>540</v>
      </c>
      <c r="B159" s="26" t="s">
        <v>38</v>
      </c>
      <c r="C159" s="25" t="str">
        <f t="shared" si="2"/>
        <v>nci_h522</v>
      </c>
      <c r="D159" s="25" t="s">
        <v>541</v>
      </c>
      <c r="E159" s="25" t="s">
        <v>542</v>
      </c>
      <c r="F159" s="25" t="s">
        <v>427</v>
      </c>
      <c r="G159" s="25">
        <v>500</v>
      </c>
      <c r="H159" s="25"/>
    </row>
    <row r="160" spans="1:8" ht="14">
      <c r="A160" s="25" t="s">
        <v>543</v>
      </c>
      <c r="B160" s="26" t="s">
        <v>38</v>
      </c>
      <c r="C160" s="25" t="str">
        <f t="shared" si="2"/>
        <v>ovcar3</v>
      </c>
      <c r="D160" s="25" t="s">
        <v>543</v>
      </c>
      <c r="E160" s="25" t="s">
        <v>544</v>
      </c>
      <c r="F160" s="25" t="s">
        <v>481</v>
      </c>
      <c r="G160" s="25">
        <v>500</v>
      </c>
      <c r="H160" s="25"/>
    </row>
    <row r="161" spans="1:8" ht="14">
      <c r="A161" s="25" t="s">
        <v>545</v>
      </c>
      <c r="B161" s="26" t="s">
        <v>38</v>
      </c>
      <c r="C161" s="25" t="str">
        <f t="shared" si="2"/>
        <v>ovcar4</v>
      </c>
      <c r="D161" s="25" t="s">
        <v>545</v>
      </c>
      <c r="E161" s="25" t="s">
        <v>546</v>
      </c>
      <c r="F161" s="25" t="s">
        <v>481</v>
      </c>
      <c r="G161" s="25">
        <v>500</v>
      </c>
      <c r="H161" s="25"/>
    </row>
    <row r="162" spans="1:8" ht="14">
      <c r="A162" s="25" t="s">
        <v>547</v>
      </c>
      <c r="B162" s="26" t="s">
        <v>38</v>
      </c>
      <c r="C162" s="25" t="str">
        <f t="shared" si="2"/>
        <v>ovcar5</v>
      </c>
      <c r="D162" s="25" t="s">
        <v>547</v>
      </c>
      <c r="E162" s="25" t="s">
        <v>548</v>
      </c>
      <c r="F162" s="25" t="s">
        <v>481</v>
      </c>
      <c r="G162" s="25">
        <v>500</v>
      </c>
      <c r="H162" s="25"/>
    </row>
    <row r="163" spans="1:8" ht="14">
      <c r="A163" s="25" t="s">
        <v>549</v>
      </c>
      <c r="B163" s="26" t="s">
        <v>38</v>
      </c>
      <c r="C163" s="25" t="str">
        <f t="shared" si="2"/>
        <v>ovcar8</v>
      </c>
      <c r="D163" s="25" t="s">
        <v>549</v>
      </c>
      <c r="E163" s="25" t="s">
        <v>550</v>
      </c>
      <c r="F163" s="25" t="s">
        <v>481</v>
      </c>
      <c r="G163" s="25">
        <v>500</v>
      </c>
      <c r="H163" s="25"/>
    </row>
    <row r="164" spans="1:8" ht="14">
      <c r="A164" s="25" t="s">
        <v>551</v>
      </c>
      <c r="B164" s="26" t="s">
        <v>38</v>
      </c>
      <c r="C164" s="25" t="str">
        <f t="shared" si="2"/>
        <v>p388</v>
      </c>
      <c r="D164" s="25" t="s">
        <v>551</v>
      </c>
      <c r="E164" s="25" t="s">
        <v>552</v>
      </c>
      <c r="F164" s="25" t="s">
        <v>553</v>
      </c>
      <c r="G164" s="25">
        <v>500</v>
      </c>
      <c r="H164" s="25"/>
    </row>
    <row r="165" spans="1:8" ht="14">
      <c r="A165" s="25" t="s">
        <v>554</v>
      </c>
      <c r="B165" s="26" t="s">
        <v>38</v>
      </c>
      <c r="C165" s="25" t="str">
        <f t="shared" si="2"/>
        <v>pc3</v>
      </c>
      <c r="D165" s="25" t="s">
        <v>554</v>
      </c>
      <c r="E165" s="25" t="s">
        <v>555</v>
      </c>
      <c r="F165" s="25" t="s">
        <v>451</v>
      </c>
      <c r="G165" s="25">
        <v>500</v>
      </c>
      <c r="H165" s="25"/>
    </row>
    <row r="166" spans="1:8" ht="14">
      <c r="A166" s="25" t="s">
        <v>556</v>
      </c>
      <c r="B166" s="26" t="s">
        <v>38</v>
      </c>
      <c r="C166" s="25" t="str">
        <f t="shared" si="2"/>
        <v>rec1</v>
      </c>
      <c r="D166" s="25" t="s">
        <v>556</v>
      </c>
      <c r="E166" s="25" t="s">
        <v>557</v>
      </c>
      <c r="F166" s="25" t="s">
        <v>487</v>
      </c>
      <c r="G166" s="25">
        <v>500</v>
      </c>
      <c r="H166" s="25"/>
    </row>
    <row r="167" spans="1:8" ht="14">
      <c r="A167" s="25" t="s">
        <v>558</v>
      </c>
      <c r="B167" s="26" t="s">
        <v>38</v>
      </c>
      <c r="C167" s="25" t="str">
        <f t="shared" si="2"/>
        <v>rpmi8226</v>
      </c>
      <c r="D167" s="25" t="s">
        <v>558</v>
      </c>
      <c r="E167" s="25" t="s">
        <v>559</v>
      </c>
      <c r="F167" s="25" t="s">
        <v>448</v>
      </c>
      <c r="G167" s="25">
        <v>500</v>
      </c>
      <c r="H167" s="25"/>
    </row>
    <row r="168" spans="1:8" ht="14">
      <c r="A168" s="25" t="s">
        <v>560</v>
      </c>
      <c r="B168" s="26" t="s">
        <v>38</v>
      </c>
      <c r="C168" s="25" t="str">
        <f t="shared" si="2"/>
        <v>rxf393</v>
      </c>
      <c r="D168" s="25" t="s">
        <v>560</v>
      </c>
      <c r="E168" s="25" t="s">
        <v>561</v>
      </c>
      <c r="F168" s="25" t="s">
        <v>422</v>
      </c>
      <c r="G168" s="25">
        <v>500</v>
      </c>
      <c r="H168" s="25"/>
    </row>
    <row r="169" spans="1:8" ht="14">
      <c r="A169" s="25" t="s">
        <v>562</v>
      </c>
      <c r="B169" s="26" t="s">
        <v>38</v>
      </c>
      <c r="C169" s="25" t="str">
        <f t="shared" si="2"/>
        <v>sf268</v>
      </c>
      <c r="D169" s="25" t="s">
        <v>562</v>
      </c>
      <c r="E169" s="25" t="s">
        <v>563</v>
      </c>
      <c r="F169" s="25" t="s">
        <v>564</v>
      </c>
      <c r="G169" s="25">
        <v>500</v>
      </c>
      <c r="H169" s="25"/>
    </row>
    <row r="170" spans="1:8" ht="14">
      <c r="A170" s="25" t="s">
        <v>565</v>
      </c>
      <c r="B170" s="26" t="s">
        <v>38</v>
      </c>
      <c r="C170" s="25" t="str">
        <f t="shared" si="2"/>
        <v>sf295</v>
      </c>
      <c r="D170" s="25" t="s">
        <v>565</v>
      </c>
      <c r="E170" s="25" t="s">
        <v>566</v>
      </c>
      <c r="F170" s="25" t="s">
        <v>564</v>
      </c>
      <c r="G170" s="25">
        <v>500</v>
      </c>
      <c r="H170" s="25"/>
    </row>
    <row r="171" spans="1:8" ht="14">
      <c r="A171" s="25" t="s">
        <v>567</v>
      </c>
      <c r="B171" s="26" t="s">
        <v>38</v>
      </c>
      <c r="C171" s="25" t="str">
        <f t="shared" si="2"/>
        <v>sf539</v>
      </c>
      <c r="D171" s="25" t="s">
        <v>567</v>
      </c>
      <c r="E171" s="25" t="s">
        <v>568</v>
      </c>
      <c r="F171" s="25" t="s">
        <v>564</v>
      </c>
      <c r="G171" s="25">
        <v>500</v>
      </c>
      <c r="H171" s="25"/>
    </row>
    <row r="172" spans="1:8" ht="14">
      <c r="A172" s="25" t="s">
        <v>569</v>
      </c>
      <c r="B172" s="26" t="s">
        <v>38</v>
      </c>
      <c r="C172" s="25" t="str">
        <f t="shared" si="2"/>
        <v>skmel2</v>
      </c>
      <c r="D172" s="25" t="s">
        <v>569</v>
      </c>
      <c r="E172" s="25" t="s">
        <v>570</v>
      </c>
      <c r="F172" s="25" t="s">
        <v>501</v>
      </c>
      <c r="G172" s="25">
        <v>500</v>
      </c>
      <c r="H172" s="25"/>
    </row>
    <row r="173" spans="1:8" ht="14">
      <c r="A173" s="25" t="s">
        <v>571</v>
      </c>
      <c r="B173" s="26" t="s">
        <v>38</v>
      </c>
      <c r="C173" s="25" t="str">
        <f t="shared" si="2"/>
        <v>skmel28</v>
      </c>
      <c r="D173" s="25" t="s">
        <v>571</v>
      </c>
      <c r="E173" s="25" t="s">
        <v>572</v>
      </c>
      <c r="F173" s="25" t="s">
        <v>501</v>
      </c>
      <c r="G173" s="25">
        <v>500</v>
      </c>
      <c r="H173" s="25"/>
    </row>
    <row r="174" spans="1:8" ht="14">
      <c r="A174" s="25" t="s">
        <v>573</v>
      </c>
      <c r="B174" s="26" t="s">
        <v>38</v>
      </c>
      <c r="C174" s="25" t="str">
        <f t="shared" si="2"/>
        <v>skmel5</v>
      </c>
      <c r="D174" s="25" t="s">
        <v>573</v>
      </c>
      <c r="E174" s="25" t="s">
        <v>574</v>
      </c>
      <c r="F174" s="25" t="s">
        <v>501</v>
      </c>
      <c r="G174" s="25">
        <v>500</v>
      </c>
      <c r="H174" s="25"/>
    </row>
    <row r="175" spans="1:8" ht="14">
      <c r="A175" s="25" t="s">
        <v>575</v>
      </c>
      <c r="B175" s="26" t="s">
        <v>38</v>
      </c>
      <c r="C175" s="25" t="str">
        <f t="shared" si="2"/>
        <v>skov3</v>
      </c>
      <c r="D175" s="25" t="s">
        <v>575</v>
      </c>
      <c r="E175" s="25" t="s">
        <v>576</v>
      </c>
      <c r="F175" s="25" t="s">
        <v>481</v>
      </c>
      <c r="G175" s="25">
        <v>500</v>
      </c>
      <c r="H175" s="25"/>
    </row>
    <row r="176" spans="1:8" ht="14">
      <c r="A176" s="25" t="s">
        <v>577</v>
      </c>
      <c r="B176" s="26" t="s">
        <v>38</v>
      </c>
      <c r="C176" s="25" t="str">
        <f t="shared" si="2"/>
        <v>sn12c</v>
      </c>
      <c r="D176" s="25" t="s">
        <v>577</v>
      </c>
      <c r="E176" s="25" t="s">
        <v>578</v>
      </c>
      <c r="F176" s="25" t="s">
        <v>422</v>
      </c>
      <c r="G176" s="25">
        <v>500</v>
      </c>
      <c r="H176" s="25"/>
    </row>
    <row r="177" spans="1:8" ht="14">
      <c r="A177" s="25" t="s">
        <v>579</v>
      </c>
      <c r="B177" s="26" t="s">
        <v>38</v>
      </c>
      <c r="C177" s="25" t="str">
        <f t="shared" si="2"/>
        <v>snb19</v>
      </c>
      <c r="D177" s="25" t="s">
        <v>579</v>
      </c>
      <c r="E177" s="25" t="s">
        <v>580</v>
      </c>
      <c r="F177" s="25" t="s">
        <v>564</v>
      </c>
      <c r="G177" s="25">
        <v>500</v>
      </c>
      <c r="H177" s="25"/>
    </row>
    <row r="178" spans="1:8" ht="14">
      <c r="A178" s="25" t="s">
        <v>581</v>
      </c>
      <c r="B178" s="26" t="s">
        <v>38</v>
      </c>
      <c r="C178" s="25" t="str">
        <f t="shared" si="2"/>
        <v>snb75</v>
      </c>
      <c r="D178" s="25" t="s">
        <v>581</v>
      </c>
      <c r="E178" s="25" t="s">
        <v>582</v>
      </c>
      <c r="F178" s="25" t="s">
        <v>564</v>
      </c>
      <c r="G178" s="25">
        <v>500</v>
      </c>
      <c r="H178" s="25"/>
    </row>
    <row r="179" spans="1:8" ht="14">
      <c r="A179" s="25" t="s">
        <v>583</v>
      </c>
      <c r="B179" s="26" t="s">
        <v>38</v>
      </c>
      <c r="C179" s="25" t="str">
        <f t="shared" si="2"/>
        <v>sr</v>
      </c>
      <c r="D179" s="25" t="s">
        <v>583</v>
      </c>
      <c r="E179" s="25" t="s">
        <v>584</v>
      </c>
      <c r="F179" s="25" t="s">
        <v>448</v>
      </c>
      <c r="G179" s="25">
        <v>500</v>
      </c>
      <c r="H179" s="25"/>
    </row>
    <row r="180" spans="1:8" ht="14">
      <c r="A180" s="25" t="s">
        <v>585</v>
      </c>
      <c r="B180" s="26" t="s">
        <v>38</v>
      </c>
      <c r="C180" s="25" t="str">
        <f t="shared" si="2"/>
        <v>sw620</v>
      </c>
      <c r="D180" s="25" t="s">
        <v>585</v>
      </c>
      <c r="E180" s="25" t="s">
        <v>586</v>
      </c>
      <c r="F180" s="25" t="s">
        <v>445</v>
      </c>
      <c r="G180" s="25">
        <v>500</v>
      </c>
      <c r="H180" s="25"/>
    </row>
    <row r="181" spans="1:8" ht="14">
      <c r="A181" s="25" t="s">
        <v>587</v>
      </c>
      <c r="B181" s="26" t="s">
        <v>38</v>
      </c>
      <c r="C181" s="25" t="str">
        <f t="shared" si="2"/>
        <v>t47d</v>
      </c>
      <c r="D181" s="25" t="s">
        <v>587</v>
      </c>
      <c r="E181" s="25" t="s">
        <v>588</v>
      </c>
      <c r="F181" s="25" t="s">
        <v>437</v>
      </c>
      <c r="G181" s="25">
        <v>500</v>
      </c>
      <c r="H181" s="25"/>
    </row>
    <row r="182" spans="1:8" ht="14">
      <c r="A182" s="25" t="s">
        <v>589</v>
      </c>
      <c r="B182" s="26" t="s">
        <v>38</v>
      </c>
      <c r="C182" s="25" t="str">
        <f t="shared" si="2"/>
        <v>thp1</v>
      </c>
      <c r="D182" s="25" t="s">
        <v>589</v>
      </c>
      <c r="E182" s="25" t="s">
        <v>590</v>
      </c>
      <c r="F182" s="25" t="s">
        <v>591</v>
      </c>
      <c r="G182" s="25">
        <v>500</v>
      </c>
      <c r="H182" s="25"/>
    </row>
    <row r="183" spans="1:8" ht="14">
      <c r="A183" s="25" t="s">
        <v>592</v>
      </c>
      <c r="B183" s="26" t="s">
        <v>38</v>
      </c>
      <c r="C183" s="25" t="str">
        <f t="shared" si="2"/>
        <v>tk10</v>
      </c>
      <c r="D183" s="25" t="s">
        <v>592</v>
      </c>
      <c r="E183" s="25" t="s">
        <v>593</v>
      </c>
      <c r="F183" s="25" t="s">
        <v>422</v>
      </c>
      <c r="G183" s="25">
        <v>500</v>
      </c>
      <c r="H183" s="25"/>
    </row>
    <row r="184" spans="1:8" ht="14">
      <c r="A184" s="25" t="s">
        <v>594</v>
      </c>
      <c r="B184" s="26" t="s">
        <v>38</v>
      </c>
      <c r="C184" s="25" t="str">
        <f t="shared" si="2"/>
        <v>u251</v>
      </c>
      <c r="D184" s="25" t="s">
        <v>594</v>
      </c>
      <c r="E184" s="25" t="s">
        <v>595</v>
      </c>
      <c r="F184" s="25" t="s">
        <v>564</v>
      </c>
      <c r="G184" s="25">
        <v>500</v>
      </c>
      <c r="H184" s="25"/>
    </row>
    <row r="185" spans="1:8" ht="14">
      <c r="A185" s="25" t="s">
        <v>596</v>
      </c>
      <c r="B185" s="26" t="s">
        <v>38</v>
      </c>
      <c r="C185" s="25" t="str">
        <f t="shared" si="2"/>
        <v>u937</v>
      </c>
      <c r="D185" s="25" t="s">
        <v>596</v>
      </c>
      <c r="E185" s="25" t="s">
        <v>597</v>
      </c>
      <c r="F185" s="25" t="s">
        <v>598</v>
      </c>
      <c r="G185" s="25">
        <v>500</v>
      </c>
      <c r="H185" s="25"/>
    </row>
    <row r="186" spans="1:8" ht="14">
      <c r="A186" s="25" t="s">
        <v>599</v>
      </c>
      <c r="B186" s="26" t="s">
        <v>38</v>
      </c>
      <c r="C186" s="25" t="str">
        <f t="shared" si="2"/>
        <v>uacc257</v>
      </c>
      <c r="D186" s="25" t="s">
        <v>599</v>
      </c>
      <c r="E186" s="25" t="s">
        <v>600</v>
      </c>
      <c r="F186" s="25" t="s">
        <v>501</v>
      </c>
      <c r="G186" s="25">
        <v>500</v>
      </c>
      <c r="H186" s="25"/>
    </row>
    <row r="187" spans="1:8" ht="14">
      <c r="A187" s="25" t="s">
        <v>601</v>
      </c>
      <c r="B187" s="26" t="s">
        <v>38</v>
      </c>
      <c r="C187" s="25" t="str">
        <f t="shared" si="2"/>
        <v>uacc62</v>
      </c>
      <c r="D187" s="25" t="s">
        <v>601</v>
      </c>
      <c r="E187" s="25" t="s">
        <v>602</v>
      </c>
      <c r="F187" s="25" t="s">
        <v>501</v>
      </c>
      <c r="G187" s="25">
        <v>500</v>
      </c>
      <c r="H187" s="25"/>
    </row>
    <row r="188" spans="1:8" ht="14">
      <c r="A188" s="25" t="s">
        <v>603</v>
      </c>
      <c r="B188" s="26" t="s">
        <v>38</v>
      </c>
      <c r="C188" s="25" t="str">
        <f t="shared" si="2"/>
        <v>uo31</v>
      </c>
      <c r="D188" s="25" t="s">
        <v>603</v>
      </c>
      <c r="E188" s="25" t="s">
        <v>604</v>
      </c>
      <c r="F188" s="25" t="s">
        <v>422</v>
      </c>
      <c r="G188" s="25">
        <v>500</v>
      </c>
      <c r="H188" s="25"/>
    </row>
    <row r="189" spans="1:8" ht="14">
      <c r="A189" s="25" t="s">
        <v>605</v>
      </c>
      <c r="B189" s="26" t="s">
        <v>38</v>
      </c>
      <c r="C189" s="25" t="str">
        <f t="shared" si="2"/>
        <v>z138</v>
      </c>
      <c r="D189" s="25" t="s">
        <v>605</v>
      </c>
      <c r="E189" s="25" t="s">
        <v>606</v>
      </c>
      <c r="F189" s="25" t="s">
        <v>487</v>
      </c>
      <c r="G189" s="25">
        <v>500</v>
      </c>
      <c r="H189" s="25"/>
    </row>
    <row r="190" spans="1:8" ht="14">
      <c r="A190" s="25" t="s">
        <v>3103</v>
      </c>
      <c r="B190" s="26" t="s">
        <v>38</v>
      </c>
      <c r="C190" s="25" t="str">
        <f t="shared" si="2"/>
        <v>bv2</v>
      </c>
      <c r="D190" s="25" t="s">
        <v>3103</v>
      </c>
      <c r="E190" s="25" t="s">
        <v>3101</v>
      </c>
      <c r="F190" s="28" t="s">
        <v>3102</v>
      </c>
      <c r="G190" s="25">
        <v>500</v>
      </c>
      <c r="H190" s="25"/>
    </row>
    <row r="191" spans="1:8" ht="14">
      <c r="A191" s="25" t="s">
        <v>610</v>
      </c>
      <c r="B191" s="26" t="s">
        <v>48</v>
      </c>
      <c r="C191" s="25" t="str">
        <f t="shared" ref="C191:C254" si="3">A191</f>
        <v>c18</v>
      </c>
      <c r="D191" s="27" t="s">
        <v>13</v>
      </c>
      <c r="E191" s="25" t="s">
        <v>4446</v>
      </c>
      <c r="F191" s="25" t="s">
        <v>611</v>
      </c>
      <c r="G191" s="25">
        <v>500</v>
      </c>
      <c r="H191" s="25"/>
    </row>
    <row r="192" spans="1:8" ht="14">
      <c r="A192" s="25" t="s">
        <v>612</v>
      </c>
      <c r="B192" s="26" t="s">
        <v>48</v>
      </c>
      <c r="C192" s="25" t="str">
        <f t="shared" si="3"/>
        <v>c8</v>
      </c>
      <c r="D192" s="27" t="s">
        <v>13</v>
      </c>
      <c r="E192" s="25" t="s">
        <v>4447</v>
      </c>
      <c r="F192" s="25" t="s">
        <v>613</v>
      </c>
      <c r="G192" s="25">
        <v>500</v>
      </c>
      <c r="H192" s="25"/>
    </row>
    <row r="193" spans="1:8" ht="14">
      <c r="A193" s="25" t="s">
        <v>614</v>
      </c>
      <c r="B193" s="26" t="s">
        <v>45</v>
      </c>
      <c r="C193" s="25" t="str">
        <f t="shared" si="3"/>
        <v>aurora</v>
      </c>
      <c r="D193" s="27" t="s">
        <v>13</v>
      </c>
      <c r="E193" s="25" t="s">
        <v>2718</v>
      </c>
      <c r="F193" s="25" t="s">
        <v>2719</v>
      </c>
      <c r="G193" s="25">
        <v>500</v>
      </c>
      <c r="H193" s="25"/>
    </row>
    <row r="194" spans="1:8" ht="14">
      <c r="A194" s="25" t="s">
        <v>617</v>
      </c>
      <c r="B194" s="26" t="s">
        <v>45</v>
      </c>
      <c r="C194" s="25" t="str">
        <f t="shared" si="3"/>
        <v>easyspray</v>
      </c>
      <c r="D194" s="27" t="s">
        <v>13</v>
      </c>
      <c r="E194" s="25" t="s">
        <v>618</v>
      </c>
      <c r="F194" s="25" t="s">
        <v>619</v>
      </c>
      <c r="G194" s="25">
        <v>500</v>
      </c>
      <c r="H194" s="25"/>
    </row>
    <row r="195" spans="1:8" ht="14">
      <c r="A195" s="25" t="s">
        <v>620</v>
      </c>
      <c r="B195" s="26" t="s">
        <v>45</v>
      </c>
      <c r="C195" s="25" t="str">
        <f t="shared" si="3"/>
        <v>inhouse</v>
      </c>
      <c r="D195" s="27" t="s">
        <v>13</v>
      </c>
      <c r="E195" s="25" t="s">
        <v>621</v>
      </c>
      <c r="F195" s="25" t="s">
        <v>622</v>
      </c>
      <c r="G195" s="25">
        <v>500</v>
      </c>
      <c r="H195" s="25"/>
    </row>
    <row r="196" spans="1:8" ht="14">
      <c r="A196" s="25" t="s">
        <v>623</v>
      </c>
      <c r="B196" s="26" t="s">
        <v>45</v>
      </c>
      <c r="C196" s="25" t="str">
        <f t="shared" si="3"/>
        <v>upac_doubleviper</v>
      </c>
      <c r="D196" s="27" t="s">
        <v>13</v>
      </c>
      <c r="E196" s="25" t="s">
        <v>624</v>
      </c>
      <c r="F196" s="25" t="s">
        <v>625</v>
      </c>
      <c r="G196" s="25">
        <v>500</v>
      </c>
      <c r="H196" s="25"/>
    </row>
    <row r="197" spans="1:8" ht="14">
      <c r="A197" s="25" t="s">
        <v>626</v>
      </c>
      <c r="B197" s="26" t="s">
        <v>45</v>
      </c>
      <c r="C197" s="25" t="str">
        <f t="shared" si="3"/>
        <v>upac_low_loadneo</v>
      </c>
      <c r="D197" s="27" t="s">
        <v>13</v>
      </c>
      <c r="E197" s="25" t="s">
        <v>627</v>
      </c>
      <c r="F197" s="25" t="s">
        <v>628</v>
      </c>
      <c r="G197" s="25">
        <v>500</v>
      </c>
      <c r="H197" s="25"/>
    </row>
    <row r="198" spans="1:8" ht="14">
      <c r="A198" s="25" t="s">
        <v>629</v>
      </c>
      <c r="B198" s="26" t="s">
        <v>45</v>
      </c>
      <c r="C198" s="25" t="str">
        <f t="shared" si="3"/>
        <v>upac_neo</v>
      </c>
      <c r="D198" s="27" t="s">
        <v>13</v>
      </c>
      <c r="E198" s="25" t="s">
        <v>630</v>
      </c>
      <c r="F198" s="25" t="s">
        <v>631</v>
      </c>
      <c r="G198" s="25">
        <v>500</v>
      </c>
      <c r="H198" s="25"/>
    </row>
    <row r="199" spans="1:8" ht="14">
      <c r="A199" s="25" t="s">
        <v>2981</v>
      </c>
      <c r="B199" s="26" t="s">
        <v>45</v>
      </c>
      <c r="C199" s="25" t="str">
        <f t="shared" si="3"/>
        <v>pepsep</v>
      </c>
      <c r="D199" s="27" t="s">
        <v>2981</v>
      </c>
      <c r="E199" s="25" t="s">
        <v>2982</v>
      </c>
      <c r="F199" s="25" t="s">
        <v>2983</v>
      </c>
      <c r="G199" s="25">
        <v>500</v>
      </c>
      <c r="H199" s="25"/>
    </row>
    <row r="200" spans="1:8" ht="14">
      <c r="A200" s="25" t="s">
        <v>2984</v>
      </c>
      <c r="B200" s="26" t="s">
        <v>45</v>
      </c>
      <c r="C200" s="25" t="str">
        <f t="shared" si="3"/>
        <v>pepsepultra</v>
      </c>
      <c r="D200" s="27" t="s">
        <v>2981</v>
      </c>
      <c r="E200" s="25" t="s">
        <v>2985</v>
      </c>
      <c r="F200" s="25" t="s">
        <v>2993</v>
      </c>
      <c r="G200" s="25">
        <v>500</v>
      </c>
      <c r="H200" s="25"/>
    </row>
    <row r="201" spans="1:8" ht="14">
      <c r="A201" s="25" t="s">
        <v>2986</v>
      </c>
      <c r="B201" s="26" t="s">
        <v>45</v>
      </c>
      <c r="C201" s="25" t="str">
        <f t="shared" si="3"/>
        <v>pepsepmax</v>
      </c>
      <c r="D201" s="27" t="s">
        <v>2981</v>
      </c>
      <c r="E201" s="25" t="s">
        <v>2987</v>
      </c>
      <c r="F201" s="25" t="s">
        <v>2992</v>
      </c>
      <c r="G201" s="25">
        <v>500</v>
      </c>
      <c r="H201" s="25"/>
    </row>
    <row r="202" spans="1:8" ht="14">
      <c r="A202" s="25" t="s">
        <v>2988</v>
      </c>
      <c r="B202" s="26" t="s">
        <v>45</v>
      </c>
      <c r="C202" s="25" t="str">
        <f t="shared" si="3"/>
        <v>pepsepmaxht</v>
      </c>
      <c r="D202" s="27" t="s">
        <v>2989</v>
      </c>
      <c r="E202" s="25" t="s">
        <v>2990</v>
      </c>
      <c r="F202" s="25" t="s">
        <v>2991</v>
      </c>
      <c r="G202" s="25">
        <v>500</v>
      </c>
      <c r="H202" s="25"/>
    </row>
    <row r="203" spans="1:8" ht="14">
      <c r="A203" s="25" t="s">
        <v>632</v>
      </c>
      <c r="B203" s="26" t="s">
        <v>51</v>
      </c>
      <c r="C203" s="25" t="str">
        <f t="shared" si="3"/>
        <v>5_fluorouracil</v>
      </c>
      <c r="D203" s="25" t="s">
        <v>633</v>
      </c>
      <c r="E203" s="25" t="s">
        <v>634</v>
      </c>
      <c r="F203" s="25" t="s">
        <v>635</v>
      </c>
      <c r="G203" s="25">
        <v>500</v>
      </c>
      <c r="H203" s="25"/>
    </row>
    <row r="204" spans="1:8" ht="14">
      <c r="A204" s="25" t="s">
        <v>636</v>
      </c>
      <c r="B204" s="26" t="s">
        <v>51</v>
      </c>
      <c r="C204" s="25" t="str">
        <f t="shared" si="3"/>
        <v>anisomycin</v>
      </c>
      <c r="D204" s="25" t="s">
        <v>636</v>
      </c>
      <c r="E204" s="25" t="s">
        <v>637</v>
      </c>
      <c r="F204" s="25" t="s">
        <v>637</v>
      </c>
      <c r="G204" s="25">
        <v>500</v>
      </c>
      <c r="H204" s="25"/>
    </row>
    <row r="205" spans="1:8" ht="14">
      <c r="A205" s="25" t="s">
        <v>4396</v>
      </c>
      <c r="B205" s="26" t="s">
        <v>51</v>
      </c>
      <c r="C205" s="25" t="s">
        <v>4396</v>
      </c>
      <c r="D205" s="25" t="s">
        <v>4396</v>
      </c>
      <c r="E205" s="25" t="s">
        <v>4395</v>
      </c>
      <c r="F205" s="25" t="s">
        <v>4397</v>
      </c>
      <c r="G205" s="25">
        <v>500</v>
      </c>
      <c r="H205" s="25"/>
    </row>
    <row r="206" spans="1:8" ht="14">
      <c r="A206" s="25" t="s">
        <v>638</v>
      </c>
      <c r="B206" s="26" t="s">
        <v>51</v>
      </c>
      <c r="C206" s="25" t="str">
        <f t="shared" si="3"/>
        <v>antimycin</v>
      </c>
      <c r="D206" s="25" t="s">
        <v>638</v>
      </c>
      <c r="E206" s="25" t="s">
        <v>639</v>
      </c>
      <c r="F206" s="25" t="s">
        <v>640</v>
      </c>
      <c r="G206" s="25">
        <v>500</v>
      </c>
      <c r="H206" s="25"/>
    </row>
    <row r="207" spans="1:8" ht="14">
      <c r="A207" s="25" t="s">
        <v>641</v>
      </c>
      <c r="B207" s="26" t="s">
        <v>51</v>
      </c>
      <c r="C207" s="25" t="str">
        <f t="shared" si="3"/>
        <v>atp</v>
      </c>
      <c r="D207" s="25" t="s">
        <v>641</v>
      </c>
      <c r="E207" s="25" t="s">
        <v>642</v>
      </c>
      <c r="F207" s="25" t="s">
        <v>643</v>
      </c>
      <c r="G207" s="25">
        <v>500</v>
      </c>
      <c r="H207" s="25"/>
    </row>
    <row r="208" spans="1:8" ht="14">
      <c r="A208" s="25" t="s">
        <v>644</v>
      </c>
      <c r="B208" s="26" t="s">
        <v>51</v>
      </c>
      <c r="C208" s="25" t="str">
        <f t="shared" si="3"/>
        <v>berzosertib</v>
      </c>
      <c r="D208" s="25" t="s">
        <v>644</v>
      </c>
      <c r="E208" s="25" t="s">
        <v>645</v>
      </c>
      <c r="F208" s="25" t="s">
        <v>645</v>
      </c>
      <c r="G208" s="25">
        <v>500</v>
      </c>
      <c r="H208" s="25"/>
    </row>
    <row r="209" spans="1:8" ht="14">
      <c r="A209" s="25" t="s">
        <v>646</v>
      </c>
      <c r="B209" s="26" t="s">
        <v>51</v>
      </c>
      <c r="C209" s="25" t="str">
        <f t="shared" si="3"/>
        <v>bortezomib</v>
      </c>
      <c r="D209" s="25" t="s">
        <v>646</v>
      </c>
      <c r="E209" s="25" t="s">
        <v>647</v>
      </c>
      <c r="F209" s="25" t="s">
        <v>647</v>
      </c>
      <c r="G209" s="25">
        <v>500</v>
      </c>
      <c r="H209" s="25"/>
    </row>
    <row r="210" spans="1:8" ht="14">
      <c r="A210" s="25" t="s">
        <v>648</v>
      </c>
      <c r="B210" s="26" t="s">
        <v>51</v>
      </c>
      <c r="C210" s="25" t="str">
        <f t="shared" si="3"/>
        <v>cccp</v>
      </c>
      <c r="D210" s="25" t="s">
        <v>648</v>
      </c>
      <c r="E210" s="25" t="s">
        <v>649</v>
      </c>
      <c r="F210" s="25" t="s">
        <v>650</v>
      </c>
      <c r="G210" s="25">
        <v>500</v>
      </c>
      <c r="H210" s="25"/>
    </row>
    <row r="211" spans="1:8" ht="14">
      <c r="A211" s="25" t="s">
        <v>651</v>
      </c>
      <c r="B211" s="26" t="s">
        <v>51</v>
      </c>
      <c r="C211" s="25" t="str">
        <f t="shared" si="3"/>
        <v>cycloheximide</v>
      </c>
      <c r="D211" s="25" t="s">
        <v>651</v>
      </c>
      <c r="E211" s="25" t="s">
        <v>652</v>
      </c>
      <c r="F211" s="25" t="s">
        <v>652</v>
      </c>
      <c r="G211" s="25">
        <v>500</v>
      </c>
      <c r="H211" s="25"/>
    </row>
    <row r="212" spans="1:8" ht="14">
      <c r="A212" s="25" t="s">
        <v>653</v>
      </c>
      <c r="B212" s="26" t="s">
        <v>51</v>
      </c>
      <c r="C212" s="25" t="str">
        <f t="shared" si="3"/>
        <v>dmso</v>
      </c>
      <c r="D212" s="25" t="s">
        <v>653</v>
      </c>
      <c r="E212" s="25" t="s">
        <v>654</v>
      </c>
      <c r="F212" s="25" t="s">
        <v>655</v>
      </c>
      <c r="G212" s="25">
        <v>500</v>
      </c>
      <c r="H212" s="25"/>
    </row>
    <row r="213" spans="1:8" ht="14">
      <c r="A213" s="25" t="s">
        <v>656</v>
      </c>
      <c r="B213" s="26" t="s">
        <v>51</v>
      </c>
      <c r="C213" s="25" t="str">
        <f t="shared" si="3"/>
        <v>doxorubicin</v>
      </c>
      <c r="D213" s="25" t="s">
        <v>656</v>
      </c>
      <c r="E213" s="25" t="s">
        <v>657</v>
      </c>
      <c r="F213" s="25" t="s">
        <v>658</v>
      </c>
      <c r="G213" s="25">
        <v>500</v>
      </c>
      <c r="H213" s="25"/>
    </row>
    <row r="214" spans="1:8" ht="14">
      <c r="A214" s="25" t="s">
        <v>659</v>
      </c>
      <c r="B214" s="26" t="s">
        <v>51</v>
      </c>
      <c r="C214" s="25" t="str">
        <f t="shared" si="3"/>
        <v>doxycycline</v>
      </c>
      <c r="D214" s="25" t="s">
        <v>659</v>
      </c>
      <c r="E214" s="25" t="s">
        <v>660</v>
      </c>
      <c r="F214" s="25" t="s">
        <v>661</v>
      </c>
      <c r="G214" s="25">
        <v>500</v>
      </c>
      <c r="H214" s="25"/>
    </row>
    <row r="215" spans="1:8" ht="14">
      <c r="A215" s="25" t="s">
        <v>2730</v>
      </c>
      <c r="B215" s="26" t="s">
        <v>51</v>
      </c>
      <c r="C215" s="25" t="str">
        <f t="shared" si="3"/>
        <v>epoximicin</v>
      </c>
      <c r="D215" s="25" t="s">
        <v>2729</v>
      </c>
      <c r="E215" s="25" t="s">
        <v>2728</v>
      </c>
      <c r="F215" s="25" t="s">
        <v>2731</v>
      </c>
      <c r="G215" s="25">
        <v>500</v>
      </c>
      <c r="H215" s="25"/>
    </row>
    <row r="216" spans="1:8" ht="14">
      <c r="A216" s="25" t="s">
        <v>662</v>
      </c>
      <c r="B216" s="26" t="s">
        <v>51</v>
      </c>
      <c r="C216" s="25" t="str">
        <f t="shared" si="3"/>
        <v>etoposide</v>
      </c>
      <c r="D216" s="25" t="s">
        <v>662</v>
      </c>
      <c r="E216" s="25" t="s">
        <v>663</v>
      </c>
      <c r="F216" s="25" t="s">
        <v>664</v>
      </c>
      <c r="G216" s="25">
        <v>500</v>
      </c>
      <c r="H216" s="25"/>
    </row>
    <row r="217" spans="1:8" ht="14">
      <c r="A217" s="25" t="s">
        <v>665</v>
      </c>
      <c r="B217" s="26" t="s">
        <v>51</v>
      </c>
      <c r="C217" s="25" t="str">
        <f t="shared" si="3"/>
        <v>fccp</v>
      </c>
      <c r="D217" s="25" t="s">
        <v>665</v>
      </c>
      <c r="E217" s="25" t="s">
        <v>666</v>
      </c>
      <c r="F217" s="25" t="s">
        <v>667</v>
      </c>
      <c r="G217" s="25">
        <v>500</v>
      </c>
      <c r="H217" s="25"/>
    </row>
    <row r="218" spans="1:8" ht="14">
      <c r="A218" s="25" t="s">
        <v>668</v>
      </c>
      <c r="B218" s="26" t="s">
        <v>51</v>
      </c>
      <c r="C218" s="25" t="str">
        <f t="shared" si="3"/>
        <v>h2o</v>
      </c>
      <c r="D218" s="25" t="s">
        <v>668</v>
      </c>
      <c r="E218" s="25" t="s">
        <v>669</v>
      </c>
      <c r="F218" s="25" t="s">
        <v>670</v>
      </c>
      <c r="G218" s="25">
        <v>500</v>
      </c>
      <c r="H218" s="25"/>
    </row>
    <row r="219" spans="1:8" ht="14">
      <c r="A219" s="25" t="s">
        <v>2725</v>
      </c>
      <c r="B219" s="26" t="s">
        <v>51</v>
      </c>
      <c r="C219" s="25" t="str">
        <f t="shared" si="3"/>
        <v>h2o2</v>
      </c>
      <c r="D219" s="25" t="s">
        <v>2725</v>
      </c>
      <c r="E219" s="25" t="s">
        <v>2726</v>
      </c>
      <c r="F219" s="25" t="s">
        <v>2727</v>
      </c>
      <c r="G219" s="25">
        <v>500</v>
      </c>
      <c r="H219" s="25"/>
    </row>
    <row r="220" spans="1:8" ht="14">
      <c r="A220" s="25" t="s">
        <v>671</v>
      </c>
      <c r="B220" s="26" t="s">
        <v>51</v>
      </c>
      <c r="C220" s="25" t="str">
        <f t="shared" si="3"/>
        <v>hydroxyurea</v>
      </c>
      <c r="D220" s="25" t="s">
        <v>671</v>
      </c>
      <c r="E220" s="25" t="s">
        <v>672</v>
      </c>
      <c r="F220" s="25" t="s">
        <v>673</v>
      </c>
      <c r="G220" s="25">
        <v>500</v>
      </c>
      <c r="H220" s="25"/>
    </row>
    <row r="221" spans="1:8" ht="14">
      <c r="A221" s="25" t="s">
        <v>674</v>
      </c>
      <c r="B221" s="26" t="s">
        <v>51</v>
      </c>
      <c r="C221" s="25" t="str">
        <f t="shared" si="3"/>
        <v>oligomycin</v>
      </c>
      <c r="D221" s="25" t="s">
        <v>674</v>
      </c>
      <c r="E221" s="25" t="s">
        <v>675</v>
      </c>
      <c r="F221" s="25" t="s">
        <v>676</v>
      </c>
      <c r="G221" s="25">
        <v>500</v>
      </c>
      <c r="H221" s="25"/>
    </row>
    <row r="222" spans="1:8" ht="14">
      <c r="A222" s="25" t="s">
        <v>677</v>
      </c>
      <c r="B222" s="26" t="s">
        <v>51</v>
      </c>
      <c r="C222" s="25" t="str">
        <f t="shared" si="3"/>
        <v>rapamycin</v>
      </c>
      <c r="D222" s="25" t="s">
        <v>677</v>
      </c>
      <c r="E222" s="25" t="s">
        <v>678</v>
      </c>
      <c r="F222" s="25" t="s">
        <v>679</v>
      </c>
      <c r="G222" s="25">
        <v>500</v>
      </c>
      <c r="H222" s="25"/>
    </row>
    <row r="223" spans="1:8" ht="14">
      <c r="A223" s="25" t="s">
        <v>680</v>
      </c>
      <c r="B223" s="26" t="s">
        <v>51</v>
      </c>
      <c r="C223" s="25" t="str">
        <f t="shared" si="3"/>
        <v>rotenone</v>
      </c>
      <c r="D223" s="25" t="s">
        <v>680</v>
      </c>
      <c r="E223" s="25" t="s">
        <v>681</v>
      </c>
      <c r="F223" s="25" t="s">
        <v>682</v>
      </c>
      <c r="G223" s="25">
        <v>500</v>
      </c>
      <c r="H223" s="25"/>
    </row>
    <row r="224" spans="1:8" ht="14">
      <c r="A224" s="25" t="s">
        <v>683</v>
      </c>
      <c r="B224" s="26" t="s">
        <v>51</v>
      </c>
      <c r="C224" s="25" t="str">
        <f t="shared" si="3"/>
        <v>tamoxifen</v>
      </c>
      <c r="D224" s="25" t="s">
        <v>683</v>
      </c>
      <c r="E224" s="25" t="s">
        <v>684</v>
      </c>
      <c r="F224" s="25" t="s">
        <v>684</v>
      </c>
      <c r="G224" s="25">
        <v>500</v>
      </c>
      <c r="H224" s="25"/>
    </row>
    <row r="225" spans="1:8" ht="14">
      <c r="A225" s="25" t="s">
        <v>685</v>
      </c>
      <c r="B225" s="26" t="s">
        <v>51</v>
      </c>
      <c r="C225" s="25" t="str">
        <f t="shared" si="3"/>
        <v>torin</v>
      </c>
      <c r="D225" s="25" t="s">
        <v>685</v>
      </c>
      <c r="E225" s="25" t="s">
        <v>686</v>
      </c>
      <c r="F225" s="25" t="s">
        <v>687</v>
      </c>
      <c r="G225" s="25">
        <v>500</v>
      </c>
      <c r="H225" s="25"/>
    </row>
    <row r="226" spans="1:8" ht="14">
      <c r="A226" s="25" t="s">
        <v>688</v>
      </c>
      <c r="B226" s="26" t="s">
        <v>51</v>
      </c>
      <c r="C226" s="25" t="str">
        <f t="shared" si="3"/>
        <v>trametinib</v>
      </c>
      <c r="D226" s="25" t="s">
        <v>688</v>
      </c>
      <c r="E226" s="25" t="s">
        <v>689</v>
      </c>
      <c r="F226" s="25" t="s">
        <v>689</v>
      </c>
      <c r="G226" s="25">
        <v>500</v>
      </c>
      <c r="H226" s="25"/>
    </row>
    <row r="227" spans="1:8" ht="14">
      <c r="A227" s="25" t="s">
        <v>690</v>
      </c>
      <c r="B227" s="26" t="s">
        <v>51</v>
      </c>
      <c r="C227" s="25" t="str">
        <f t="shared" si="3"/>
        <v>unstimulated</v>
      </c>
      <c r="D227" s="25" t="s">
        <v>690</v>
      </c>
      <c r="E227" s="25" t="s">
        <v>691</v>
      </c>
      <c r="F227" s="25" t="s">
        <v>692</v>
      </c>
      <c r="G227" s="25">
        <v>500</v>
      </c>
      <c r="H227" s="25"/>
    </row>
    <row r="228" spans="1:8" ht="14">
      <c r="A228" s="25" t="s">
        <v>3119</v>
      </c>
      <c r="B228" s="26" t="s">
        <v>51</v>
      </c>
      <c r="C228" s="25" t="str">
        <f t="shared" si="3"/>
        <v>pbs</v>
      </c>
      <c r="D228" s="25" t="s">
        <v>3119</v>
      </c>
      <c r="E228" s="25" t="s">
        <v>3120</v>
      </c>
      <c r="F228" s="25" t="s">
        <v>3121</v>
      </c>
      <c r="G228" s="25">
        <v>500</v>
      </c>
      <c r="H228" s="25"/>
    </row>
    <row r="229" spans="1:8" ht="14">
      <c r="A229" s="25" t="s">
        <v>4398</v>
      </c>
      <c r="B229" s="26" t="s">
        <v>51</v>
      </c>
      <c r="C229" s="25" t="s">
        <v>4398</v>
      </c>
      <c r="D229" s="25" t="s">
        <v>4398</v>
      </c>
      <c r="E229" s="25" t="s">
        <v>4399</v>
      </c>
      <c r="F229" s="25" t="s">
        <v>4400</v>
      </c>
      <c r="G229" s="25">
        <v>500</v>
      </c>
      <c r="H229" s="25"/>
    </row>
    <row r="230" spans="1:8" ht="14">
      <c r="A230" s="25" t="s">
        <v>4449</v>
      </c>
      <c r="B230" s="26" t="s">
        <v>51</v>
      </c>
      <c r="C230" s="25" t="s">
        <v>4449</v>
      </c>
      <c r="D230" s="25" t="s">
        <v>4449</v>
      </c>
      <c r="E230" s="25" t="s">
        <v>4451</v>
      </c>
      <c r="F230" s="25" t="s">
        <v>4450</v>
      </c>
      <c r="G230" s="25">
        <v>550</v>
      </c>
      <c r="H230" s="25"/>
    </row>
    <row r="231" spans="1:8" ht="14">
      <c r="A231" s="25" t="s">
        <v>693</v>
      </c>
      <c r="B231" s="26" t="s">
        <v>51</v>
      </c>
      <c r="C231" s="25" t="str">
        <f t="shared" si="3"/>
        <v>microenvironment</v>
      </c>
      <c r="D231" s="27" t="s">
        <v>13</v>
      </c>
      <c r="E231" s="25" t="s">
        <v>693</v>
      </c>
      <c r="F231" s="25" t="s">
        <v>693</v>
      </c>
      <c r="G231" s="25">
        <v>500</v>
      </c>
      <c r="H231" s="25"/>
    </row>
    <row r="232" spans="1:8" ht="14">
      <c r="A232" s="25" t="s">
        <v>694</v>
      </c>
      <c r="B232" s="26" t="s">
        <v>53</v>
      </c>
      <c r="C232" s="25" t="str">
        <f t="shared" si="3"/>
        <v>egs</v>
      </c>
      <c r="D232" s="27" t="s">
        <v>13</v>
      </c>
      <c r="E232" s="25" t="s">
        <v>695</v>
      </c>
      <c r="F232" s="25" t="s">
        <v>696</v>
      </c>
      <c r="G232" s="25">
        <v>500</v>
      </c>
      <c r="H232" s="25"/>
    </row>
    <row r="233" spans="1:8" ht="14">
      <c r="A233" s="25" t="s">
        <v>697</v>
      </c>
      <c r="B233" s="26" t="s">
        <v>53</v>
      </c>
      <c r="C233" s="25" t="str">
        <f t="shared" si="3"/>
        <v>suflo_egs</v>
      </c>
      <c r="D233" s="27" t="s">
        <v>13</v>
      </c>
      <c r="E233" s="25" t="s">
        <v>698</v>
      </c>
      <c r="F233" s="25" t="s">
        <v>699</v>
      </c>
      <c r="G233" s="25">
        <v>500</v>
      </c>
      <c r="H233" s="25"/>
    </row>
    <row r="234" spans="1:8" ht="14">
      <c r="A234" s="25" t="s">
        <v>700</v>
      </c>
      <c r="B234" s="26" t="s">
        <v>56</v>
      </c>
      <c r="C234" s="25" t="str">
        <f t="shared" si="3"/>
        <v>dsbu</v>
      </c>
      <c r="D234" s="27" t="s">
        <v>13</v>
      </c>
      <c r="E234" s="25" t="s">
        <v>701</v>
      </c>
      <c r="F234" s="25" t="s">
        <v>702</v>
      </c>
      <c r="G234" s="25">
        <v>500</v>
      </c>
      <c r="H234" s="25"/>
    </row>
    <row r="235" spans="1:8" ht="14">
      <c r="A235" s="25" t="s">
        <v>703</v>
      </c>
      <c r="B235" s="26" t="s">
        <v>56</v>
      </c>
      <c r="C235" s="25" t="str">
        <f t="shared" si="3"/>
        <v>dsso</v>
      </c>
      <c r="D235" s="27" t="s">
        <v>13</v>
      </c>
      <c r="E235" s="25" t="s">
        <v>704</v>
      </c>
      <c r="F235" s="25" t="s">
        <v>705</v>
      </c>
      <c r="G235" s="25">
        <v>500</v>
      </c>
      <c r="H235" s="25"/>
    </row>
    <row r="236" spans="1:8" ht="14">
      <c r="A236" s="25" t="s">
        <v>706</v>
      </c>
      <c r="B236" s="26" t="s">
        <v>58</v>
      </c>
      <c r="C236" s="25" t="str">
        <f t="shared" si="3"/>
        <v>amas</v>
      </c>
      <c r="D236" s="27" t="s">
        <v>13</v>
      </c>
      <c r="E236" s="25" t="s">
        <v>707</v>
      </c>
      <c r="F236" s="25" t="s">
        <v>708</v>
      </c>
      <c r="G236" s="25">
        <v>500</v>
      </c>
      <c r="H236" s="25"/>
    </row>
    <row r="237" spans="1:8" ht="14">
      <c r="A237" s="25" t="s">
        <v>709</v>
      </c>
      <c r="B237" s="26" t="s">
        <v>58</v>
      </c>
      <c r="C237" s="25" t="str">
        <f t="shared" si="3"/>
        <v>bm_peg_3</v>
      </c>
      <c r="D237" s="27" t="s">
        <v>13</v>
      </c>
      <c r="E237" s="25" t="s">
        <v>710</v>
      </c>
      <c r="F237" s="25" t="s">
        <v>711</v>
      </c>
      <c r="G237" s="25">
        <v>500</v>
      </c>
      <c r="H237" s="25"/>
    </row>
    <row r="238" spans="1:8" ht="14">
      <c r="A238" s="25" t="s">
        <v>712</v>
      </c>
      <c r="B238" s="26" t="s">
        <v>58</v>
      </c>
      <c r="C238" s="25" t="str">
        <f t="shared" si="3"/>
        <v>bmb</v>
      </c>
      <c r="D238" s="27" t="s">
        <v>13</v>
      </c>
      <c r="E238" s="25" t="s">
        <v>713</v>
      </c>
      <c r="F238" s="25" t="s">
        <v>714</v>
      </c>
      <c r="G238" s="25">
        <v>500</v>
      </c>
      <c r="H238" s="25"/>
    </row>
    <row r="239" spans="1:8" ht="14">
      <c r="A239" s="25" t="s">
        <v>715</v>
      </c>
      <c r="B239" s="26" t="s">
        <v>58</v>
      </c>
      <c r="C239" s="25" t="str">
        <f t="shared" si="3"/>
        <v>bmh</v>
      </c>
      <c r="D239" s="27" t="s">
        <v>13</v>
      </c>
      <c r="E239" s="25" t="s">
        <v>716</v>
      </c>
      <c r="F239" s="25" t="s">
        <v>717</v>
      </c>
      <c r="G239" s="25">
        <v>500</v>
      </c>
      <c r="H239" s="25"/>
    </row>
    <row r="240" spans="1:8" ht="14">
      <c r="A240" s="25" t="s">
        <v>718</v>
      </c>
      <c r="B240" s="26" t="s">
        <v>58</v>
      </c>
      <c r="C240" s="25" t="str">
        <f t="shared" si="3"/>
        <v>bmoe</v>
      </c>
      <c r="D240" s="27" t="s">
        <v>13</v>
      </c>
      <c r="E240" s="25" t="s">
        <v>719</v>
      </c>
      <c r="F240" s="25" t="s">
        <v>720</v>
      </c>
      <c r="G240" s="25">
        <v>500</v>
      </c>
      <c r="H240" s="25"/>
    </row>
    <row r="241" spans="1:8" ht="14">
      <c r="A241" s="25" t="s">
        <v>721</v>
      </c>
      <c r="B241" s="26" t="s">
        <v>58</v>
      </c>
      <c r="C241" s="25" t="str">
        <f t="shared" si="3"/>
        <v>bmph</v>
      </c>
      <c r="D241" s="27" t="s">
        <v>13</v>
      </c>
      <c r="E241" s="25" t="s">
        <v>722</v>
      </c>
      <c r="F241" s="25" t="s">
        <v>723</v>
      </c>
      <c r="G241" s="25">
        <v>500</v>
      </c>
      <c r="H241" s="25"/>
    </row>
    <row r="242" spans="1:8" ht="14">
      <c r="A242" s="25" t="s">
        <v>724</v>
      </c>
      <c r="B242" s="26" t="s">
        <v>58</v>
      </c>
      <c r="C242" s="25" t="str">
        <f t="shared" si="3"/>
        <v>bmps</v>
      </c>
      <c r="D242" s="27" t="s">
        <v>13</v>
      </c>
      <c r="E242" s="25" t="s">
        <v>725</v>
      </c>
      <c r="F242" s="25" t="s">
        <v>726</v>
      </c>
      <c r="G242" s="25">
        <v>500</v>
      </c>
      <c r="H242" s="25"/>
    </row>
    <row r="243" spans="1:8" ht="14">
      <c r="A243" s="25" t="s">
        <v>727</v>
      </c>
      <c r="B243" s="26" t="s">
        <v>58</v>
      </c>
      <c r="C243" s="25" t="str">
        <f t="shared" si="3"/>
        <v>bs_peg_5</v>
      </c>
      <c r="D243" s="27" t="s">
        <v>13</v>
      </c>
      <c r="E243" s="25" t="s">
        <v>728</v>
      </c>
      <c r="F243" s="25" t="s">
        <v>729</v>
      </c>
      <c r="G243" s="25">
        <v>500</v>
      </c>
      <c r="H243" s="25"/>
    </row>
    <row r="244" spans="1:8" ht="14">
      <c r="A244" s="25" t="s">
        <v>730</v>
      </c>
      <c r="B244" s="26" t="s">
        <v>58</v>
      </c>
      <c r="C244" s="25" t="str">
        <f t="shared" si="3"/>
        <v>bs_peg_9</v>
      </c>
      <c r="D244" s="27" t="s">
        <v>13</v>
      </c>
      <c r="E244" s="25" t="s">
        <v>731</v>
      </c>
      <c r="F244" s="25" t="s">
        <v>732</v>
      </c>
      <c r="G244" s="25">
        <v>500</v>
      </c>
      <c r="H244" s="25"/>
    </row>
    <row r="245" spans="1:8" ht="14">
      <c r="A245" s="25" t="s">
        <v>733</v>
      </c>
      <c r="B245" s="26" t="s">
        <v>58</v>
      </c>
      <c r="C245" s="25" t="str">
        <f t="shared" si="3"/>
        <v>bs2g_d0</v>
      </c>
      <c r="D245" s="27" t="s">
        <v>13</v>
      </c>
      <c r="E245" s="25" t="s">
        <v>734</v>
      </c>
      <c r="F245" s="25" t="s">
        <v>735</v>
      </c>
      <c r="G245" s="25">
        <v>500</v>
      </c>
      <c r="H245" s="25"/>
    </row>
    <row r="246" spans="1:8" ht="14">
      <c r="A246" s="25" t="s">
        <v>736</v>
      </c>
      <c r="B246" s="26" t="s">
        <v>58</v>
      </c>
      <c r="C246" s="25" t="str">
        <f t="shared" si="3"/>
        <v>bs3</v>
      </c>
      <c r="D246" s="27" t="s">
        <v>13</v>
      </c>
      <c r="E246" s="25" t="s">
        <v>737</v>
      </c>
      <c r="F246" s="25" t="s">
        <v>738</v>
      </c>
      <c r="G246" s="25">
        <v>500</v>
      </c>
      <c r="H246" s="25"/>
    </row>
    <row r="247" spans="1:8" ht="10.5" customHeight="1">
      <c r="A247" s="25" t="s">
        <v>739</v>
      </c>
      <c r="B247" s="26" t="s">
        <v>58</v>
      </c>
      <c r="C247" s="25" t="str">
        <f t="shared" si="3"/>
        <v>bs3_d0</v>
      </c>
      <c r="D247" s="27" t="s">
        <v>13</v>
      </c>
      <c r="E247" s="25" t="s">
        <v>740</v>
      </c>
      <c r="F247" s="25" t="s">
        <v>741</v>
      </c>
      <c r="G247" s="25">
        <v>500</v>
      </c>
      <c r="H247" s="25"/>
    </row>
    <row r="248" spans="1:8" ht="14">
      <c r="A248" s="25" t="s">
        <v>742</v>
      </c>
      <c r="B248" s="26" t="s">
        <v>58</v>
      </c>
      <c r="C248" s="25" t="str">
        <f t="shared" si="3"/>
        <v>bs3_d4</v>
      </c>
      <c r="D248" s="27" t="s">
        <v>13</v>
      </c>
      <c r="E248" s="25" t="s">
        <v>743</v>
      </c>
      <c r="F248" s="25" t="s">
        <v>741</v>
      </c>
      <c r="G248" s="25">
        <v>500</v>
      </c>
      <c r="H248" s="25"/>
    </row>
    <row r="249" spans="1:8" ht="14">
      <c r="A249" s="25" t="s">
        <v>744</v>
      </c>
      <c r="B249" s="26" t="s">
        <v>58</v>
      </c>
      <c r="C249" s="25" t="str">
        <f t="shared" si="3"/>
        <v>dmp</v>
      </c>
      <c r="D249" s="27" t="s">
        <v>13</v>
      </c>
      <c r="E249" s="25" t="s">
        <v>745</v>
      </c>
      <c r="F249" s="25" t="s">
        <v>746</v>
      </c>
      <c r="G249" s="25">
        <v>500</v>
      </c>
      <c r="H249" s="25"/>
    </row>
    <row r="250" spans="1:8" ht="14">
      <c r="A250" s="25" t="s">
        <v>747</v>
      </c>
      <c r="B250" s="26" t="s">
        <v>58</v>
      </c>
      <c r="C250" s="25" t="str">
        <f t="shared" si="3"/>
        <v>dms</v>
      </c>
      <c r="D250" s="27" t="s">
        <v>13</v>
      </c>
      <c r="E250" s="25" t="s">
        <v>748</v>
      </c>
      <c r="F250" s="25" t="s">
        <v>749</v>
      </c>
      <c r="G250" s="25">
        <v>500</v>
      </c>
      <c r="H250" s="25"/>
    </row>
    <row r="251" spans="1:8" ht="14">
      <c r="A251" s="25" t="s">
        <v>750</v>
      </c>
      <c r="B251" s="26" t="s">
        <v>58</v>
      </c>
      <c r="C251" s="25" t="str">
        <f t="shared" si="3"/>
        <v>dss</v>
      </c>
      <c r="D251" s="27" t="s">
        <v>13</v>
      </c>
      <c r="E251" s="25" t="s">
        <v>751</v>
      </c>
      <c r="F251" s="25" t="s">
        <v>752</v>
      </c>
      <c r="G251" s="25">
        <v>500</v>
      </c>
      <c r="H251" s="25"/>
    </row>
    <row r="252" spans="1:8" ht="14">
      <c r="A252" s="25" t="s">
        <v>753</v>
      </c>
      <c r="B252" s="26" t="s">
        <v>58</v>
      </c>
      <c r="C252" s="25" t="str">
        <f t="shared" si="3"/>
        <v>edc</v>
      </c>
      <c r="D252" s="27" t="s">
        <v>13</v>
      </c>
      <c r="E252" s="25" t="s">
        <v>754</v>
      </c>
      <c r="F252" s="25" t="s">
        <v>755</v>
      </c>
      <c r="G252" s="25">
        <v>500</v>
      </c>
      <c r="H252" s="25"/>
    </row>
    <row r="253" spans="1:8" ht="14">
      <c r="A253" s="25" t="s">
        <v>756</v>
      </c>
      <c r="B253" s="26" t="s">
        <v>58</v>
      </c>
      <c r="C253" s="25" t="str">
        <f t="shared" si="3"/>
        <v>emch</v>
      </c>
      <c r="D253" s="27" t="s">
        <v>13</v>
      </c>
      <c r="E253" s="25" t="s">
        <v>757</v>
      </c>
      <c r="F253" s="25" t="s">
        <v>758</v>
      </c>
      <c r="G253" s="25">
        <v>500</v>
      </c>
      <c r="H253" s="25"/>
    </row>
    <row r="254" spans="1:8" ht="14">
      <c r="A254" s="25" t="s">
        <v>759</v>
      </c>
      <c r="B254" s="26" t="s">
        <v>58</v>
      </c>
      <c r="C254" s="25" t="str">
        <f t="shared" si="3"/>
        <v>emcs</v>
      </c>
      <c r="D254" s="27" t="s">
        <v>13</v>
      </c>
      <c r="E254" s="25" t="s">
        <v>760</v>
      </c>
      <c r="F254" s="25" t="s">
        <v>761</v>
      </c>
      <c r="G254" s="25">
        <v>500</v>
      </c>
      <c r="H254" s="25"/>
    </row>
    <row r="255" spans="1:8" ht="14">
      <c r="A255" s="25" t="s">
        <v>762</v>
      </c>
      <c r="B255" s="26" t="s">
        <v>58</v>
      </c>
      <c r="C255" s="25" t="str">
        <f t="shared" ref="C255:C319" si="4">A255</f>
        <v>gmbs</v>
      </c>
      <c r="D255" s="27" t="s">
        <v>13</v>
      </c>
      <c r="E255" s="25" t="s">
        <v>763</v>
      </c>
      <c r="F255" s="25" t="s">
        <v>764</v>
      </c>
      <c r="G255" s="25">
        <v>500</v>
      </c>
      <c r="H255" s="25"/>
    </row>
    <row r="256" spans="1:8" ht="14">
      <c r="A256" s="25" t="s">
        <v>765</v>
      </c>
      <c r="B256" s="26" t="s">
        <v>58</v>
      </c>
      <c r="C256" s="25" t="str">
        <f t="shared" si="4"/>
        <v>kmuh</v>
      </c>
      <c r="D256" s="27" t="s">
        <v>13</v>
      </c>
      <c r="E256" s="25" t="s">
        <v>766</v>
      </c>
      <c r="F256" s="25" t="s">
        <v>767</v>
      </c>
      <c r="G256" s="25">
        <v>500</v>
      </c>
      <c r="H256" s="25"/>
    </row>
    <row r="257" spans="1:8" ht="14">
      <c r="A257" s="25" t="s">
        <v>768</v>
      </c>
      <c r="B257" s="26" t="s">
        <v>58</v>
      </c>
      <c r="C257" s="25" t="str">
        <f t="shared" si="4"/>
        <v>l_photo_methionine</v>
      </c>
      <c r="D257" s="27" t="s">
        <v>13</v>
      </c>
      <c r="E257" s="25" t="s">
        <v>769</v>
      </c>
      <c r="F257" s="25" t="s">
        <v>770</v>
      </c>
      <c r="G257" s="25">
        <v>500</v>
      </c>
      <c r="H257" s="25"/>
    </row>
    <row r="258" spans="1:8" ht="14">
      <c r="A258" s="25" t="s">
        <v>771</v>
      </c>
      <c r="B258" s="26" t="s">
        <v>58</v>
      </c>
      <c r="C258" s="25" t="str">
        <f t="shared" si="4"/>
        <v>lc_smcc</v>
      </c>
      <c r="D258" s="27" t="s">
        <v>13</v>
      </c>
      <c r="E258" s="25" t="s">
        <v>772</v>
      </c>
      <c r="F258" s="25" t="s">
        <v>773</v>
      </c>
      <c r="G258" s="25">
        <v>500</v>
      </c>
      <c r="H258" s="25"/>
    </row>
    <row r="259" spans="1:8" ht="14">
      <c r="A259" s="25" t="s">
        <v>774</v>
      </c>
      <c r="B259" s="26" t="s">
        <v>58</v>
      </c>
      <c r="C259" s="25" t="str">
        <f t="shared" si="4"/>
        <v>maleimide_peg4_dbco</v>
      </c>
      <c r="D259" s="27" t="s">
        <v>13</v>
      </c>
      <c r="E259" s="25" t="s">
        <v>775</v>
      </c>
      <c r="F259" s="25" t="s">
        <v>776</v>
      </c>
      <c r="G259" s="25">
        <v>500</v>
      </c>
      <c r="H259" s="25"/>
    </row>
    <row r="260" spans="1:8" ht="14">
      <c r="A260" s="25" t="s">
        <v>777</v>
      </c>
      <c r="B260" s="26" t="s">
        <v>58</v>
      </c>
      <c r="C260" s="25" t="str">
        <f t="shared" si="4"/>
        <v>mpbh</v>
      </c>
      <c r="D260" s="27" t="s">
        <v>13</v>
      </c>
      <c r="E260" s="25" t="s">
        <v>778</v>
      </c>
      <c r="F260" s="25" t="s">
        <v>779</v>
      </c>
      <c r="G260" s="25">
        <v>500</v>
      </c>
      <c r="H260" s="25"/>
    </row>
    <row r="261" spans="1:8" ht="14">
      <c r="A261" s="25" t="s">
        <v>780</v>
      </c>
      <c r="B261" s="26" t="s">
        <v>58</v>
      </c>
      <c r="C261" s="25" t="str">
        <f t="shared" si="4"/>
        <v>nhs</v>
      </c>
      <c r="D261" s="27" t="s">
        <v>13</v>
      </c>
      <c r="E261" s="25" t="s">
        <v>781</v>
      </c>
      <c r="F261" s="25" t="s">
        <v>782</v>
      </c>
      <c r="G261" s="25">
        <v>500</v>
      </c>
      <c r="H261" s="25"/>
    </row>
    <row r="262" spans="1:8" ht="14">
      <c r="A262" s="25" t="s">
        <v>783</v>
      </c>
      <c r="B262" s="26" t="s">
        <v>58</v>
      </c>
      <c r="C262" s="25" t="str">
        <f t="shared" si="4"/>
        <v>nhs_azide</v>
      </c>
      <c r="D262" s="27" t="s">
        <v>13</v>
      </c>
      <c r="E262" s="25" t="s">
        <v>784</v>
      </c>
      <c r="F262" s="25" t="s">
        <v>785</v>
      </c>
      <c r="G262" s="25">
        <v>500</v>
      </c>
      <c r="H262" s="25"/>
    </row>
    <row r="263" spans="1:8" ht="14">
      <c r="A263" s="25" t="s">
        <v>786</v>
      </c>
      <c r="B263" s="26" t="s">
        <v>58</v>
      </c>
      <c r="C263" s="25" t="str">
        <f t="shared" si="4"/>
        <v>nhs_peg4_azide</v>
      </c>
      <c r="D263" s="27" t="s">
        <v>13</v>
      </c>
      <c r="E263" s="25" t="s">
        <v>787</v>
      </c>
      <c r="F263" s="25" t="s">
        <v>788</v>
      </c>
      <c r="G263" s="25">
        <v>500</v>
      </c>
      <c r="H263" s="25"/>
    </row>
    <row r="264" spans="1:8" ht="14">
      <c r="A264" s="25" t="s">
        <v>789</v>
      </c>
      <c r="B264" s="26" t="s">
        <v>58</v>
      </c>
      <c r="C264" s="25" t="str">
        <f t="shared" si="4"/>
        <v>nhs_phosphine</v>
      </c>
      <c r="D264" s="27" t="s">
        <v>13</v>
      </c>
      <c r="E264" s="25" t="s">
        <v>790</v>
      </c>
      <c r="F264" s="25" t="s">
        <v>791</v>
      </c>
      <c r="G264" s="25">
        <v>500</v>
      </c>
      <c r="H264" s="25"/>
    </row>
    <row r="265" spans="1:8" ht="14">
      <c r="A265" s="25" t="s">
        <v>792</v>
      </c>
      <c r="B265" s="26" t="s">
        <v>58</v>
      </c>
      <c r="C265" s="25" t="str">
        <f t="shared" si="4"/>
        <v>pmpi</v>
      </c>
      <c r="D265" s="27" t="s">
        <v>13</v>
      </c>
      <c r="E265" s="25" t="s">
        <v>793</v>
      </c>
      <c r="F265" s="25" t="s">
        <v>794</v>
      </c>
      <c r="G265" s="25">
        <v>500</v>
      </c>
      <c r="H265" s="25"/>
    </row>
    <row r="266" spans="1:8" ht="14">
      <c r="A266" s="25" t="s">
        <v>795</v>
      </c>
      <c r="B266" s="26" t="s">
        <v>58</v>
      </c>
      <c r="C266" s="25" t="str">
        <f t="shared" si="4"/>
        <v>sbap</v>
      </c>
      <c r="D266" s="27" t="s">
        <v>13</v>
      </c>
      <c r="E266" s="25" t="s">
        <v>796</v>
      </c>
      <c r="F266" s="25" t="s">
        <v>797</v>
      </c>
      <c r="G266" s="25">
        <v>500</v>
      </c>
      <c r="H266" s="25"/>
    </row>
    <row r="267" spans="1:8" ht="14">
      <c r="A267" s="25" t="s">
        <v>798</v>
      </c>
      <c r="B267" s="26" t="s">
        <v>58</v>
      </c>
      <c r="C267" s="25" t="str">
        <f t="shared" si="4"/>
        <v>sda</v>
      </c>
      <c r="D267" s="27" t="s">
        <v>13</v>
      </c>
      <c r="E267" s="25" t="s">
        <v>799</v>
      </c>
      <c r="F267" s="25" t="s">
        <v>800</v>
      </c>
      <c r="G267" s="25">
        <v>500</v>
      </c>
      <c r="H267" s="25"/>
    </row>
    <row r="268" spans="1:8" ht="14">
      <c r="A268" s="25" t="s">
        <v>801</v>
      </c>
      <c r="B268" s="26" t="s">
        <v>58</v>
      </c>
      <c r="C268" s="25" t="str">
        <f t="shared" si="4"/>
        <v>sia</v>
      </c>
      <c r="D268" s="27" t="s">
        <v>13</v>
      </c>
      <c r="E268" s="25" t="s">
        <v>802</v>
      </c>
      <c r="F268" s="25" t="s">
        <v>803</v>
      </c>
      <c r="G268" s="25">
        <v>500</v>
      </c>
      <c r="H268" s="25"/>
    </row>
    <row r="269" spans="1:8" ht="14">
      <c r="A269" s="25" t="s">
        <v>804</v>
      </c>
      <c r="B269" s="26" t="s">
        <v>58</v>
      </c>
      <c r="C269" s="25" t="str">
        <f t="shared" si="4"/>
        <v>smpb</v>
      </c>
      <c r="D269" s="27" t="s">
        <v>13</v>
      </c>
      <c r="E269" s="25" t="s">
        <v>805</v>
      </c>
      <c r="F269" s="25" t="s">
        <v>806</v>
      </c>
      <c r="G269" s="25">
        <v>500</v>
      </c>
      <c r="H269" s="25"/>
    </row>
    <row r="270" spans="1:8" ht="14">
      <c r="A270" s="25" t="s">
        <v>807</v>
      </c>
      <c r="B270" s="26" t="s">
        <v>58</v>
      </c>
      <c r="C270" s="25" t="str">
        <f t="shared" si="4"/>
        <v>smph</v>
      </c>
      <c r="D270" s="27" t="s">
        <v>13</v>
      </c>
      <c r="E270" s="25" t="s">
        <v>808</v>
      </c>
      <c r="F270" s="25" t="s">
        <v>809</v>
      </c>
      <c r="G270" s="25">
        <v>500</v>
      </c>
      <c r="H270" s="25"/>
    </row>
    <row r="271" spans="1:8" ht="14">
      <c r="A271" s="25" t="s">
        <v>810</v>
      </c>
      <c r="B271" s="26" t="s">
        <v>58</v>
      </c>
      <c r="C271" s="25" t="str">
        <f t="shared" si="4"/>
        <v>spb</v>
      </c>
      <c r="D271" s="27" t="s">
        <v>13</v>
      </c>
      <c r="E271" s="25" t="s">
        <v>811</v>
      </c>
      <c r="F271" s="25" t="s">
        <v>812</v>
      </c>
      <c r="G271" s="25">
        <v>500</v>
      </c>
      <c r="H271" s="25"/>
    </row>
    <row r="272" spans="1:8" ht="14">
      <c r="A272" s="25" t="s">
        <v>813</v>
      </c>
      <c r="B272" s="26" t="s">
        <v>58</v>
      </c>
      <c r="C272" s="25" t="str">
        <f t="shared" si="4"/>
        <v>sulfo_emcs</v>
      </c>
      <c r="D272" s="27" t="s">
        <v>13</v>
      </c>
      <c r="E272" s="25" t="s">
        <v>814</v>
      </c>
      <c r="F272" s="25" t="s">
        <v>815</v>
      </c>
      <c r="G272" s="25">
        <v>500</v>
      </c>
      <c r="H272" s="25"/>
    </row>
    <row r="273" spans="1:8" ht="14">
      <c r="A273" s="25" t="s">
        <v>816</v>
      </c>
      <c r="B273" s="26" t="s">
        <v>58</v>
      </c>
      <c r="C273" s="25" t="str">
        <f t="shared" si="4"/>
        <v>sulfo_kmus</v>
      </c>
      <c r="D273" s="27" t="s">
        <v>13</v>
      </c>
      <c r="E273" s="25" t="s">
        <v>817</v>
      </c>
      <c r="F273" s="25" t="s">
        <v>818</v>
      </c>
      <c r="G273" s="25">
        <v>500</v>
      </c>
      <c r="H273" s="25"/>
    </row>
    <row r="274" spans="1:8" ht="14">
      <c r="A274" s="25" t="s">
        <v>819</v>
      </c>
      <c r="B274" s="26" t="s">
        <v>58</v>
      </c>
      <c r="C274" s="25" t="str">
        <f t="shared" si="4"/>
        <v>sulfo_lc_sda</v>
      </c>
      <c r="D274" s="27" t="s">
        <v>13</v>
      </c>
      <c r="E274" s="25" t="s">
        <v>820</v>
      </c>
      <c r="F274" s="25" t="s">
        <v>821</v>
      </c>
      <c r="G274" s="25">
        <v>500</v>
      </c>
      <c r="H274" s="25"/>
    </row>
    <row r="275" spans="1:8" ht="14">
      <c r="A275" s="25" t="s">
        <v>822</v>
      </c>
      <c r="B275" s="26" t="s">
        <v>58</v>
      </c>
      <c r="C275" s="25" t="str">
        <f t="shared" si="4"/>
        <v>sulfo_mbs</v>
      </c>
      <c r="D275" s="27" t="s">
        <v>13</v>
      </c>
      <c r="E275" s="25" t="s">
        <v>823</v>
      </c>
      <c r="F275" s="25" t="s">
        <v>824</v>
      </c>
      <c r="G275" s="25">
        <v>500</v>
      </c>
      <c r="H275" s="25"/>
    </row>
    <row r="276" spans="1:8" ht="14">
      <c r="A276" s="25" t="s">
        <v>825</v>
      </c>
      <c r="B276" s="26" t="s">
        <v>58</v>
      </c>
      <c r="C276" s="25" t="str">
        <f t="shared" si="4"/>
        <v>sulfo_sda</v>
      </c>
      <c r="D276" s="27" t="s">
        <v>13</v>
      </c>
      <c r="E276" s="25" t="s">
        <v>826</v>
      </c>
      <c r="F276" s="25" t="s">
        <v>827</v>
      </c>
      <c r="G276" s="25">
        <v>500</v>
      </c>
      <c r="H276" s="25"/>
    </row>
    <row r="277" spans="1:8" ht="14">
      <c r="A277" s="25" t="s">
        <v>828</v>
      </c>
      <c r="B277" s="26" t="s">
        <v>58</v>
      </c>
      <c r="C277" s="25" t="str">
        <f t="shared" si="4"/>
        <v>sulfo_siab</v>
      </c>
      <c r="D277" s="27" t="s">
        <v>13</v>
      </c>
      <c r="E277" s="25" t="s">
        <v>829</v>
      </c>
      <c r="F277" s="25" t="s">
        <v>830</v>
      </c>
      <c r="G277" s="25">
        <v>500</v>
      </c>
      <c r="H277" s="25"/>
    </row>
    <row r="278" spans="1:8" ht="14">
      <c r="A278" s="25" t="s">
        <v>831</v>
      </c>
      <c r="B278" s="26" t="s">
        <v>58</v>
      </c>
      <c r="C278" s="25" t="str">
        <f t="shared" si="4"/>
        <v>sulfo_smcc</v>
      </c>
      <c r="D278" s="27" t="s">
        <v>13</v>
      </c>
      <c r="E278" s="25" t="s">
        <v>832</v>
      </c>
      <c r="F278" s="25" t="s">
        <v>833</v>
      </c>
      <c r="G278" s="25">
        <v>500</v>
      </c>
      <c r="H278" s="25"/>
    </row>
    <row r="279" spans="1:8" ht="14">
      <c r="A279" s="25" t="s">
        <v>834</v>
      </c>
      <c r="B279" s="26" t="s">
        <v>58</v>
      </c>
      <c r="C279" s="25" t="str">
        <f t="shared" si="4"/>
        <v>sulfo_smpb</v>
      </c>
      <c r="D279" s="27" t="s">
        <v>13</v>
      </c>
      <c r="E279" s="25" t="s">
        <v>835</v>
      </c>
      <c r="F279" s="25" t="s">
        <v>836</v>
      </c>
      <c r="G279" s="25">
        <v>500</v>
      </c>
      <c r="H279" s="25"/>
    </row>
    <row r="280" spans="1:8" ht="14">
      <c r="A280" s="25" t="s">
        <v>837</v>
      </c>
      <c r="B280" s="26" t="s">
        <v>58</v>
      </c>
      <c r="C280" s="25" t="str">
        <f t="shared" si="4"/>
        <v>tbdspp</v>
      </c>
      <c r="D280" s="27" t="s">
        <v>13</v>
      </c>
      <c r="E280" s="25" t="s">
        <v>838</v>
      </c>
      <c r="F280" s="25" t="s">
        <v>839</v>
      </c>
      <c r="G280" s="25">
        <v>500</v>
      </c>
      <c r="H280" s="25"/>
    </row>
    <row r="281" spans="1:8" ht="14">
      <c r="A281" s="25" t="s">
        <v>840</v>
      </c>
      <c r="B281" s="26" t="s">
        <v>58</v>
      </c>
      <c r="C281" s="25" t="str">
        <f t="shared" si="4"/>
        <v>tfpester_peg12_dbco</v>
      </c>
      <c r="D281" s="27" t="s">
        <v>13</v>
      </c>
      <c r="E281" s="25" t="s">
        <v>841</v>
      </c>
      <c r="F281" s="25" t="s">
        <v>842</v>
      </c>
      <c r="G281" s="25">
        <v>500</v>
      </c>
      <c r="H281" s="25"/>
    </row>
    <row r="282" spans="1:8" ht="14">
      <c r="A282" s="25" t="s">
        <v>843</v>
      </c>
      <c r="B282" s="26" t="s">
        <v>58</v>
      </c>
      <c r="C282" s="25" t="str">
        <f t="shared" si="4"/>
        <v>tfpester_peg4_dbco</v>
      </c>
      <c r="D282" s="27" t="s">
        <v>13</v>
      </c>
      <c r="E282" s="25" t="s">
        <v>844</v>
      </c>
      <c r="F282" s="25" t="s">
        <v>845</v>
      </c>
      <c r="G282" s="25">
        <v>500</v>
      </c>
      <c r="H282" s="25"/>
    </row>
    <row r="283" spans="1:8" ht="14">
      <c r="A283" s="25" t="s">
        <v>846</v>
      </c>
      <c r="B283" s="26" t="s">
        <v>58</v>
      </c>
      <c r="C283" s="25" t="str">
        <f t="shared" si="4"/>
        <v>tmea</v>
      </c>
      <c r="D283" s="27" t="s">
        <v>13</v>
      </c>
      <c r="E283" s="25" t="s">
        <v>847</v>
      </c>
      <c r="F283" s="25" t="s">
        <v>848</v>
      </c>
      <c r="G283" s="25">
        <v>500</v>
      </c>
      <c r="H283" s="25"/>
    </row>
    <row r="284" spans="1:8" ht="14">
      <c r="A284" s="25" t="s">
        <v>849</v>
      </c>
      <c r="B284" s="26" t="s">
        <v>58</v>
      </c>
      <c r="C284" s="25" t="str">
        <f t="shared" si="4"/>
        <v>tsat</v>
      </c>
      <c r="D284" s="27" t="s">
        <v>13</v>
      </c>
      <c r="E284" s="25" t="s">
        <v>850</v>
      </c>
      <c r="F284" s="25" t="s">
        <v>851</v>
      </c>
      <c r="G284" s="25">
        <v>500</v>
      </c>
      <c r="H284" s="25"/>
    </row>
    <row r="285" spans="1:8" ht="14">
      <c r="A285" s="25" t="s">
        <v>852</v>
      </c>
      <c r="B285" s="26" t="s">
        <v>60</v>
      </c>
      <c r="C285" s="25" t="str">
        <f t="shared" si="4"/>
        <v>dsp</v>
      </c>
      <c r="D285" s="27" t="s">
        <v>13</v>
      </c>
      <c r="E285" s="25" t="s">
        <v>853</v>
      </c>
      <c r="F285" s="25" t="s">
        <v>854</v>
      </c>
      <c r="G285" s="25">
        <v>500</v>
      </c>
      <c r="H285" s="25"/>
    </row>
    <row r="286" spans="1:8" ht="14">
      <c r="A286" s="25" t="s">
        <v>855</v>
      </c>
      <c r="B286" s="26" t="s">
        <v>60</v>
      </c>
      <c r="C286" s="25" t="str">
        <f t="shared" si="4"/>
        <v>dtbp</v>
      </c>
      <c r="D286" s="27" t="s">
        <v>13</v>
      </c>
      <c r="E286" s="25" t="s">
        <v>856</v>
      </c>
      <c r="F286" s="25" t="s">
        <v>857</v>
      </c>
      <c r="G286" s="25">
        <v>500</v>
      </c>
      <c r="H286" s="25"/>
    </row>
    <row r="287" spans="1:8" ht="14">
      <c r="A287" s="25" t="s">
        <v>858</v>
      </c>
      <c r="B287" s="26" t="s">
        <v>60</v>
      </c>
      <c r="C287" s="25" t="str">
        <f t="shared" si="4"/>
        <v>dtme</v>
      </c>
      <c r="D287" s="27" t="s">
        <v>13</v>
      </c>
      <c r="E287" s="25" t="s">
        <v>859</v>
      </c>
      <c r="F287" s="25" t="s">
        <v>860</v>
      </c>
      <c r="G287" s="25">
        <v>500</v>
      </c>
      <c r="H287" s="25"/>
    </row>
    <row r="288" spans="1:8" ht="14">
      <c r="A288" s="25" t="s">
        <v>861</v>
      </c>
      <c r="B288" s="26" t="s">
        <v>60</v>
      </c>
      <c r="C288" s="25" t="str">
        <f t="shared" si="4"/>
        <v>dtssp</v>
      </c>
      <c r="D288" s="27" t="s">
        <v>13</v>
      </c>
      <c r="E288" s="25" t="s">
        <v>862</v>
      </c>
      <c r="F288" s="25" t="s">
        <v>863</v>
      </c>
      <c r="G288" s="25">
        <v>500</v>
      </c>
      <c r="H288" s="25"/>
    </row>
    <row r="289" spans="1:8" ht="14">
      <c r="A289" s="25" t="s">
        <v>864</v>
      </c>
      <c r="B289" s="26" t="s">
        <v>60</v>
      </c>
      <c r="C289" s="25" t="str">
        <f t="shared" si="4"/>
        <v>lc_spdp</v>
      </c>
      <c r="D289" s="27" t="s">
        <v>13</v>
      </c>
      <c r="E289" s="25" t="s">
        <v>865</v>
      </c>
      <c r="F289" s="25" t="s">
        <v>866</v>
      </c>
      <c r="G289" s="25">
        <v>500</v>
      </c>
      <c r="H289" s="25"/>
    </row>
    <row r="290" spans="1:8" ht="14">
      <c r="A290" s="25" t="s">
        <v>867</v>
      </c>
      <c r="B290" s="26" t="s">
        <v>60</v>
      </c>
      <c r="C290" s="25" t="str">
        <f t="shared" si="4"/>
        <v>pdph</v>
      </c>
      <c r="D290" s="27" t="s">
        <v>13</v>
      </c>
      <c r="E290" s="25" t="s">
        <v>868</v>
      </c>
      <c r="F290" s="25" t="s">
        <v>869</v>
      </c>
      <c r="G290" s="25">
        <v>500</v>
      </c>
      <c r="H290" s="25"/>
    </row>
    <row r="291" spans="1:8" ht="14">
      <c r="A291" s="25" t="s">
        <v>870</v>
      </c>
      <c r="B291" s="26" t="s">
        <v>60</v>
      </c>
      <c r="C291" s="25" t="str">
        <f t="shared" si="4"/>
        <v>peg12_spdp</v>
      </c>
      <c r="D291" s="27" t="s">
        <v>13</v>
      </c>
      <c r="E291" s="25" t="s">
        <v>871</v>
      </c>
      <c r="F291" s="25" t="s">
        <v>872</v>
      </c>
      <c r="G291" s="25">
        <v>500</v>
      </c>
      <c r="H291" s="25"/>
    </row>
    <row r="292" spans="1:8" ht="14">
      <c r="A292" s="25" t="s">
        <v>873</v>
      </c>
      <c r="B292" s="26" t="s">
        <v>60</v>
      </c>
      <c r="C292" s="25" t="str">
        <f t="shared" si="4"/>
        <v>peg4_spdp</v>
      </c>
      <c r="D292" s="27" t="s">
        <v>13</v>
      </c>
      <c r="E292" s="25" t="s">
        <v>874</v>
      </c>
      <c r="F292" s="25" t="s">
        <v>875</v>
      </c>
      <c r="G292" s="25">
        <v>500</v>
      </c>
      <c r="H292" s="25"/>
    </row>
    <row r="293" spans="1:8" ht="14">
      <c r="A293" s="25" t="s">
        <v>876</v>
      </c>
      <c r="B293" s="26" t="s">
        <v>60</v>
      </c>
      <c r="C293" s="25" t="str">
        <f t="shared" si="4"/>
        <v>sdad</v>
      </c>
      <c r="D293" s="27" t="s">
        <v>13</v>
      </c>
      <c r="E293" s="25" t="s">
        <v>877</v>
      </c>
      <c r="F293" s="25" t="s">
        <v>878</v>
      </c>
      <c r="G293" s="25">
        <v>500</v>
      </c>
      <c r="H293" s="25"/>
    </row>
    <row r="294" spans="1:8" ht="14">
      <c r="A294" s="25" t="s">
        <v>879</v>
      </c>
      <c r="B294" s="26" t="s">
        <v>60</v>
      </c>
      <c r="C294" s="25" t="str">
        <f t="shared" si="4"/>
        <v>smcc</v>
      </c>
      <c r="D294" s="27" t="s">
        <v>13</v>
      </c>
      <c r="E294" s="25" t="s">
        <v>880</v>
      </c>
      <c r="F294" s="25" t="s">
        <v>881</v>
      </c>
      <c r="G294" s="25">
        <v>500</v>
      </c>
      <c r="H294" s="25"/>
    </row>
    <row r="295" spans="1:8" ht="14">
      <c r="A295" s="25" t="s">
        <v>882</v>
      </c>
      <c r="B295" s="26" t="s">
        <v>60</v>
      </c>
      <c r="C295" s="25" t="str">
        <f t="shared" si="4"/>
        <v>smpt</v>
      </c>
      <c r="D295" s="27" t="s">
        <v>13</v>
      </c>
      <c r="E295" s="25" t="s">
        <v>883</v>
      </c>
      <c r="F295" s="25" t="s">
        <v>884</v>
      </c>
      <c r="G295" s="25">
        <v>500</v>
      </c>
      <c r="H295" s="25"/>
    </row>
    <row r="296" spans="1:8" ht="14">
      <c r="A296" s="25" t="s">
        <v>885</v>
      </c>
      <c r="B296" s="26" t="s">
        <v>60</v>
      </c>
      <c r="C296" s="25" t="str">
        <f t="shared" si="4"/>
        <v>spdp</v>
      </c>
      <c r="D296" s="27" t="s">
        <v>13</v>
      </c>
      <c r="E296" s="25" t="s">
        <v>886</v>
      </c>
      <c r="F296" s="25" t="s">
        <v>887</v>
      </c>
      <c r="G296" s="25">
        <v>500</v>
      </c>
      <c r="H296" s="25"/>
    </row>
    <row r="297" spans="1:8" ht="14">
      <c r="A297" s="25" t="s">
        <v>888</v>
      </c>
      <c r="B297" s="26" t="s">
        <v>60</v>
      </c>
      <c r="C297" s="25" t="str">
        <f t="shared" si="4"/>
        <v>sulfo_lc_spdp</v>
      </c>
      <c r="D297" s="27" t="s">
        <v>13</v>
      </c>
      <c r="E297" s="25" t="s">
        <v>889</v>
      </c>
      <c r="F297" s="25" t="s">
        <v>890</v>
      </c>
      <c r="G297" s="25">
        <v>500</v>
      </c>
      <c r="H297" s="25"/>
    </row>
    <row r="298" spans="1:8" ht="14">
      <c r="A298" s="25" t="s">
        <v>891</v>
      </c>
      <c r="B298" s="26" t="s">
        <v>60</v>
      </c>
      <c r="C298" s="25" t="str">
        <f t="shared" si="4"/>
        <v>sulfo_sanpah</v>
      </c>
      <c r="D298" s="27" t="s">
        <v>13</v>
      </c>
      <c r="E298" s="25" t="s">
        <v>892</v>
      </c>
      <c r="F298" s="25" t="s">
        <v>893</v>
      </c>
      <c r="G298" s="25">
        <v>500</v>
      </c>
      <c r="H298" s="25"/>
    </row>
    <row r="299" spans="1:8" ht="14">
      <c r="A299" s="25" t="s">
        <v>894</v>
      </c>
      <c r="B299" s="26" t="s">
        <v>60</v>
      </c>
      <c r="C299" s="25" t="str">
        <f t="shared" si="4"/>
        <v>sulfo_sdad</v>
      </c>
      <c r="D299" s="27" t="s">
        <v>13</v>
      </c>
      <c r="E299" s="25" t="s">
        <v>895</v>
      </c>
      <c r="F299" s="25" t="s">
        <v>896</v>
      </c>
      <c r="G299" s="25">
        <v>500</v>
      </c>
      <c r="H299" s="25"/>
    </row>
    <row r="300" spans="1:8" ht="14">
      <c r="A300" s="25" t="s">
        <v>897</v>
      </c>
      <c r="B300" s="26" t="s">
        <v>898</v>
      </c>
      <c r="C300" s="25" t="str">
        <f t="shared" si="4"/>
        <v>database_orf_search</v>
      </c>
      <c r="D300" s="27" t="s">
        <v>13</v>
      </c>
      <c r="E300" s="25" t="s">
        <v>899</v>
      </c>
      <c r="F300" s="25" t="s">
        <v>900</v>
      </c>
      <c r="G300" s="25">
        <v>500</v>
      </c>
      <c r="H300" s="25"/>
    </row>
    <row r="301" spans="1:8" ht="14">
      <c r="A301" s="25" t="s">
        <v>901</v>
      </c>
      <c r="B301" s="26" t="s">
        <v>898</v>
      </c>
      <c r="C301" s="25" t="str">
        <f t="shared" si="4"/>
        <v>database_search</v>
      </c>
      <c r="D301" s="27" t="s">
        <v>13</v>
      </c>
      <c r="E301" s="25" t="s">
        <v>902</v>
      </c>
      <c r="F301" s="25" t="s">
        <v>903</v>
      </c>
      <c r="G301" s="25">
        <v>500</v>
      </c>
      <c r="H301" s="25"/>
    </row>
    <row r="302" spans="1:8" ht="14">
      <c r="A302" s="25" t="s">
        <v>904</v>
      </c>
      <c r="B302" s="26" t="s">
        <v>898</v>
      </c>
      <c r="C302" s="25" t="str">
        <f t="shared" si="4"/>
        <v>de_novo</v>
      </c>
      <c r="D302" s="27" t="s">
        <v>13</v>
      </c>
      <c r="E302" s="25" t="s">
        <v>905</v>
      </c>
      <c r="F302" s="25" t="s">
        <v>905</v>
      </c>
      <c r="G302" s="25">
        <v>500</v>
      </c>
      <c r="H302" s="25"/>
    </row>
    <row r="303" spans="1:8" ht="14">
      <c r="A303" s="25" t="s">
        <v>906</v>
      </c>
      <c r="B303" s="26" t="s">
        <v>4508</v>
      </c>
      <c r="C303" s="25" t="str">
        <f t="shared" si="4"/>
        <v>chaps</v>
      </c>
      <c r="D303" s="27" t="s">
        <v>13</v>
      </c>
      <c r="E303" s="25" t="s">
        <v>907</v>
      </c>
      <c r="F303" s="25" t="s">
        <v>908</v>
      </c>
      <c r="G303" s="25">
        <v>500</v>
      </c>
      <c r="H303" s="25"/>
    </row>
    <row r="304" spans="1:8" ht="14">
      <c r="A304" s="25" t="s">
        <v>909</v>
      </c>
      <c r="B304" s="26" t="s">
        <v>4508</v>
      </c>
      <c r="C304" s="25" t="str">
        <f t="shared" si="4"/>
        <v>dmm</v>
      </c>
      <c r="D304" s="27" t="s">
        <v>13</v>
      </c>
      <c r="E304" s="25" t="s">
        <v>910</v>
      </c>
      <c r="F304" s="25" t="s">
        <v>911</v>
      </c>
      <c r="G304" s="25">
        <v>500</v>
      </c>
      <c r="H304" s="25"/>
    </row>
    <row r="305" spans="1:8" ht="14">
      <c r="A305" s="25" t="s">
        <v>912</v>
      </c>
      <c r="B305" s="26" t="s">
        <v>4508</v>
      </c>
      <c r="C305" s="25" t="str">
        <f t="shared" si="4"/>
        <v>np40</v>
      </c>
      <c r="D305" s="27" t="s">
        <v>13</v>
      </c>
      <c r="E305" s="25" t="s">
        <v>913</v>
      </c>
      <c r="F305" s="25" t="s">
        <v>914</v>
      </c>
      <c r="G305" s="25">
        <v>500</v>
      </c>
      <c r="H305" s="25"/>
    </row>
    <row r="306" spans="1:8" ht="14">
      <c r="A306" s="25" t="s">
        <v>915</v>
      </c>
      <c r="B306" s="26" t="s">
        <v>4508</v>
      </c>
      <c r="C306" s="25" t="str">
        <f t="shared" si="4"/>
        <v>og</v>
      </c>
      <c r="D306" s="27" t="s">
        <v>13</v>
      </c>
      <c r="E306" s="25" t="s">
        <v>916</v>
      </c>
      <c r="F306" s="25" t="s">
        <v>917</v>
      </c>
      <c r="G306" s="25">
        <v>500</v>
      </c>
      <c r="H306" s="25"/>
    </row>
    <row r="307" spans="1:8" ht="14">
      <c r="A307" s="25" t="s">
        <v>918</v>
      </c>
      <c r="B307" s="26" t="s">
        <v>4508</v>
      </c>
      <c r="C307" s="25" t="str">
        <f t="shared" si="4"/>
        <v>otg</v>
      </c>
      <c r="D307" s="27" t="s">
        <v>13</v>
      </c>
      <c r="E307" s="25" t="s">
        <v>919</v>
      </c>
      <c r="F307" s="25" t="s">
        <v>920</v>
      </c>
      <c r="G307" s="25">
        <v>500</v>
      </c>
      <c r="H307" s="25"/>
    </row>
    <row r="308" spans="1:8" ht="14">
      <c r="A308" s="25" t="s">
        <v>921</v>
      </c>
      <c r="B308" s="26" t="s">
        <v>4508</v>
      </c>
      <c r="C308" s="25" t="str">
        <f t="shared" si="4"/>
        <v>sds</v>
      </c>
      <c r="D308" s="27" t="s">
        <v>13</v>
      </c>
      <c r="E308" s="25" t="s">
        <v>922</v>
      </c>
      <c r="F308" s="25" t="s">
        <v>923</v>
      </c>
      <c r="G308" s="25">
        <v>500</v>
      </c>
      <c r="H308" s="25"/>
    </row>
    <row r="309" spans="1:8" ht="14">
      <c r="A309" s="25" t="s">
        <v>924</v>
      </c>
      <c r="B309" s="26" t="s">
        <v>4508</v>
      </c>
      <c r="C309" s="25" t="str">
        <f t="shared" si="4"/>
        <v>tritonx100</v>
      </c>
      <c r="D309" s="27" t="s">
        <v>13</v>
      </c>
      <c r="E309" s="25" t="s">
        <v>925</v>
      </c>
      <c r="F309" s="25" t="s">
        <v>926</v>
      </c>
      <c r="G309" s="25">
        <v>500</v>
      </c>
      <c r="H309" s="25"/>
    </row>
    <row r="310" spans="1:8" ht="14">
      <c r="A310" s="25" t="s">
        <v>927</v>
      </c>
      <c r="B310" s="26" t="s">
        <v>4508</v>
      </c>
      <c r="C310" s="25" t="str">
        <f t="shared" si="4"/>
        <v>tween20</v>
      </c>
      <c r="D310" s="27" t="s">
        <v>13</v>
      </c>
      <c r="E310" s="25" t="s">
        <v>928</v>
      </c>
      <c r="F310" s="25" t="s">
        <v>929</v>
      </c>
      <c r="G310" s="25">
        <v>500</v>
      </c>
      <c r="H310" s="25"/>
    </row>
    <row r="311" spans="1:8" ht="14">
      <c r="A311" s="25" t="s">
        <v>930</v>
      </c>
      <c r="B311" s="26" t="s">
        <v>4508</v>
      </c>
      <c r="C311" s="25" t="str">
        <f t="shared" si="4"/>
        <v>tween80</v>
      </c>
      <c r="D311" s="27" t="s">
        <v>13</v>
      </c>
      <c r="E311" s="25" t="s">
        <v>931</v>
      </c>
      <c r="F311" s="25" t="s">
        <v>932</v>
      </c>
      <c r="G311" s="25">
        <v>500</v>
      </c>
      <c r="H311" s="25"/>
    </row>
    <row r="312" spans="1:8" ht="18">
      <c r="A312" s="25" t="s">
        <v>1245</v>
      </c>
      <c r="B312" s="26" t="s">
        <v>4508</v>
      </c>
      <c r="C312" s="25" t="str">
        <f t="shared" si="4"/>
        <v>urea</v>
      </c>
      <c r="D312" s="27" t="s">
        <v>13</v>
      </c>
      <c r="E312" s="25" t="s">
        <v>4509</v>
      </c>
      <c r="F312" s="47" t="s">
        <v>4510</v>
      </c>
      <c r="G312" s="25">
        <v>500</v>
      </c>
      <c r="H312" s="25"/>
    </row>
    <row r="313" spans="1:8" ht="14">
      <c r="A313" s="25">
        <v>1200</v>
      </c>
      <c r="B313" s="26" t="s">
        <v>67</v>
      </c>
      <c r="C313" s="25">
        <f t="shared" si="4"/>
        <v>1200</v>
      </c>
      <c r="D313" s="27" t="s">
        <v>13</v>
      </c>
      <c r="E313" s="25">
        <v>1200</v>
      </c>
      <c r="F313" s="27" t="s">
        <v>13</v>
      </c>
      <c r="G313" s="25">
        <v>500</v>
      </c>
      <c r="H313" s="25"/>
    </row>
    <row r="314" spans="1:8" ht="14">
      <c r="A314" s="25">
        <v>800</v>
      </c>
      <c r="B314" s="26" t="s">
        <v>67</v>
      </c>
      <c r="C314" s="25">
        <f t="shared" si="4"/>
        <v>800</v>
      </c>
      <c r="D314" s="27" t="s">
        <v>13</v>
      </c>
      <c r="E314" s="25">
        <v>800</v>
      </c>
      <c r="F314" s="27" t="s">
        <v>13</v>
      </c>
      <c r="G314" s="25">
        <v>500</v>
      </c>
      <c r="H314" s="25"/>
    </row>
    <row r="315" spans="1:8" ht="14">
      <c r="A315" s="25">
        <v>400</v>
      </c>
      <c r="B315" s="26" t="s">
        <v>69</v>
      </c>
      <c r="C315" s="25">
        <f t="shared" si="4"/>
        <v>400</v>
      </c>
      <c r="D315" s="27" t="s">
        <v>13</v>
      </c>
      <c r="E315" s="25">
        <v>400</v>
      </c>
      <c r="F315" s="27" t="s">
        <v>13</v>
      </c>
      <c r="G315" s="25">
        <v>500</v>
      </c>
      <c r="H315" s="25"/>
    </row>
    <row r="316" spans="1:8" ht="14">
      <c r="A316" s="25">
        <v>30</v>
      </c>
      <c r="B316" s="26" t="s">
        <v>68</v>
      </c>
      <c r="C316" s="25">
        <f t="shared" si="4"/>
        <v>30</v>
      </c>
      <c r="D316" s="27" t="s">
        <v>13</v>
      </c>
      <c r="E316" s="25">
        <v>30</v>
      </c>
      <c r="F316" s="25" t="s">
        <v>933</v>
      </c>
      <c r="G316" s="25">
        <v>500</v>
      </c>
      <c r="H316" s="25"/>
    </row>
    <row r="317" spans="1:8" ht="14">
      <c r="A317" s="25">
        <v>34</v>
      </c>
      <c r="B317" s="26" t="s">
        <v>68</v>
      </c>
      <c r="C317" s="25">
        <f t="shared" si="4"/>
        <v>34</v>
      </c>
      <c r="D317" s="27" t="s">
        <v>13</v>
      </c>
      <c r="E317" s="25">
        <v>30</v>
      </c>
      <c r="F317" s="25" t="s">
        <v>3051</v>
      </c>
      <c r="G317" s="25">
        <v>500</v>
      </c>
      <c r="H317" s="25"/>
    </row>
    <row r="318" spans="1:8" ht="14">
      <c r="A318" s="25">
        <v>40</v>
      </c>
      <c r="B318" s="26" t="s">
        <v>68</v>
      </c>
      <c r="C318" s="25">
        <f t="shared" si="4"/>
        <v>40</v>
      </c>
      <c r="D318" s="27" t="s">
        <v>13</v>
      </c>
      <c r="E318" s="25">
        <v>40</v>
      </c>
      <c r="F318" s="25" t="s">
        <v>934</v>
      </c>
      <c r="G318" s="25">
        <v>500</v>
      </c>
      <c r="H318" s="25"/>
    </row>
    <row r="319" spans="1:8" ht="14">
      <c r="A319" s="25" t="s">
        <v>935</v>
      </c>
      <c r="B319" s="26" t="s">
        <v>23</v>
      </c>
      <c r="C319" s="25" t="str">
        <f t="shared" si="4"/>
        <v>fasp</v>
      </c>
      <c r="D319" s="27" t="s">
        <v>13</v>
      </c>
      <c r="E319" s="25" t="s">
        <v>936</v>
      </c>
      <c r="F319" s="25" t="s">
        <v>937</v>
      </c>
      <c r="G319" s="25">
        <v>500</v>
      </c>
      <c r="H319" s="25"/>
    </row>
    <row r="320" spans="1:8" ht="14">
      <c r="A320" s="25" t="s">
        <v>938</v>
      </c>
      <c r="B320" s="26" t="s">
        <v>23</v>
      </c>
      <c r="C320" s="25" t="str">
        <f t="shared" ref="C320:C374" si="5">A320</f>
        <v>ingel</v>
      </c>
      <c r="D320" s="27" t="s">
        <v>13</v>
      </c>
      <c r="E320" s="25" t="s">
        <v>939</v>
      </c>
      <c r="F320" s="25" t="s">
        <v>940</v>
      </c>
      <c r="G320" s="25">
        <v>500</v>
      </c>
      <c r="H320" s="25"/>
    </row>
    <row r="321" spans="1:8" ht="14">
      <c r="A321" s="25" t="s">
        <v>941</v>
      </c>
      <c r="B321" s="26" t="s">
        <v>23</v>
      </c>
      <c r="C321" s="25" t="str">
        <f t="shared" si="5"/>
        <v>insol</v>
      </c>
      <c r="D321" s="27" t="s">
        <v>13</v>
      </c>
      <c r="E321" s="25" t="s">
        <v>942</v>
      </c>
      <c r="F321" s="25" t="s">
        <v>943</v>
      </c>
      <c r="G321" s="25">
        <v>500</v>
      </c>
      <c r="H321" s="25"/>
    </row>
    <row r="322" spans="1:8" ht="14">
      <c r="A322" s="25" t="s">
        <v>944</v>
      </c>
      <c r="B322" s="26" t="s">
        <v>23</v>
      </c>
      <c r="C322" s="25" t="str">
        <f t="shared" si="5"/>
        <v>sp3</v>
      </c>
      <c r="D322" s="27" t="s">
        <v>13</v>
      </c>
      <c r="E322" s="25" t="s">
        <v>945</v>
      </c>
      <c r="F322" s="25" t="s">
        <v>946</v>
      </c>
      <c r="G322" s="25">
        <v>500</v>
      </c>
      <c r="H322" s="25"/>
    </row>
    <row r="323" spans="1:8" ht="14">
      <c r="A323" s="25" t="s">
        <v>947</v>
      </c>
      <c r="B323" s="26" t="s">
        <v>71</v>
      </c>
      <c r="C323" s="25" t="str">
        <f t="shared" si="5"/>
        <v>384well_plate</v>
      </c>
      <c r="D323" s="27" t="s">
        <v>13</v>
      </c>
      <c r="E323" s="25" t="s">
        <v>948</v>
      </c>
      <c r="F323" s="25" t="s">
        <v>948</v>
      </c>
      <c r="G323" s="25">
        <v>500</v>
      </c>
      <c r="H323" s="25"/>
    </row>
    <row r="324" spans="1:8" ht="14">
      <c r="A324" s="25" t="s">
        <v>949</v>
      </c>
      <c r="B324" s="26" t="s">
        <v>71</v>
      </c>
      <c r="C324" s="25" t="str">
        <f t="shared" si="5"/>
        <v>96well_plate</v>
      </c>
      <c r="D324" s="27" t="s">
        <v>13</v>
      </c>
      <c r="E324" s="25" t="s">
        <v>950</v>
      </c>
      <c r="F324" s="25" t="s">
        <v>951</v>
      </c>
      <c r="G324" s="25">
        <v>500</v>
      </c>
      <c r="H324" s="25"/>
    </row>
    <row r="325" spans="1:8" ht="14">
      <c r="A325" s="25" t="s">
        <v>952</v>
      </c>
      <c r="B325" s="26" t="s">
        <v>71</v>
      </c>
      <c r="C325" s="25" t="str">
        <f t="shared" si="5"/>
        <v>onefive_ml_tube</v>
      </c>
      <c r="D325" s="27" t="s">
        <v>13</v>
      </c>
      <c r="E325" s="25" t="s">
        <v>953</v>
      </c>
      <c r="F325" s="25" t="s">
        <v>954</v>
      </c>
      <c r="G325" s="25">
        <v>500</v>
      </c>
      <c r="H325" s="25"/>
    </row>
    <row r="326" spans="1:8" ht="14">
      <c r="A326" s="25" t="s">
        <v>955</v>
      </c>
      <c r="B326" s="26" t="s">
        <v>71</v>
      </c>
      <c r="C326" s="25" t="str">
        <f t="shared" si="5"/>
        <v>pcrstripe</v>
      </c>
      <c r="D326" s="27" t="s">
        <v>13</v>
      </c>
      <c r="E326" s="25" t="s">
        <v>956</v>
      </c>
      <c r="F326" s="25" t="s">
        <v>956</v>
      </c>
      <c r="G326" s="25">
        <v>500</v>
      </c>
      <c r="H326" s="25"/>
    </row>
    <row r="327" spans="1:8" ht="14">
      <c r="A327" s="25" t="s">
        <v>957</v>
      </c>
      <c r="B327" s="26" t="s">
        <v>71</v>
      </c>
      <c r="C327" s="25" t="str">
        <f t="shared" si="5"/>
        <v>two_ml_tube</v>
      </c>
      <c r="D327" s="27" t="s">
        <v>13</v>
      </c>
      <c r="E327" s="25" t="s">
        <v>958</v>
      </c>
      <c r="F327" s="25" t="s">
        <v>959</v>
      </c>
      <c r="G327" s="25">
        <v>500</v>
      </c>
      <c r="H327" s="25"/>
    </row>
    <row r="328" spans="1:8" ht="14">
      <c r="A328" s="25" t="s">
        <v>960</v>
      </c>
      <c r="B328" s="26" t="s">
        <v>73</v>
      </c>
      <c r="C328" s="25" t="str">
        <f t="shared" si="5"/>
        <v>als</v>
      </c>
      <c r="D328" s="25" t="s">
        <v>960</v>
      </c>
      <c r="E328" s="25" t="s">
        <v>961</v>
      </c>
      <c r="F328" s="25" t="s">
        <v>962</v>
      </c>
      <c r="G328" s="25">
        <v>500</v>
      </c>
      <c r="H328" s="25"/>
    </row>
    <row r="329" spans="1:8" ht="14">
      <c r="A329" s="25" t="s">
        <v>963</v>
      </c>
      <c r="B329" s="26" t="s">
        <v>73</v>
      </c>
      <c r="C329" s="25" t="str">
        <f t="shared" si="5"/>
        <v>alzheimer</v>
      </c>
      <c r="D329" s="25" t="s">
        <v>963</v>
      </c>
      <c r="E329" s="25" t="s">
        <v>964</v>
      </c>
      <c r="F329" s="25" t="s">
        <v>965</v>
      </c>
      <c r="G329" s="25">
        <v>500</v>
      </c>
      <c r="H329" s="25"/>
    </row>
    <row r="330" spans="1:8" ht="14">
      <c r="A330" s="25" t="s">
        <v>966</v>
      </c>
      <c r="B330" s="26" t="s">
        <v>73</v>
      </c>
      <c r="C330" s="25" t="str">
        <f t="shared" si="5"/>
        <v>autoimmune</v>
      </c>
      <c r="D330" s="25" t="s">
        <v>966</v>
      </c>
      <c r="E330" s="25" t="s">
        <v>967</v>
      </c>
      <c r="F330" s="25" t="s">
        <v>968</v>
      </c>
      <c r="G330" s="25">
        <v>500</v>
      </c>
      <c r="H330" s="25"/>
    </row>
    <row r="331" spans="1:8" ht="14">
      <c r="A331" s="25" t="s">
        <v>969</v>
      </c>
      <c r="B331" s="26" t="s">
        <v>73</v>
      </c>
      <c r="C331" s="25" t="str">
        <f t="shared" si="5"/>
        <v>cancer</v>
      </c>
      <c r="D331" s="25" t="s">
        <v>969</v>
      </c>
      <c r="E331" s="25" t="s">
        <v>970</v>
      </c>
      <c r="F331" s="25" t="s">
        <v>971</v>
      </c>
      <c r="G331" s="25">
        <v>500</v>
      </c>
      <c r="H331" s="25"/>
    </row>
    <row r="332" spans="1:8" ht="14">
      <c r="A332" s="25" t="s">
        <v>972</v>
      </c>
      <c r="B332" s="26" t="s">
        <v>73</v>
      </c>
      <c r="C332" s="25" t="str">
        <f t="shared" si="5"/>
        <v>cardiovascular_diseases</v>
      </c>
      <c r="D332" s="25" t="s">
        <v>973</v>
      </c>
      <c r="E332" s="25" t="s">
        <v>974</v>
      </c>
      <c r="F332" s="25" t="s">
        <v>975</v>
      </c>
      <c r="G332" s="25">
        <v>500</v>
      </c>
      <c r="H332" s="25"/>
    </row>
    <row r="333" spans="1:8" ht="14">
      <c r="A333" s="25" t="s">
        <v>976</v>
      </c>
      <c r="B333" s="26" t="s">
        <v>73</v>
      </c>
      <c r="C333" s="25" t="str">
        <f t="shared" si="5"/>
        <v>chronic_inflammation</v>
      </c>
      <c r="D333" s="25" t="s">
        <v>977</v>
      </c>
      <c r="E333" s="25" t="s">
        <v>978</v>
      </c>
      <c r="F333" s="25" t="s">
        <v>979</v>
      </c>
      <c r="G333" s="25">
        <v>500</v>
      </c>
      <c r="H333" s="25"/>
    </row>
    <row r="334" spans="1:8" ht="14">
      <c r="A334" s="25" t="s">
        <v>980</v>
      </c>
      <c r="B334" s="26" t="s">
        <v>73</v>
      </c>
      <c r="C334" s="25" t="str">
        <f t="shared" si="5"/>
        <v>coeliac</v>
      </c>
      <c r="D334" s="25" t="s">
        <v>980</v>
      </c>
      <c r="E334" s="25" t="s">
        <v>981</v>
      </c>
      <c r="F334" s="25" t="s">
        <v>982</v>
      </c>
      <c r="G334" s="25">
        <v>500</v>
      </c>
      <c r="H334" s="25"/>
    </row>
    <row r="335" spans="1:8" ht="14">
      <c r="A335" s="25" t="s">
        <v>983</v>
      </c>
      <c r="B335" s="26" t="s">
        <v>73</v>
      </c>
      <c r="C335" s="25" t="str">
        <f t="shared" si="5"/>
        <v>covid19</v>
      </c>
      <c r="D335" s="25" t="s">
        <v>983</v>
      </c>
      <c r="E335" s="25" t="s">
        <v>984</v>
      </c>
      <c r="F335" s="25" t="s">
        <v>985</v>
      </c>
      <c r="G335" s="25">
        <v>500</v>
      </c>
      <c r="H335" s="25"/>
    </row>
    <row r="336" spans="1:8" ht="14">
      <c r="A336" s="25" t="s">
        <v>986</v>
      </c>
      <c r="B336" s="26" t="s">
        <v>73</v>
      </c>
      <c r="C336" s="25" t="str">
        <f t="shared" si="5"/>
        <v>dementia</v>
      </c>
      <c r="D336" s="25" t="s">
        <v>986</v>
      </c>
      <c r="E336" s="25" t="s">
        <v>987</v>
      </c>
      <c r="F336" s="25" t="s">
        <v>987</v>
      </c>
      <c r="G336" s="25">
        <v>500</v>
      </c>
      <c r="H336" s="25"/>
    </row>
    <row r="337" spans="1:8" ht="14">
      <c r="A337" s="25" t="s">
        <v>988</v>
      </c>
      <c r="B337" s="26" t="s">
        <v>73</v>
      </c>
      <c r="C337" s="25" t="str">
        <f t="shared" si="5"/>
        <v>demyelinating</v>
      </c>
      <c r="D337" s="25" t="s">
        <v>988</v>
      </c>
      <c r="E337" s="25" t="s">
        <v>989</v>
      </c>
      <c r="F337" s="25" t="s">
        <v>990</v>
      </c>
      <c r="G337" s="25">
        <v>500</v>
      </c>
      <c r="H337" s="25"/>
    </row>
    <row r="338" spans="1:8" ht="14">
      <c r="A338" s="25" t="s">
        <v>991</v>
      </c>
      <c r="B338" s="26" t="s">
        <v>73</v>
      </c>
      <c r="C338" s="25" t="str">
        <f t="shared" si="5"/>
        <v>diabetes</v>
      </c>
      <c r="D338" s="25" t="s">
        <v>991</v>
      </c>
      <c r="E338" s="25" t="s">
        <v>992</v>
      </c>
      <c r="F338" s="25" t="s">
        <v>992</v>
      </c>
      <c r="G338" s="25">
        <v>500</v>
      </c>
      <c r="H338" s="25"/>
    </row>
    <row r="339" spans="1:8" ht="14">
      <c r="A339" s="25" t="s">
        <v>993</v>
      </c>
      <c r="B339" s="26" t="s">
        <v>73</v>
      </c>
      <c r="C339" s="25" t="str">
        <f t="shared" si="5"/>
        <v>glioblastoma</v>
      </c>
      <c r="D339" s="25" t="s">
        <v>993</v>
      </c>
      <c r="E339" s="25" t="s">
        <v>994</v>
      </c>
      <c r="F339" s="25" t="s">
        <v>995</v>
      </c>
      <c r="G339" s="25">
        <v>500</v>
      </c>
      <c r="H339" s="25"/>
    </row>
    <row r="340" spans="1:8" ht="14">
      <c r="A340" s="25" t="s">
        <v>996</v>
      </c>
      <c r="B340" s="26" t="s">
        <v>73</v>
      </c>
      <c r="C340" s="25" t="str">
        <f t="shared" si="5"/>
        <v>hiv</v>
      </c>
      <c r="D340" s="25" t="s">
        <v>996</v>
      </c>
      <c r="E340" s="25" t="s">
        <v>997</v>
      </c>
      <c r="F340" s="25" t="s">
        <v>998</v>
      </c>
      <c r="G340" s="25">
        <v>500</v>
      </c>
      <c r="H340" s="25"/>
    </row>
    <row r="341" spans="1:8" ht="14">
      <c r="A341" s="25" t="s">
        <v>999</v>
      </c>
      <c r="B341" s="26" t="s">
        <v>73</v>
      </c>
      <c r="C341" s="25" t="str">
        <f t="shared" si="5"/>
        <v>huntington</v>
      </c>
      <c r="D341" s="25" t="s">
        <v>999</v>
      </c>
      <c r="E341" s="25" t="s">
        <v>1000</v>
      </c>
      <c r="F341" s="25" t="s">
        <v>1001</v>
      </c>
      <c r="G341" s="25">
        <v>500</v>
      </c>
      <c r="H341" s="25"/>
    </row>
    <row r="342" spans="1:8" ht="14">
      <c r="A342" s="25" t="s">
        <v>1002</v>
      </c>
      <c r="B342" s="26" t="s">
        <v>73</v>
      </c>
      <c r="C342" s="25" t="str">
        <f t="shared" si="5"/>
        <v>ibd</v>
      </c>
      <c r="D342" s="25" t="s">
        <v>1002</v>
      </c>
      <c r="E342" s="25" t="s">
        <v>1003</v>
      </c>
      <c r="F342" s="25" t="s">
        <v>1004</v>
      </c>
      <c r="G342" s="25">
        <v>500</v>
      </c>
      <c r="H342" s="25"/>
    </row>
    <row r="343" spans="1:8" ht="14">
      <c r="A343" s="25" t="s">
        <v>1005</v>
      </c>
      <c r="B343" s="26" t="s">
        <v>73</v>
      </c>
      <c r="C343" s="25" t="str">
        <f t="shared" si="5"/>
        <v>infection</v>
      </c>
      <c r="D343" s="25" t="s">
        <v>1005</v>
      </c>
      <c r="E343" s="25" t="s">
        <v>1006</v>
      </c>
      <c r="F343" s="25" t="s">
        <v>1007</v>
      </c>
      <c r="G343" s="25">
        <v>500</v>
      </c>
      <c r="H343" s="25"/>
    </row>
    <row r="344" spans="1:8" ht="14">
      <c r="A344" s="25" t="s">
        <v>1008</v>
      </c>
      <c r="B344" s="26" t="s">
        <v>73</v>
      </c>
      <c r="C344" s="25" t="str">
        <f t="shared" si="5"/>
        <v>influenza</v>
      </c>
      <c r="D344" s="25" t="s">
        <v>1008</v>
      </c>
      <c r="E344" s="25" t="s">
        <v>1009</v>
      </c>
      <c r="F344" s="25" t="s">
        <v>1010</v>
      </c>
      <c r="G344" s="25">
        <v>500</v>
      </c>
      <c r="H344" s="25"/>
    </row>
    <row r="345" spans="1:8" ht="14">
      <c r="A345" s="25" t="s">
        <v>1011</v>
      </c>
      <c r="B345" s="26" t="s">
        <v>73</v>
      </c>
      <c r="C345" s="25" t="str">
        <f t="shared" si="5"/>
        <v>leukemia</v>
      </c>
      <c r="D345" s="25" t="s">
        <v>1011</v>
      </c>
      <c r="E345" s="25" t="s">
        <v>553</v>
      </c>
      <c r="F345" s="25" t="s">
        <v>1012</v>
      </c>
      <c r="G345" s="25">
        <v>500</v>
      </c>
      <c r="H345" s="25"/>
    </row>
    <row r="346" spans="1:8" ht="14">
      <c r="A346" s="25" t="s">
        <v>1013</v>
      </c>
      <c r="B346" s="26" t="s">
        <v>73</v>
      </c>
      <c r="C346" s="25" t="str">
        <f t="shared" si="5"/>
        <v>lymphoma</v>
      </c>
      <c r="D346" s="25" t="s">
        <v>1013</v>
      </c>
      <c r="E346" s="25" t="s">
        <v>1014</v>
      </c>
      <c r="F346" s="25" t="s">
        <v>1015</v>
      </c>
      <c r="G346" s="25">
        <v>500</v>
      </c>
      <c r="H346" s="25"/>
    </row>
    <row r="347" spans="1:8" ht="14">
      <c r="A347" s="25" t="s">
        <v>1016</v>
      </c>
      <c r="B347" s="26" t="s">
        <v>73</v>
      </c>
      <c r="C347" s="25" t="str">
        <f t="shared" si="5"/>
        <v>malaria</v>
      </c>
      <c r="D347" s="25" t="s">
        <v>1016</v>
      </c>
      <c r="E347" s="25" t="s">
        <v>1017</v>
      </c>
      <c r="F347" s="25" t="s">
        <v>1018</v>
      </c>
      <c r="G347" s="25">
        <v>500</v>
      </c>
      <c r="H347" s="25"/>
    </row>
    <row r="348" spans="1:8" ht="14">
      <c r="A348" s="25" t="s">
        <v>21</v>
      </c>
      <c r="B348" s="26" t="s">
        <v>73</v>
      </c>
      <c r="C348" s="25" t="str">
        <f t="shared" si="5"/>
        <v>ms</v>
      </c>
      <c r="D348" s="25" t="s">
        <v>21</v>
      </c>
      <c r="E348" s="25" t="s">
        <v>1019</v>
      </c>
      <c r="F348" s="25" t="s">
        <v>1020</v>
      </c>
      <c r="G348" s="25">
        <v>500</v>
      </c>
      <c r="H348" s="25"/>
    </row>
    <row r="349" spans="1:8" ht="14">
      <c r="A349" s="25" t="s">
        <v>1021</v>
      </c>
      <c r="B349" s="26" t="s">
        <v>73</v>
      </c>
      <c r="C349" s="25" t="str">
        <f t="shared" si="5"/>
        <v>msa</v>
      </c>
      <c r="D349" s="25" t="s">
        <v>1021</v>
      </c>
      <c r="E349" s="25" t="s">
        <v>1022</v>
      </c>
      <c r="F349" s="25" t="s">
        <v>1023</v>
      </c>
      <c r="G349" s="25">
        <v>500</v>
      </c>
      <c r="H349" s="25"/>
    </row>
    <row r="350" spans="1:8" ht="14">
      <c r="A350" s="25" t="s">
        <v>1024</v>
      </c>
      <c r="B350" s="26" t="s">
        <v>73</v>
      </c>
      <c r="C350" s="25" t="str">
        <f t="shared" si="5"/>
        <v>neurodegenerative</v>
      </c>
      <c r="D350" s="25" t="s">
        <v>1024</v>
      </c>
      <c r="E350" s="25" t="s">
        <v>1025</v>
      </c>
      <c r="F350" s="25" t="s">
        <v>1026</v>
      </c>
      <c r="G350" s="25">
        <v>500</v>
      </c>
      <c r="H350" s="25"/>
    </row>
    <row r="351" spans="1:8" ht="14">
      <c r="A351" s="25" t="s">
        <v>1027</v>
      </c>
      <c r="B351" s="26" t="s">
        <v>73</v>
      </c>
      <c r="C351" s="25" t="str">
        <f t="shared" si="5"/>
        <v>parkinson</v>
      </c>
      <c r="D351" s="25" t="s">
        <v>1027</v>
      </c>
      <c r="E351" s="25" t="s">
        <v>1028</v>
      </c>
      <c r="F351" s="25" t="s">
        <v>1029</v>
      </c>
      <c r="G351" s="25">
        <v>500</v>
      </c>
      <c r="H351" s="25"/>
    </row>
    <row r="352" spans="1:8" ht="14">
      <c r="A352" s="25" t="s">
        <v>1030</v>
      </c>
      <c r="B352" s="26" t="s">
        <v>73</v>
      </c>
      <c r="C352" s="25" t="str">
        <f t="shared" si="5"/>
        <v>prion</v>
      </c>
      <c r="D352" s="25" t="s">
        <v>1030</v>
      </c>
      <c r="E352" s="25" t="s">
        <v>1031</v>
      </c>
      <c r="F352" s="25" t="s">
        <v>1032</v>
      </c>
      <c r="G352" s="25">
        <v>500</v>
      </c>
      <c r="H352" s="25"/>
    </row>
    <row r="353" spans="1:8" ht="14">
      <c r="A353" s="25" t="s">
        <v>1033</v>
      </c>
      <c r="B353" s="26" t="s">
        <v>73</v>
      </c>
      <c r="C353" s="25" t="str">
        <f t="shared" si="5"/>
        <v>rheumatoid</v>
      </c>
      <c r="D353" s="25" t="s">
        <v>1033</v>
      </c>
      <c r="E353" s="25" t="s">
        <v>1034</v>
      </c>
      <c r="F353" s="25" t="s">
        <v>1035</v>
      </c>
      <c r="G353" s="25">
        <v>500</v>
      </c>
      <c r="H353" s="25"/>
    </row>
    <row r="354" spans="1:8" ht="14">
      <c r="A354" s="25" t="s">
        <v>1036</v>
      </c>
      <c r="B354" s="26" t="s">
        <v>73</v>
      </c>
      <c r="C354" s="25" t="str">
        <f t="shared" si="5"/>
        <v>stress</v>
      </c>
      <c r="D354" s="25" t="s">
        <v>1036</v>
      </c>
      <c r="E354" s="25" t="s">
        <v>1037</v>
      </c>
      <c r="F354" s="25" t="s">
        <v>1038</v>
      </c>
      <c r="G354" s="25">
        <v>500</v>
      </c>
      <c r="H354" s="25"/>
    </row>
    <row r="355" spans="1:8" ht="14">
      <c r="A355" s="25" t="s">
        <v>1039</v>
      </c>
      <c r="B355" s="26" t="s">
        <v>73</v>
      </c>
      <c r="C355" s="25" t="str">
        <f t="shared" si="5"/>
        <v>stroke</v>
      </c>
      <c r="D355" s="25" t="s">
        <v>1039</v>
      </c>
      <c r="E355" s="25" t="s">
        <v>1040</v>
      </c>
      <c r="F355" s="25" t="s">
        <v>1041</v>
      </c>
      <c r="G355" s="25">
        <v>500</v>
      </c>
      <c r="H355" s="25"/>
    </row>
    <row r="356" spans="1:8" ht="14">
      <c r="A356" s="25" t="s">
        <v>1042</v>
      </c>
      <c r="B356" s="26" t="s">
        <v>73</v>
      </c>
      <c r="C356" s="25" t="str">
        <f t="shared" si="5"/>
        <v>tuberculosis</v>
      </c>
      <c r="D356" s="25" t="s">
        <v>1042</v>
      </c>
      <c r="E356" s="25" t="s">
        <v>1043</v>
      </c>
      <c r="F356" s="25" t="s">
        <v>1044</v>
      </c>
      <c r="G356" s="25">
        <v>500</v>
      </c>
      <c r="H356" s="25"/>
    </row>
    <row r="357" spans="1:8" ht="14">
      <c r="A357" s="25" t="s">
        <v>1045</v>
      </c>
      <c r="B357" s="26" t="s">
        <v>75</v>
      </c>
      <c r="C357" s="25" t="str">
        <f t="shared" si="5"/>
        <v>hypoxia</v>
      </c>
      <c r="D357" s="25" t="s">
        <v>1045</v>
      </c>
      <c r="E357" s="25" t="s">
        <v>1046</v>
      </c>
      <c r="F357" s="25" t="s">
        <v>1047</v>
      </c>
      <c r="G357" s="25">
        <v>500</v>
      </c>
      <c r="H357" s="25"/>
    </row>
    <row r="358" spans="1:8" ht="14">
      <c r="A358" s="25" t="s">
        <v>1048</v>
      </c>
      <c r="B358" s="26" t="s">
        <v>75</v>
      </c>
      <c r="C358" s="25" t="str">
        <f t="shared" si="5"/>
        <v>normoxia</v>
      </c>
      <c r="D358" s="25" t="s">
        <v>1048</v>
      </c>
      <c r="E358" s="25" t="s">
        <v>1049</v>
      </c>
      <c r="F358" s="25" t="s">
        <v>1050</v>
      </c>
      <c r="G358" s="25">
        <v>500</v>
      </c>
      <c r="H358" s="25"/>
    </row>
    <row r="359" spans="1:8" ht="14">
      <c r="A359" s="25" t="s">
        <v>1051</v>
      </c>
      <c r="B359" s="26" t="s">
        <v>77</v>
      </c>
      <c r="C359" s="25" t="str">
        <f t="shared" si="5"/>
        <v>acetylome</v>
      </c>
      <c r="D359" s="25" t="s">
        <v>1051</v>
      </c>
      <c r="E359" s="25" t="s">
        <v>1052</v>
      </c>
      <c r="F359" s="25" t="s">
        <v>1052</v>
      </c>
      <c r="G359" s="25">
        <v>500</v>
      </c>
      <c r="H359" s="25"/>
    </row>
    <row r="360" spans="1:8" ht="14">
      <c r="A360" s="25" t="s">
        <v>1053</v>
      </c>
      <c r="B360" s="26" t="s">
        <v>77</v>
      </c>
      <c r="C360" s="25" t="str">
        <f t="shared" si="5"/>
        <v>dvp</v>
      </c>
      <c r="D360" s="25" t="s">
        <v>1053</v>
      </c>
      <c r="E360" s="25" t="s">
        <v>1054</v>
      </c>
      <c r="F360" s="25" t="s">
        <v>1055</v>
      </c>
      <c r="G360" s="25">
        <v>500</v>
      </c>
      <c r="H360" s="25"/>
    </row>
    <row r="361" spans="1:8" ht="14">
      <c r="A361" s="25" t="s">
        <v>1056</v>
      </c>
      <c r="B361" s="26" t="s">
        <v>77</v>
      </c>
      <c r="C361" s="25" t="str">
        <f t="shared" si="5"/>
        <v>expression_proteome</v>
      </c>
      <c r="D361" s="25" t="s">
        <v>1057</v>
      </c>
      <c r="E361" s="25" t="s">
        <v>1058</v>
      </c>
      <c r="F361" s="25" t="s">
        <v>4051</v>
      </c>
      <c r="G361" s="25">
        <v>600</v>
      </c>
      <c r="H361" s="25"/>
    </row>
    <row r="362" spans="1:8" ht="14">
      <c r="A362" s="25" t="s">
        <v>4053</v>
      </c>
      <c r="B362" s="26" t="s">
        <v>77</v>
      </c>
      <c r="C362" s="25" t="str">
        <f t="shared" si="5"/>
        <v>microscoop</v>
      </c>
      <c r="D362" s="25" t="s">
        <v>4053</v>
      </c>
      <c r="E362" s="25" t="s">
        <v>4054</v>
      </c>
      <c r="F362" s="25" t="s">
        <v>4055</v>
      </c>
      <c r="G362" s="25">
        <v>500</v>
      </c>
      <c r="H362" s="25"/>
    </row>
    <row r="363" spans="1:8" ht="14">
      <c r="A363" s="25" t="s">
        <v>3046</v>
      </c>
      <c r="B363" s="26" t="s">
        <v>77</v>
      </c>
      <c r="C363" s="25" t="str">
        <f t="shared" si="5"/>
        <v>proximity</v>
      </c>
      <c r="D363" s="25" t="s">
        <v>3047</v>
      </c>
      <c r="E363" s="25" t="s">
        <v>3048</v>
      </c>
      <c r="F363" s="25" t="s">
        <v>3049</v>
      </c>
      <c r="G363" s="25">
        <v>500</v>
      </c>
      <c r="H363" s="25"/>
    </row>
    <row r="364" spans="1:8" ht="14">
      <c r="A364" s="25" t="s">
        <v>1059</v>
      </c>
      <c r="B364" s="26" t="s">
        <v>77</v>
      </c>
      <c r="C364" s="25" t="str">
        <f t="shared" si="5"/>
        <v>interaction</v>
      </c>
      <c r="D364" s="25" t="s">
        <v>1059</v>
      </c>
      <c r="E364" s="25" t="s">
        <v>1060</v>
      </c>
      <c r="F364" s="25" t="s">
        <v>1060</v>
      </c>
      <c r="G364" s="25">
        <v>500</v>
      </c>
      <c r="H364" s="25"/>
    </row>
    <row r="365" spans="1:8" ht="14">
      <c r="A365" s="25" t="s">
        <v>1061</v>
      </c>
      <c r="B365" s="26" t="s">
        <v>77</v>
      </c>
      <c r="C365" s="25" t="str">
        <f t="shared" si="5"/>
        <v>metrs</v>
      </c>
      <c r="D365" s="25" t="s">
        <v>1061</v>
      </c>
      <c r="E365" s="25" t="s">
        <v>1062</v>
      </c>
      <c r="F365" s="25" t="s">
        <v>1062</v>
      </c>
      <c r="G365" s="25">
        <v>500</v>
      </c>
      <c r="H365" s="25"/>
    </row>
    <row r="366" spans="1:8" ht="14">
      <c r="A366" s="25" t="s">
        <v>1063</v>
      </c>
      <c r="B366" s="26" t="s">
        <v>77</v>
      </c>
      <c r="C366" s="25" t="str">
        <f t="shared" si="5"/>
        <v>neo_nterm_enrichment</v>
      </c>
      <c r="D366" s="25" t="s">
        <v>1064</v>
      </c>
      <c r="E366" s="25" t="s">
        <v>1065</v>
      </c>
      <c r="F366" s="25" t="s">
        <v>1065</v>
      </c>
      <c r="G366" s="25">
        <v>500</v>
      </c>
      <c r="H366" s="25"/>
    </row>
    <row r="367" spans="1:8" ht="14">
      <c r="A367" s="25" t="s">
        <v>1066</v>
      </c>
      <c r="B367" s="26" t="s">
        <v>77</v>
      </c>
      <c r="C367" s="25" t="str">
        <f t="shared" si="5"/>
        <v>oxinome</v>
      </c>
      <c r="D367" s="25" t="s">
        <v>1066</v>
      </c>
      <c r="E367" s="25" t="s">
        <v>1067</v>
      </c>
      <c r="F367" s="25" t="s">
        <v>1067</v>
      </c>
      <c r="G367" s="25">
        <v>500</v>
      </c>
      <c r="H367" s="25"/>
    </row>
    <row r="368" spans="1:8" ht="14">
      <c r="A368" s="25" t="s">
        <v>1068</v>
      </c>
      <c r="B368" s="26" t="s">
        <v>77</v>
      </c>
      <c r="C368" s="25" t="str">
        <f t="shared" si="5"/>
        <v>phosphoproteome</v>
      </c>
      <c r="D368" s="25" t="s">
        <v>1068</v>
      </c>
      <c r="E368" s="25" t="s">
        <v>1069</v>
      </c>
      <c r="F368" s="25" t="s">
        <v>1069</v>
      </c>
      <c r="G368" s="25">
        <v>500</v>
      </c>
      <c r="H368" s="25"/>
    </row>
    <row r="369" spans="1:8" ht="14">
      <c r="A369" s="25" t="s">
        <v>1070</v>
      </c>
      <c r="B369" s="26" t="s">
        <v>77</v>
      </c>
      <c r="C369" s="25" t="str">
        <f t="shared" si="5"/>
        <v>pulse_silac</v>
      </c>
      <c r="D369" s="25" t="s">
        <v>1070</v>
      </c>
      <c r="E369" s="25" t="s">
        <v>1071</v>
      </c>
      <c r="F369" s="25" t="s">
        <v>1071</v>
      </c>
      <c r="G369" s="25">
        <v>500</v>
      </c>
      <c r="H369" s="25"/>
    </row>
    <row r="370" spans="1:8" ht="14">
      <c r="A370" s="25" t="s">
        <v>1072</v>
      </c>
      <c r="B370" s="26" t="s">
        <v>77</v>
      </c>
      <c r="C370" s="25" t="str">
        <f t="shared" si="5"/>
        <v>secretome</v>
      </c>
      <c r="D370" s="25" t="s">
        <v>1072</v>
      </c>
      <c r="E370" s="25" t="s">
        <v>1073</v>
      </c>
      <c r="F370" s="25" t="s">
        <v>1073</v>
      </c>
      <c r="G370" s="25">
        <v>500</v>
      </c>
      <c r="H370" s="25"/>
    </row>
    <row r="371" spans="1:8" ht="14">
      <c r="A371" s="25" t="s">
        <v>1074</v>
      </c>
      <c r="B371" s="26" t="s">
        <v>77</v>
      </c>
      <c r="C371" s="25" t="str">
        <f t="shared" si="5"/>
        <v>spatial</v>
      </c>
      <c r="D371" s="25" t="s">
        <v>1074</v>
      </c>
      <c r="E371" s="25" t="s">
        <v>1075</v>
      </c>
      <c r="F371" s="25" t="s">
        <v>1075</v>
      </c>
      <c r="G371" s="25">
        <v>500</v>
      </c>
      <c r="H371" s="25"/>
    </row>
    <row r="372" spans="1:8" ht="14">
      <c r="A372" s="25" t="s">
        <v>1076</v>
      </c>
      <c r="B372" s="26" t="s">
        <v>77</v>
      </c>
      <c r="C372" s="25" t="str">
        <f t="shared" si="5"/>
        <v>ubiquitinome</v>
      </c>
      <c r="D372" s="25" t="s">
        <v>1076</v>
      </c>
      <c r="E372" s="25" t="s">
        <v>1077</v>
      </c>
      <c r="F372" s="25" t="s">
        <v>1077</v>
      </c>
      <c r="G372" s="25">
        <v>500</v>
      </c>
      <c r="H372" s="25"/>
    </row>
    <row r="373" spans="1:8" ht="14">
      <c r="A373" s="25" t="s">
        <v>3033</v>
      </c>
      <c r="B373" s="26" t="s">
        <v>77</v>
      </c>
      <c r="C373" s="25" t="str">
        <f t="shared" si="5"/>
        <v>solub</v>
      </c>
      <c r="D373" s="25" t="s">
        <v>3034</v>
      </c>
      <c r="E373" s="25" t="s">
        <v>3035</v>
      </c>
      <c r="F373" s="25" t="s">
        <v>3036</v>
      </c>
      <c r="G373" s="25">
        <v>500</v>
      </c>
      <c r="H373" s="25"/>
    </row>
    <row r="374" spans="1:8" ht="14">
      <c r="A374" s="25" t="s">
        <v>3126</v>
      </c>
      <c r="B374" s="26" t="s">
        <v>77</v>
      </c>
      <c r="C374" s="25" t="str">
        <f t="shared" si="5"/>
        <v>pisa</v>
      </c>
      <c r="D374" s="25" t="s">
        <v>3127</v>
      </c>
      <c r="E374" s="25" t="s">
        <v>3128</v>
      </c>
      <c r="F374" s="25" t="s">
        <v>3129</v>
      </c>
      <c r="G374" s="25">
        <v>500</v>
      </c>
      <c r="H374" s="25"/>
    </row>
    <row r="375" spans="1:8" ht="14">
      <c r="A375" s="25" t="s">
        <v>3132</v>
      </c>
      <c r="B375" s="26" t="s">
        <v>3130</v>
      </c>
      <c r="C375" s="25" t="s">
        <v>3126</v>
      </c>
      <c r="D375" s="25" t="s">
        <v>3126</v>
      </c>
      <c r="E375" s="25" t="s">
        <v>3131</v>
      </c>
      <c r="F375" s="25" t="s">
        <v>3133</v>
      </c>
      <c r="G375" s="25">
        <v>500</v>
      </c>
      <c r="H375" s="25"/>
    </row>
    <row r="376" spans="1:8" ht="14">
      <c r="A376" s="25" t="s">
        <v>1078</v>
      </c>
      <c r="B376" s="26" t="s">
        <v>1079</v>
      </c>
      <c r="C376" s="25" t="str">
        <f t="shared" ref="C376:C433" si="6">A376</f>
        <v>bal</v>
      </c>
      <c r="D376" s="27" t="s">
        <v>13</v>
      </c>
      <c r="E376" s="25" t="s">
        <v>1080</v>
      </c>
      <c r="F376" s="25" t="s">
        <v>1081</v>
      </c>
      <c r="G376" s="25">
        <v>500</v>
      </c>
      <c r="H376" s="25"/>
    </row>
    <row r="377" spans="1:8" ht="14">
      <c r="A377" s="25" t="s">
        <v>1082</v>
      </c>
      <c r="B377" s="26" t="s">
        <v>1079</v>
      </c>
      <c r="C377" s="25" t="str">
        <f t="shared" si="6"/>
        <v>cerebrospinal</v>
      </c>
      <c r="D377" s="27" t="s">
        <v>13</v>
      </c>
      <c r="E377" s="25" t="s">
        <v>1083</v>
      </c>
      <c r="F377" s="25" t="s">
        <v>1084</v>
      </c>
      <c r="G377" s="25">
        <v>500</v>
      </c>
      <c r="H377" s="25"/>
    </row>
    <row r="378" spans="1:8" ht="14">
      <c r="A378" s="25" t="s">
        <v>1085</v>
      </c>
      <c r="B378" s="26" t="s">
        <v>1079</v>
      </c>
      <c r="C378" s="25" t="str">
        <f t="shared" si="6"/>
        <v>feces</v>
      </c>
      <c r="D378" s="27" t="s">
        <v>13</v>
      </c>
      <c r="E378" s="25" t="s">
        <v>1086</v>
      </c>
      <c r="F378" s="25" t="s">
        <v>1087</v>
      </c>
      <c r="G378" s="25">
        <v>500</v>
      </c>
      <c r="H378" s="25"/>
    </row>
    <row r="379" spans="1:8" ht="14">
      <c r="A379" s="25" t="s">
        <v>1088</v>
      </c>
      <c r="B379" s="26" t="s">
        <v>1079</v>
      </c>
      <c r="C379" s="25" t="str">
        <f t="shared" si="6"/>
        <v>interstitial</v>
      </c>
      <c r="D379" s="27" t="s">
        <v>13</v>
      </c>
      <c r="E379" s="25" t="s">
        <v>1089</v>
      </c>
      <c r="F379" s="25" t="s">
        <v>1090</v>
      </c>
      <c r="G379" s="25">
        <v>500</v>
      </c>
      <c r="H379" s="25"/>
    </row>
    <row r="380" spans="1:8" ht="14">
      <c r="A380" s="25" t="s">
        <v>1091</v>
      </c>
      <c r="B380" s="26" t="s">
        <v>1079</v>
      </c>
      <c r="C380" s="25" t="str">
        <f t="shared" si="6"/>
        <v>lymph</v>
      </c>
      <c r="D380" s="27" t="s">
        <v>13</v>
      </c>
      <c r="E380" s="25" t="s">
        <v>1092</v>
      </c>
      <c r="F380" s="25" t="s">
        <v>1093</v>
      </c>
      <c r="G380" s="25">
        <v>500</v>
      </c>
      <c r="H380" s="25"/>
    </row>
    <row r="381" spans="1:8" ht="14">
      <c r="A381" s="25" t="s">
        <v>1094</v>
      </c>
      <c r="B381" s="26" t="s">
        <v>1079</v>
      </c>
      <c r="C381" s="25" t="str">
        <f t="shared" si="6"/>
        <v>peritoneal</v>
      </c>
      <c r="D381" s="27" t="s">
        <v>13</v>
      </c>
      <c r="E381" s="25" t="s">
        <v>1095</v>
      </c>
      <c r="F381" s="25" t="s">
        <v>1096</v>
      </c>
      <c r="G381" s="25">
        <v>500</v>
      </c>
      <c r="H381" s="25"/>
    </row>
    <row r="382" spans="1:8" ht="14">
      <c r="A382" s="25" t="s">
        <v>1097</v>
      </c>
      <c r="B382" s="26" t="s">
        <v>1079</v>
      </c>
      <c r="C382" s="25" t="str">
        <f t="shared" si="6"/>
        <v>plasma</v>
      </c>
      <c r="D382" s="27" t="s">
        <v>13</v>
      </c>
      <c r="E382" s="25" t="s">
        <v>1098</v>
      </c>
      <c r="F382" s="25" t="s">
        <v>1099</v>
      </c>
      <c r="G382" s="25">
        <v>500</v>
      </c>
      <c r="H382" s="25"/>
    </row>
    <row r="383" spans="1:8" ht="14">
      <c r="A383" s="25" t="s">
        <v>1100</v>
      </c>
      <c r="B383" s="26" t="s">
        <v>1079</v>
      </c>
      <c r="C383" s="25" t="str">
        <f t="shared" si="6"/>
        <v>pleural</v>
      </c>
      <c r="D383" s="27" t="s">
        <v>13</v>
      </c>
      <c r="E383" s="25" t="s">
        <v>1101</v>
      </c>
      <c r="F383" s="25" t="s">
        <v>1102</v>
      </c>
      <c r="G383" s="25">
        <v>500</v>
      </c>
      <c r="H383" s="25"/>
    </row>
    <row r="384" spans="1:8" ht="14">
      <c r="A384" s="25" t="s">
        <v>1103</v>
      </c>
      <c r="B384" s="26" t="s">
        <v>1079</v>
      </c>
      <c r="C384" s="25" t="str">
        <f t="shared" si="6"/>
        <v>saliva</v>
      </c>
      <c r="D384" s="27" t="s">
        <v>13</v>
      </c>
      <c r="E384" s="25" t="s">
        <v>1104</v>
      </c>
      <c r="F384" s="25" t="s">
        <v>1105</v>
      </c>
      <c r="G384" s="25">
        <v>500</v>
      </c>
      <c r="H384" s="25"/>
    </row>
    <row r="385" spans="1:8" ht="14">
      <c r="A385" s="25" t="s">
        <v>1106</v>
      </c>
      <c r="B385" s="26" t="s">
        <v>1079</v>
      </c>
      <c r="C385" s="25" t="str">
        <f t="shared" si="6"/>
        <v>seminal</v>
      </c>
      <c r="D385" s="27" t="s">
        <v>13</v>
      </c>
      <c r="E385" s="25" t="s">
        <v>1107</v>
      </c>
      <c r="F385" s="25" t="s">
        <v>1108</v>
      </c>
      <c r="G385" s="25">
        <v>500</v>
      </c>
      <c r="H385" s="25"/>
    </row>
    <row r="386" spans="1:8" ht="14">
      <c r="A386" s="25" t="s">
        <v>1109</v>
      </c>
      <c r="B386" s="26" t="s">
        <v>1079</v>
      </c>
      <c r="C386" s="25" t="str">
        <f t="shared" si="6"/>
        <v>serum</v>
      </c>
      <c r="D386" s="27" t="s">
        <v>13</v>
      </c>
      <c r="E386" s="25" t="s">
        <v>1110</v>
      </c>
      <c r="F386" s="25" t="s">
        <v>1111</v>
      </c>
      <c r="G386" s="25">
        <v>500</v>
      </c>
      <c r="H386" s="25"/>
    </row>
    <row r="387" spans="1:8" ht="14">
      <c r="A387" s="25" t="s">
        <v>1112</v>
      </c>
      <c r="B387" s="26" t="s">
        <v>1079</v>
      </c>
      <c r="C387" s="25" t="str">
        <f t="shared" si="6"/>
        <v>urine</v>
      </c>
      <c r="D387" s="27" t="s">
        <v>13</v>
      </c>
      <c r="E387" s="25" t="s">
        <v>1113</v>
      </c>
      <c r="F387" s="25" t="s">
        <v>1114</v>
      </c>
      <c r="G387" s="25">
        <v>500</v>
      </c>
      <c r="H387" s="25"/>
    </row>
    <row r="388" spans="1:8" ht="14">
      <c r="A388" s="25" t="s">
        <v>1115</v>
      </c>
      <c r="B388" s="36" t="s">
        <v>157</v>
      </c>
      <c r="C388" s="25" t="str">
        <f t="shared" si="6"/>
        <v>01k</v>
      </c>
      <c r="D388" s="25" t="s">
        <v>1115</v>
      </c>
      <c r="E388" s="25" t="s">
        <v>1115</v>
      </c>
      <c r="F388" s="25" t="s">
        <v>1117</v>
      </c>
      <c r="G388" s="25">
        <v>500</v>
      </c>
      <c r="H388" s="25"/>
    </row>
    <row r="389" spans="1:8" ht="14">
      <c r="A389" s="25" t="s">
        <v>1118</v>
      </c>
      <c r="B389" s="36" t="s">
        <v>157</v>
      </c>
      <c r="C389" s="25" t="str">
        <f t="shared" si="6"/>
        <v>05k</v>
      </c>
      <c r="D389" s="25" t="s">
        <v>1118</v>
      </c>
      <c r="E389" s="25" t="s">
        <v>1118</v>
      </c>
      <c r="F389" s="25" t="s">
        <v>1119</v>
      </c>
      <c r="G389" s="25">
        <v>500</v>
      </c>
      <c r="H389" s="25"/>
    </row>
    <row r="390" spans="1:8" ht="14">
      <c r="A390" s="25" t="s">
        <v>1120</v>
      </c>
      <c r="B390" s="36" t="s">
        <v>157</v>
      </c>
      <c r="C390" s="25" t="str">
        <f t="shared" si="6"/>
        <v>12k</v>
      </c>
      <c r="D390" s="25" t="s">
        <v>1120</v>
      </c>
      <c r="E390" s="25" t="s">
        <v>1120</v>
      </c>
      <c r="F390" s="25" t="s">
        <v>1121</v>
      </c>
      <c r="G390" s="25">
        <v>500</v>
      </c>
      <c r="H390" s="25"/>
    </row>
    <row r="391" spans="1:8" ht="14">
      <c r="A391" s="25" t="s">
        <v>1122</v>
      </c>
      <c r="B391" s="36" t="s">
        <v>157</v>
      </c>
      <c r="C391" s="25" t="str">
        <f t="shared" si="6"/>
        <v>24k</v>
      </c>
      <c r="D391" s="25" t="s">
        <v>1122</v>
      </c>
      <c r="E391" s="25" t="s">
        <v>1122</v>
      </c>
      <c r="F391" s="25" t="s">
        <v>1123</v>
      </c>
      <c r="G391" s="25">
        <v>500</v>
      </c>
      <c r="H391" s="25"/>
    </row>
    <row r="392" spans="1:8" ht="14">
      <c r="A392" s="25" t="s">
        <v>1124</v>
      </c>
      <c r="B392" s="36" t="s">
        <v>157</v>
      </c>
      <c r="C392" s="25" t="str">
        <f t="shared" si="6"/>
        <v>79k</v>
      </c>
      <c r="D392" s="25" t="s">
        <v>1124</v>
      </c>
      <c r="E392" s="25" t="s">
        <v>1124</v>
      </c>
      <c r="F392" s="25" t="s">
        <v>1125</v>
      </c>
      <c r="G392" s="25">
        <v>500</v>
      </c>
      <c r="H392" s="25"/>
    </row>
    <row r="393" spans="1:8" ht="14">
      <c r="A393" s="25" t="s">
        <v>1126</v>
      </c>
      <c r="B393" s="36" t="s">
        <v>157</v>
      </c>
      <c r="C393" s="25" t="str">
        <f t="shared" si="6"/>
        <v>crude_mito</v>
      </c>
      <c r="D393" s="25" t="s">
        <v>1127</v>
      </c>
      <c r="E393" s="25" t="s">
        <v>1128</v>
      </c>
      <c r="F393" s="25" t="s">
        <v>1129</v>
      </c>
      <c r="G393" s="25">
        <v>500</v>
      </c>
      <c r="H393" s="25"/>
    </row>
    <row r="394" spans="1:8" ht="14">
      <c r="A394" s="25" t="s">
        <v>1130</v>
      </c>
      <c r="B394" s="36" t="s">
        <v>157</v>
      </c>
      <c r="C394" s="25" t="str">
        <f t="shared" si="6"/>
        <v>cytosolic</v>
      </c>
      <c r="D394" s="25" t="s">
        <v>1130</v>
      </c>
      <c r="E394" s="25" t="s">
        <v>1131</v>
      </c>
      <c r="F394" s="25" t="s">
        <v>1132</v>
      </c>
      <c r="G394" s="25">
        <v>500</v>
      </c>
      <c r="H394" s="25"/>
    </row>
    <row r="395" spans="1:8" ht="14">
      <c r="A395" s="25" t="s">
        <v>1133</v>
      </c>
      <c r="B395" s="36" t="s">
        <v>157</v>
      </c>
      <c r="C395" s="25" t="str">
        <f t="shared" si="6"/>
        <v>total</v>
      </c>
      <c r="D395" s="25" t="s">
        <v>1133</v>
      </c>
      <c r="E395" s="25" t="s">
        <v>1134</v>
      </c>
      <c r="F395" s="25" t="s">
        <v>1135</v>
      </c>
      <c r="G395" s="25">
        <v>500</v>
      </c>
      <c r="H395" s="25"/>
    </row>
    <row r="396" spans="1:8" ht="14">
      <c r="A396" s="25" t="s">
        <v>3016</v>
      </c>
      <c r="B396" s="36" t="s">
        <v>157</v>
      </c>
      <c r="C396" s="25" t="str">
        <f t="shared" si="6"/>
        <v>pellet</v>
      </c>
      <c r="D396" s="25" t="s">
        <v>3016</v>
      </c>
      <c r="E396" s="25" t="s">
        <v>3017</v>
      </c>
      <c r="F396" s="25" t="s">
        <v>3019</v>
      </c>
      <c r="G396" s="25">
        <v>500</v>
      </c>
      <c r="H396" s="25"/>
    </row>
    <row r="397" spans="1:8" ht="14">
      <c r="A397" s="25" t="s">
        <v>2861</v>
      </c>
      <c r="B397" s="36" t="s">
        <v>157</v>
      </c>
      <c r="C397" s="25" t="str">
        <f t="shared" si="6"/>
        <v>supernatant</v>
      </c>
      <c r="D397" s="25" t="s">
        <v>2861</v>
      </c>
      <c r="E397" s="25" t="s">
        <v>2862</v>
      </c>
      <c r="F397" s="25" t="s">
        <v>3018</v>
      </c>
      <c r="G397" s="25">
        <v>500</v>
      </c>
      <c r="H397" s="25"/>
    </row>
    <row r="398" spans="1:8" ht="14">
      <c r="A398" s="25" t="s">
        <v>4480</v>
      </c>
      <c r="B398" s="36" t="s">
        <v>157</v>
      </c>
      <c r="C398" s="25" t="str">
        <f t="shared" si="6"/>
        <v>pms</v>
      </c>
      <c r="D398" s="25" t="s">
        <v>4480</v>
      </c>
      <c r="E398" s="25" t="s">
        <v>4481</v>
      </c>
      <c r="F398" s="25" t="s">
        <v>4482</v>
      </c>
      <c r="G398" s="25">
        <v>500</v>
      </c>
      <c r="H398" s="25"/>
    </row>
    <row r="399" spans="1:8" ht="14">
      <c r="A399" s="25" t="s">
        <v>4483</v>
      </c>
      <c r="B399" s="36" t="s">
        <v>157</v>
      </c>
      <c r="C399" s="25" t="str">
        <f t="shared" si="6"/>
        <v>percoll_f1</v>
      </c>
      <c r="D399" s="25" t="s">
        <v>4486</v>
      </c>
      <c r="E399" s="25" t="s">
        <v>4491</v>
      </c>
      <c r="F399" s="25" t="s">
        <v>4495</v>
      </c>
      <c r="G399" s="25">
        <v>500</v>
      </c>
      <c r="H399" s="25"/>
    </row>
    <row r="400" spans="1:8" ht="14">
      <c r="A400" s="25" t="s">
        <v>4484</v>
      </c>
      <c r="B400" s="36" t="s">
        <v>157</v>
      </c>
      <c r="C400" s="25" t="str">
        <f t="shared" si="6"/>
        <v>percoll_f2</v>
      </c>
      <c r="D400" s="25" t="s">
        <v>4487</v>
      </c>
      <c r="E400" s="25" t="s">
        <v>4492</v>
      </c>
      <c r="F400" s="25" t="s">
        <v>4494</v>
      </c>
      <c r="G400" s="25">
        <v>500</v>
      </c>
      <c r="H400" s="25"/>
    </row>
    <row r="401" spans="1:8" ht="14">
      <c r="A401" s="25" t="s">
        <v>4485</v>
      </c>
      <c r="B401" s="36" t="s">
        <v>157</v>
      </c>
      <c r="C401" s="25" t="s">
        <v>4485</v>
      </c>
      <c r="D401" s="25" t="s">
        <v>4488</v>
      </c>
      <c r="E401" s="25" t="s">
        <v>4493</v>
      </c>
      <c r="F401" s="25" t="s">
        <v>4496</v>
      </c>
      <c r="G401" s="25">
        <v>500</v>
      </c>
      <c r="H401" s="25"/>
    </row>
    <row r="402" spans="1:8" ht="14">
      <c r="A402" s="25" t="s">
        <v>4489</v>
      </c>
      <c r="B402" s="36" t="s">
        <v>157</v>
      </c>
      <c r="C402" s="25" t="s">
        <v>4489</v>
      </c>
      <c r="D402" s="25" t="s">
        <v>4489</v>
      </c>
      <c r="E402" s="25" t="s">
        <v>4489</v>
      </c>
      <c r="F402" s="25" t="s">
        <v>4490</v>
      </c>
      <c r="G402" s="25">
        <v>500</v>
      </c>
      <c r="H402" s="25"/>
    </row>
    <row r="403" spans="1:8" ht="14">
      <c r="A403" s="25" t="s">
        <v>4497</v>
      </c>
      <c r="B403" s="36" t="s">
        <v>157</v>
      </c>
      <c r="C403" s="25" t="s">
        <v>4497</v>
      </c>
      <c r="D403" s="25" t="s">
        <v>4497</v>
      </c>
      <c r="E403" s="25" t="s">
        <v>4497</v>
      </c>
      <c r="F403" s="25" t="s">
        <v>4498</v>
      </c>
      <c r="G403" s="25">
        <v>500</v>
      </c>
      <c r="H403" s="25"/>
    </row>
    <row r="404" spans="1:8" ht="14">
      <c r="A404" s="25" t="s">
        <v>2820</v>
      </c>
      <c r="B404" s="26" t="s">
        <v>92</v>
      </c>
      <c r="C404" s="25" t="str">
        <f t="shared" si="6"/>
        <v>homologrecombination</v>
      </c>
      <c r="D404" s="25" t="s">
        <v>13</v>
      </c>
      <c r="E404" s="25" t="s">
        <v>2821</v>
      </c>
      <c r="F404" s="25" t="s">
        <v>2822</v>
      </c>
      <c r="G404" s="25">
        <v>500</v>
      </c>
      <c r="H404" s="25"/>
    </row>
    <row r="405" spans="1:8" ht="14">
      <c r="A405" s="25" t="s">
        <v>1136</v>
      </c>
      <c r="B405" s="26" t="s">
        <v>92</v>
      </c>
      <c r="C405" s="25" t="str">
        <f t="shared" si="6"/>
        <v>biggybac</v>
      </c>
      <c r="D405" s="27" t="s">
        <v>13</v>
      </c>
      <c r="E405" s="25" t="s">
        <v>1137</v>
      </c>
      <c r="F405" s="25" t="s">
        <v>1138</v>
      </c>
      <c r="G405" s="25">
        <v>500</v>
      </c>
      <c r="H405" s="25"/>
    </row>
    <row r="406" spans="1:8" ht="14">
      <c r="A406" s="25" t="s">
        <v>1139</v>
      </c>
      <c r="B406" s="26" t="s">
        <v>92</v>
      </c>
      <c r="C406" s="25" t="str">
        <f t="shared" si="6"/>
        <v>crispr</v>
      </c>
      <c r="D406" s="27" t="s">
        <v>13</v>
      </c>
      <c r="E406" s="25" t="s">
        <v>1140</v>
      </c>
      <c r="F406" s="25" t="s">
        <v>1141</v>
      </c>
      <c r="G406" s="25">
        <v>500</v>
      </c>
      <c r="H406" s="25"/>
    </row>
    <row r="407" spans="1:8" ht="14">
      <c r="A407" s="25" t="s">
        <v>1142</v>
      </c>
      <c r="B407" s="26" t="s">
        <v>92</v>
      </c>
      <c r="C407" s="25" t="str">
        <f t="shared" si="6"/>
        <v>crispr_hdr</v>
      </c>
      <c r="D407" s="27" t="s">
        <v>13</v>
      </c>
      <c r="E407" s="25" t="s">
        <v>1143</v>
      </c>
      <c r="F407" s="25" t="s">
        <v>1144</v>
      </c>
      <c r="G407" s="25">
        <v>500</v>
      </c>
      <c r="H407" s="25"/>
    </row>
    <row r="408" spans="1:8" ht="14">
      <c r="A408" s="25" t="s">
        <v>1145</v>
      </c>
      <c r="B408" s="26" t="s">
        <v>92</v>
      </c>
      <c r="C408" s="25" t="str">
        <f t="shared" si="6"/>
        <v>lentiviral</v>
      </c>
      <c r="D408" s="27" t="s">
        <v>13</v>
      </c>
      <c r="E408" s="25" t="s">
        <v>1146</v>
      </c>
      <c r="F408" s="25" t="s">
        <v>1147</v>
      </c>
      <c r="G408" s="25">
        <v>500</v>
      </c>
      <c r="H408" s="25"/>
    </row>
    <row r="409" spans="1:8" ht="14">
      <c r="A409" s="25" t="s">
        <v>1148</v>
      </c>
      <c r="B409" s="26" t="s">
        <v>92</v>
      </c>
      <c r="C409" s="25" t="str">
        <f t="shared" si="6"/>
        <v>talen</v>
      </c>
      <c r="D409" s="27" t="s">
        <v>13</v>
      </c>
      <c r="E409" s="25" t="s">
        <v>1149</v>
      </c>
      <c r="F409" s="25" t="s">
        <v>1150</v>
      </c>
      <c r="G409" s="25">
        <v>500</v>
      </c>
      <c r="H409" s="25"/>
    </row>
    <row r="410" spans="1:8" ht="14">
      <c r="A410" s="25" t="s">
        <v>1151</v>
      </c>
      <c r="B410" s="26" t="s">
        <v>92</v>
      </c>
      <c r="C410" s="25" t="str">
        <f t="shared" si="6"/>
        <v>zincfinger</v>
      </c>
      <c r="D410" s="27" t="s">
        <v>13</v>
      </c>
      <c r="E410" s="25" t="s">
        <v>1152</v>
      </c>
      <c r="F410" s="25" t="s">
        <v>1153</v>
      </c>
      <c r="G410" s="25">
        <v>500</v>
      </c>
      <c r="H410" s="25"/>
    </row>
    <row r="411" spans="1:8" ht="14">
      <c r="A411" s="25" t="s">
        <v>1154</v>
      </c>
      <c r="B411" s="26" t="s">
        <v>96</v>
      </c>
      <c r="C411" s="25" t="str">
        <f t="shared" si="6"/>
        <v>deletion</v>
      </c>
      <c r="D411" s="27" t="s">
        <v>13</v>
      </c>
      <c r="E411" s="25" t="s">
        <v>1155</v>
      </c>
      <c r="F411" s="25" t="s">
        <v>1156</v>
      </c>
      <c r="G411" s="25">
        <v>500</v>
      </c>
      <c r="H411" s="25"/>
    </row>
    <row r="412" spans="1:8" ht="14">
      <c r="A412" s="25" t="s">
        <v>1157</v>
      </c>
      <c r="B412" s="26" t="s">
        <v>96</v>
      </c>
      <c r="C412" s="25" t="str">
        <f t="shared" si="6"/>
        <v>inducible_expression</v>
      </c>
      <c r="D412" s="27" t="s">
        <v>13</v>
      </c>
      <c r="E412" s="25" t="s">
        <v>1158</v>
      </c>
      <c r="F412" s="25" t="s">
        <v>1159</v>
      </c>
      <c r="G412" s="25">
        <v>500</v>
      </c>
      <c r="H412" s="25"/>
    </row>
    <row r="413" spans="1:8" ht="14">
      <c r="A413" s="25" t="s">
        <v>1160</v>
      </c>
      <c r="B413" s="26" t="s">
        <v>96</v>
      </c>
      <c r="C413" s="25" t="str">
        <f t="shared" si="6"/>
        <v>knockin</v>
      </c>
      <c r="D413" s="27" t="s">
        <v>13</v>
      </c>
      <c r="E413" s="25" t="s">
        <v>1161</v>
      </c>
      <c r="F413" s="25" t="s">
        <v>1162</v>
      </c>
      <c r="G413" s="25">
        <v>500</v>
      </c>
      <c r="H413" s="25"/>
    </row>
    <row r="414" spans="1:8" ht="14">
      <c r="A414" s="25" t="s">
        <v>1163</v>
      </c>
      <c r="B414" s="26" t="s">
        <v>96</v>
      </c>
      <c r="C414" s="25" t="str">
        <f t="shared" si="6"/>
        <v>ko</v>
      </c>
      <c r="D414" s="27" t="s">
        <v>13</v>
      </c>
      <c r="E414" s="25" t="s">
        <v>1164</v>
      </c>
      <c r="F414" s="25" t="s">
        <v>1165</v>
      </c>
      <c r="G414" s="25">
        <v>500</v>
      </c>
      <c r="H414" s="25"/>
    </row>
    <row r="415" spans="1:8" ht="14">
      <c r="A415" s="25" t="s">
        <v>1166</v>
      </c>
      <c r="B415" s="26" t="s">
        <v>96</v>
      </c>
      <c r="C415" s="25" t="str">
        <f t="shared" si="6"/>
        <v>stable_expression</v>
      </c>
      <c r="D415" s="27" t="s">
        <v>13</v>
      </c>
      <c r="E415" s="25" t="s">
        <v>1167</v>
      </c>
      <c r="F415" s="25" t="s">
        <v>1168</v>
      </c>
      <c r="G415" s="25">
        <v>500</v>
      </c>
      <c r="H415" s="25"/>
    </row>
    <row r="416" spans="1:8" ht="14">
      <c r="A416" s="25" t="s">
        <v>3874</v>
      </c>
      <c r="B416" s="26" t="s">
        <v>93</v>
      </c>
      <c r="C416" s="25" t="str">
        <f t="shared" si="6"/>
        <v>hetero</v>
      </c>
      <c r="D416" s="27" t="s">
        <v>13</v>
      </c>
      <c r="E416" s="25" t="s">
        <v>1169</v>
      </c>
      <c r="F416" s="25" t="s">
        <v>1170</v>
      </c>
      <c r="G416" s="25">
        <v>500</v>
      </c>
      <c r="H416" s="25"/>
    </row>
    <row r="417" spans="1:8" ht="14">
      <c r="A417" s="25" t="s">
        <v>3875</v>
      </c>
      <c r="B417" s="26" t="s">
        <v>93</v>
      </c>
      <c r="C417" s="25" t="str">
        <f t="shared" si="6"/>
        <v>homozygot</v>
      </c>
      <c r="D417" s="27" t="s">
        <v>13</v>
      </c>
      <c r="E417" s="25" t="s">
        <v>1171</v>
      </c>
      <c r="F417" s="25" t="s">
        <v>1172</v>
      </c>
      <c r="G417" s="25">
        <v>500</v>
      </c>
      <c r="H417" s="25"/>
    </row>
    <row r="418" spans="1:8" ht="14">
      <c r="A418" s="25" t="s">
        <v>2552</v>
      </c>
      <c r="B418" s="26" t="s">
        <v>93</v>
      </c>
      <c r="C418" s="25" t="str">
        <f t="shared" si="6"/>
        <v>wt</v>
      </c>
      <c r="D418" s="27" t="s">
        <v>13</v>
      </c>
      <c r="E418" s="25" t="s">
        <v>2668</v>
      </c>
      <c r="F418" s="25" t="s">
        <v>2669</v>
      </c>
      <c r="G418" s="25">
        <v>500</v>
      </c>
      <c r="H418" s="25"/>
    </row>
    <row r="419" spans="1:8" ht="14">
      <c r="A419" s="25" t="s">
        <v>2881</v>
      </c>
      <c r="B419" s="26" t="s">
        <v>93</v>
      </c>
      <c r="C419" s="25" t="str">
        <f t="shared" si="6"/>
        <v>hemi</v>
      </c>
      <c r="D419" s="27" t="s">
        <v>13</v>
      </c>
      <c r="E419" s="25" t="s">
        <v>2882</v>
      </c>
      <c r="F419" s="25" t="s">
        <v>2883</v>
      </c>
      <c r="G419" s="25">
        <v>500</v>
      </c>
      <c r="H419" s="25"/>
    </row>
    <row r="420" spans="1:8" ht="14">
      <c r="A420" s="25" t="s">
        <v>2676</v>
      </c>
      <c r="B420" s="26" t="s">
        <v>93</v>
      </c>
      <c r="C420" s="25" t="str">
        <f t="shared" si="6"/>
        <v>unknown</v>
      </c>
      <c r="D420" s="27" t="s">
        <v>13</v>
      </c>
      <c r="E420" s="25" t="s">
        <v>2721</v>
      </c>
      <c r="F420" s="25" t="s">
        <v>2677</v>
      </c>
      <c r="G420" s="25">
        <v>500</v>
      </c>
      <c r="H420" s="25"/>
    </row>
    <row r="421" spans="1:8" ht="14">
      <c r="A421" s="25" t="s">
        <v>2816</v>
      </c>
      <c r="B421" s="26" t="s">
        <v>4394</v>
      </c>
      <c r="C421" s="25" t="str">
        <f t="shared" si="6"/>
        <v>male</v>
      </c>
      <c r="D421" s="27" t="s">
        <v>13</v>
      </c>
      <c r="E421" s="25" t="s">
        <v>2817</v>
      </c>
      <c r="F421" s="25" t="s">
        <v>2817</v>
      </c>
      <c r="G421" s="25">
        <v>500</v>
      </c>
      <c r="H421" s="25"/>
    </row>
    <row r="422" spans="1:8" ht="14">
      <c r="A422" s="25" t="s">
        <v>2818</v>
      </c>
      <c r="B422" s="26" t="s">
        <v>4394</v>
      </c>
      <c r="C422" s="25" t="str">
        <f t="shared" si="6"/>
        <v>female</v>
      </c>
      <c r="D422" s="27" t="s">
        <v>13</v>
      </c>
      <c r="E422" s="25" t="s">
        <v>2819</v>
      </c>
      <c r="F422" s="25" t="s">
        <v>2819</v>
      </c>
      <c r="G422" s="25">
        <v>500</v>
      </c>
      <c r="H422" s="25"/>
    </row>
    <row r="423" spans="1:8" ht="14">
      <c r="A423" s="25" t="s">
        <v>3144</v>
      </c>
      <c r="B423" s="26" t="s">
        <v>3143</v>
      </c>
      <c r="C423" s="25" t="str">
        <f t="shared" si="6"/>
        <v>binary</v>
      </c>
      <c r="D423" s="27" t="s">
        <v>13</v>
      </c>
      <c r="E423" s="25" t="s">
        <v>3145</v>
      </c>
      <c r="F423" s="25" t="s">
        <v>3146</v>
      </c>
      <c r="G423" s="25">
        <v>500</v>
      </c>
      <c r="H423" s="25"/>
    </row>
    <row r="424" spans="1:8" ht="14">
      <c r="A424" s="25" t="s">
        <v>4454</v>
      </c>
      <c r="B424" s="26" t="s">
        <v>99</v>
      </c>
      <c r="C424" s="25" t="str">
        <f t="shared" si="6"/>
        <v>da</v>
      </c>
      <c r="D424" s="27" t="s">
        <v>13</v>
      </c>
      <c r="E424" s="25" t="s">
        <v>4453</v>
      </c>
      <c r="F424" s="25" t="s">
        <v>4456</v>
      </c>
      <c r="G424" s="25">
        <v>500</v>
      </c>
      <c r="H424" s="25"/>
    </row>
    <row r="425" spans="1:8" ht="14">
      <c r="A425" s="25" t="s">
        <v>4455</v>
      </c>
      <c r="B425" s="26" t="s">
        <v>99</v>
      </c>
      <c r="C425" s="25" t="str">
        <f t="shared" si="6"/>
        <v>th</v>
      </c>
      <c r="D425" s="27" t="s">
        <v>13</v>
      </c>
      <c r="E425" s="25" t="s">
        <v>4457</v>
      </c>
      <c r="F425" s="25" t="s">
        <v>4458</v>
      </c>
      <c r="G425" s="25">
        <v>500</v>
      </c>
      <c r="H425" s="25"/>
    </row>
    <row r="426" spans="1:8" ht="14">
      <c r="A426" s="25" t="s">
        <v>1173</v>
      </c>
      <c r="B426" s="26" t="s">
        <v>100</v>
      </c>
      <c r="C426" s="25" t="str">
        <f t="shared" si="6"/>
        <v>esirna</v>
      </c>
      <c r="D426" s="25" t="s">
        <v>1173</v>
      </c>
      <c r="E426" s="25" t="s">
        <v>1174</v>
      </c>
      <c r="F426" s="25" t="s">
        <v>1175</v>
      </c>
      <c r="G426" s="25">
        <v>500</v>
      </c>
      <c r="H426" s="25"/>
    </row>
    <row r="427" spans="1:8" ht="14">
      <c r="A427" s="25" t="s">
        <v>1176</v>
      </c>
      <c r="B427" s="26" t="s">
        <v>100</v>
      </c>
      <c r="C427" s="25" t="str">
        <f t="shared" si="6"/>
        <v>grna</v>
      </c>
      <c r="D427" s="25" t="s">
        <v>1176</v>
      </c>
      <c r="E427" s="25" t="s">
        <v>1177</v>
      </c>
      <c r="F427" s="25" t="s">
        <v>1178</v>
      </c>
      <c r="G427" s="25">
        <v>500</v>
      </c>
      <c r="H427" s="25"/>
    </row>
    <row r="428" spans="1:8" ht="14">
      <c r="A428" s="25" t="s">
        <v>1179</v>
      </c>
      <c r="B428" s="26" t="s">
        <v>100</v>
      </c>
      <c r="C428" s="25" t="str">
        <f t="shared" si="6"/>
        <v>mirna</v>
      </c>
      <c r="D428" s="25" t="s">
        <v>1179</v>
      </c>
      <c r="E428" s="25" t="s">
        <v>1180</v>
      </c>
      <c r="F428" s="25" t="s">
        <v>1181</v>
      </c>
      <c r="G428" s="25">
        <v>500</v>
      </c>
      <c r="H428" s="25"/>
    </row>
    <row r="429" spans="1:8" ht="14">
      <c r="A429" s="25" t="s">
        <v>1182</v>
      </c>
      <c r="B429" s="26" t="s">
        <v>100</v>
      </c>
      <c r="C429" s="25" t="str">
        <f t="shared" si="6"/>
        <v>shrna</v>
      </c>
      <c r="D429" s="25" t="s">
        <v>1182</v>
      </c>
      <c r="E429" s="25" t="s">
        <v>1183</v>
      </c>
      <c r="F429" s="25" t="s">
        <v>1184</v>
      </c>
      <c r="G429" s="25">
        <v>500</v>
      </c>
      <c r="H429" s="25"/>
    </row>
    <row r="430" spans="1:8" ht="14">
      <c r="A430" s="25" t="s">
        <v>1185</v>
      </c>
      <c r="B430" s="26" t="s">
        <v>100</v>
      </c>
      <c r="C430" s="25" t="str">
        <f t="shared" si="6"/>
        <v>sirna</v>
      </c>
      <c r="D430" s="25" t="s">
        <v>1185</v>
      </c>
      <c r="E430" s="25" t="s">
        <v>1186</v>
      </c>
      <c r="F430" s="25" t="s">
        <v>1187</v>
      </c>
      <c r="G430" s="25">
        <v>500</v>
      </c>
      <c r="H430" s="25"/>
    </row>
    <row r="431" spans="1:8" ht="14">
      <c r="A431" s="25" t="s">
        <v>1188</v>
      </c>
      <c r="B431" s="26" t="s">
        <v>4022</v>
      </c>
      <c r="C431" s="25" t="str">
        <f t="shared" si="6"/>
        <v>e1000</v>
      </c>
      <c r="D431" s="25" t="s">
        <v>1188</v>
      </c>
      <c r="E431" s="25" t="s">
        <v>1189</v>
      </c>
      <c r="F431" s="25" t="s">
        <v>1190</v>
      </c>
      <c r="G431" s="25">
        <v>500</v>
      </c>
      <c r="H431" s="25"/>
    </row>
    <row r="432" spans="1:8" ht="14">
      <c r="A432" s="25" t="s">
        <v>1191</v>
      </c>
      <c r="B432" s="26" t="s">
        <v>4022</v>
      </c>
      <c r="C432" s="25" t="str">
        <f t="shared" si="6"/>
        <v>e1200</v>
      </c>
      <c r="D432" s="25" t="s">
        <v>1191</v>
      </c>
      <c r="E432" s="25" t="s">
        <v>1192</v>
      </c>
      <c r="F432" s="25" t="s">
        <v>1193</v>
      </c>
      <c r="G432" s="25">
        <v>500</v>
      </c>
      <c r="H432" s="25"/>
    </row>
    <row r="433" spans="1:8" ht="14">
      <c r="A433" s="25" t="s">
        <v>1194</v>
      </c>
      <c r="B433" s="26" t="s">
        <v>4022</v>
      </c>
      <c r="C433" s="25" t="str">
        <f t="shared" si="6"/>
        <v>evosep</v>
      </c>
      <c r="D433" s="25" t="s">
        <v>1194</v>
      </c>
      <c r="E433" s="25" t="s">
        <v>1195</v>
      </c>
      <c r="F433" s="25" t="s">
        <v>1195</v>
      </c>
      <c r="G433" s="25">
        <v>500</v>
      </c>
      <c r="H433" s="25"/>
    </row>
    <row r="434" spans="1:8" ht="14">
      <c r="A434" s="25" t="s">
        <v>1196</v>
      </c>
      <c r="B434" s="26" t="s">
        <v>4022</v>
      </c>
      <c r="C434" s="25" t="str">
        <f t="shared" ref="C434:C500" si="7">A434</f>
        <v>nanoelute</v>
      </c>
      <c r="D434" s="25" t="s">
        <v>1196</v>
      </c>
      <c r="E434" s="25" t="s">
        <v>1197</v>
      </c>
      <c r="F434" s="25" t="s">
        <v>1198</v>
      </c>
      <c r="G434" s="25">
        <v>500</v>
      </c>
      <c r="H434" s="25"/>
    </row>
    <row r="435" spans="1:8" ht="14">
      <c r="A435" s="25" t="s">
        <v>1199</v>
      </c>
      <c r="B435" s="26" t="s">
        <v>4022</v>
      </c>
      <c r="C435" s="25" t="str">
        <f t="shared" si="7"/>
        <v>ultimate</v>
      </c>
      <c r="D435" s="25" t="s">
        <v>1199</v>
      </c>
      <c r="E435" s="25" t="s">
        <v>1200</v>
      </c>
      <c r="F435" s="25" t="s">
        <v>1201</v>
      </c>
      <c r="G435" s="25">
        <v>500</v>
      </c>
      <c r="H435" s="25"/>
    </row>
    <row r="436" spans="1:8" ht="14">
      <c r="A436" s="25" t="s">
        <v>1202</v>
      </c>
      <c r="B436" s="26" t="s">
        <v>4022</v>
      </c>
      <c r="C436" s="25" t="str">
        <f t="shared" si="7"/>
        <v>vanquish</v>
      </c>
      <c r="D436" s="25" t="s">
        <v>1202</v>
      </c>
      <c r="E436" s="25" t="s">
        <v>1203</v>
      </c>
      <c r="F436" s="25" t="s">
        <v>1204</v>
      </c>
      <c r="G436" s="25">
        <v>500</v>
      </c>
      <c r="H436" s="25"/>
    </row>
    <row r="437" spans="1:8" ht="14">
      <c r="A437" s="25" t="s">
        <v>2875</v>
      </c>
      <c r="B437" s="26" t="s">
        <v>4023</v>
      </c>
      <c r="C437" s="25" t="str">
        <f t="shared" si="7"/>
        <v>easy1200mpi</v>
      </c>
      <c r="D437" s="25" t="s">
        <v>13</v>
      </c>
      <c r="E437" s="25" t="s">
        <v>2876</v>
      </c>
      <c r="F437" s="25" t="s">
        <v>2877</v>
      </c>
      <c r="G437" s="25">
        <v>500</v>
      </c>
      <c r="H437" s="25"/>
    </row>
    <row r="438" spans="1:8" ht="14">
      <c r="A438" s="25" t="s">
        <v>1205</v>
      </c>
      <c r="B438" s="26" t="s">
        <v>4023</v>
      </c>
      <c r="C438" s="25" t="str">
        <f t="shared" si="7"/>
        <v>easylc1</v>
      </c>
      <c r="D438" s="27" t="s">
        <v>13</v>
      </c>
      <c r="E438" s="25" t="s">
        <v>1206</v>
      </c>
      <c r="F438" s="25" t="s">
        <v>1206</v>
      </c>
      <c r="G438" s="25">
        <v>500</v>
      </c>
      <c r="H438" s="25"/>
    </row>
    <row r="439" spans="1:8" ht="14">
      <c r="A439" s="25" t="s">
        <v>1207</v>
      </c>
      <c r="B439" s="26" t="s">
        <v>4023</v>
      </c>
      <c r="C439" s="25" t="str">
        <f t="shared" si="7"/>
        <v>easylc2</v>
      </c>
      <c r="D439" s="27" t="s">
        <v>13</v>
      </c>
      <c r="E439" s="25" t="s">
        <v>1208</v>
      </c>
      <c r="F439" s="25" t="s">
        <v>1208</v>
      </c>
      <c r="G439" s="25">
        <v>500</v>
      </c>
      <c r="H439" s="25"/>
    </row>
    <row r="440" spans="1:8" ht="14">
      <c r="A440" s="25" t="s">
        <v>1209</v>
      </c>
      <c r="B440" s="26" t="s">
        <v>4023</v>
      </c>
      <c r="C440" s="25" t="str">
        <f t="shared" si="7"/>
        <v>evosep1</v>
      </c>
      <c r="D440" s="27" t="s">
        <v>13</v>
      </c>
      <c r="E440" s="25" t="s">
        <v>1210</v>
      </c>
      <c r="F440" s="25" t="s">
        <v>1211</v>
      </c>
      <c r="G440" s="25">
        <v>500</v>
      </c>
      <c r="H440" s="25"/>
    </row>
    <row r="441" spans="1:8" ht="14">
      <c r="A441" s="25" t="s">
        <v>1212</v>
      </c>
      <c r="B441" s="26" t="s">
        <v>4023</v>
      </c>
      <c r="C441" s="25" t="str">
        <f t="shared" si="7"/>
        <v>vanquishneo1</v>
      </c>
      <c r="D441" s="27" t="s">
        <v>13</v>
      </c>
      <c r="E441" s="25" t="s">
        <v>1213</v>
      </c>
      <c r="F441" s="25" t="s">
        <v>1213</v>
      </c>
      <c r="G441" s="25">
        <v>500</v>
      </c>
      <c r="H441" s="25"/>
    </row>
    <row r="442" spans="1:8" ht="14">
      <c r="A442" s="25" t="s">
        <v>1214</v>
      </c>
      <c r="B442" s="26" t="s">
        <v>104</v>
      </c>
      <c r="C442" s="25" t="str">
        <f t="shared" si="7"/>
        <v>bravo</v>
      </c>
      <c r="D442" s="25" t="s">
        <v>1214</v>
      </c>
      <c r="E442" s="25" t="s">
        <v>1215</v>
      </c>
      <c r="F442" s="25" t="s">
        <v>1216</v>
      </c>
      <c r="G442" s="25">
        <v>500</v>
      </c>
      <c r="H442" s="25"/>
    </row>
    <row r="443" spans="1:8" ht="14">
      <c r="A443" s="25" t="s">
        <v>1217</v>
      </c>
      <c r="B443" s="26" t="s">
        <v>104</v>
      </c>
      <c r="C443" s="25" t="str">
        <f t="shared" si="7"/>
        <v>felix</v>
      </c>
      <c r="D443" s="25" t="s">
        <v>1217</v>
      </c>
      <c r="E443" s="25" t="s">
        <v>1218</v>
      </c>
      <c r="F443" s="25" t="s">
        <v>1219</v>
      </c>
      <c r="G443" s="25">
        <v>500</v>
      </c>
      <c r="H443" s="25"/>
    </row>
    <row r="444" spans="1:8" ht="14">
      <c r="A444" s="25" t="s">
        <v>1220</v>
      </c>
      <c r="B444" s="26" t="s">
        <v>104</v>
      </c>
      <c r="C444" s="25" t="str">
        <f t="shared" si="7"/>
        <v>kingfisher</v>
      </c>
      <c r="D444" s="25" t="s">
        <v>1220</v>
      </c>
      <c r="E444" s="25" t="s">
        <v>1221</v>
      </c>
      <c r="F444" s="25" t="s">
        <v>1222</v>
      </c>
      <c r="G444" s="25">
        <v>500</v>
      </c>
      <c r="H444" s="25"/>
    </row>
    <row r="445" spans="1:8" ht="14">
      <c r="A445" s="25" t="s">
        <v>1223</v>
      </c>
      <c r="B445" s="26" t="s">
        <v>104</v>
      </c>
      <c r="C445" s="25" t="str">
        <f t="shared" si="7"/>
        <v>microlabhamilton</v>
      </c>
      <c r="D445" s="25" t="s">
        <v>1223</v>
      </c>
      <c r="E445" s="25" t="s">
        <v>1224</v>
      </c>
      <c r="F445" s="25" t="s">
        <v>1225</v>
      </c>
      <c r="G445" s="25">
        <v>500</v>
      </c>
      <c r="H445" s="25"/>
    </row>
    <row r="446" spans="1:8" ht="14">
      <c r="A446" s="25" t="s">
        <v>1226</v>
      </c>
      <c r="B446" s="26" t="s">
        <v>104</v>
      </c>
      <c r="C446" s="25" t="str">
        <f t="shared" si="7"/>
        <v>mosquitoHV</v>
      </c>
      <c r="D446" s="25" t="s">
        <v>1226</v>
      </c>
      <c r="E446" s="25" t="s">
        <v>1227</v>
      </c>
      <c r="F446" s="25" t="s">
        <v>1228</v>
      </c>
      <c r="G446" s="25">
        <v>500</v>
      </c>
      <c r="H446" s="25"/>
    </row>
    <row r="447" spans="1:8" ht="14">
      <c r="A447" s="25" t="s">
        <v>1229</v>
      </c>
      <c r="B447" s="26" t="s">
        <v>104</v>
      </c>
      <c r="C447" s="25" t="str">
        <f t="shared" si="7"/>
        <v>mosquitoLV</v>
      </c>
      <c r="D447" s="25" t="s">
        <v>1229</v>
      </c>
      <c r="E447" s="25" t="s">
        <v>1230</v>
      </c>
      <c r="F447" s="25" t="s">
        <v>1231</v>
      </c>
      <c r="G447" s="25">
        <v>500</v>
      </c>
      <c r="H447" s="25"/>
    </row>
    <row r="448" spans="1:8" ht="14">
      <c r="A448" s="25" t="s">
        <v>1232</v>
      </c>
      <c r="B448" s="26" t="s">
        <v>104</v>
      </c>
      <c r="C448" s="25" t="str">
        <f t="shared" si="7"/>
        <v>opentrons</v>
      </c>
      <c r="D448" s="25" t="s">
        <v>1232</v>
      </c>
      <c r="E448" s="25" t="s">
        <v>2716</v>
      </c>
      <c r="F448" s="25" t="s">
        <v>2716</v>
      </c>
      <c r="G448" s="25">
        <v>500</v>
      </c>
      <c r="H448" s="25"/>
    </row>
    <row r="449" spans="1:1008" ht="14">
      <c r="A449" s="25" t="s">
        <v>2878</v>
      </c>
      <c r="B449" s="26" t="s">
        <v>104</v>
      </c>
      <c r="C449" s="25" t="str">
        <f t="shared" si="7"/>
        <v>opentronsot2</v>
      </c>
      <c r="D449" s="25" t="s">
        <v>1232</v>
      </c>
      <c r="E449" s="25" t="s">
        <v>2717</v>
      </c>
      <c r="F449" s="25" t="s">
        <v>2717</v>
      </c>
      <c r="G449" s="25">
        <v>500</v>
      </c>
      <c r="H449" s="25"/>
    </row>
    <row r="450" spans="1:1008" ht="14">
      <c r="A450" s="25" t="s">
        <v>1234</v>
      </c>
      <c r="B450" s="26" t="s">
        <v>104</v>
      </c>
      <c r="C450" s="25" t="str">
        <f t="shared" si="7"/>
        <v>tecan</v>
      </c>
      <c r="D450" s="25" t="s">
        <v>1234</v>
      </c>
      <c r="E450" s="25" t="s">
        <v>1235</v>
      </c>
      <c r="F450" s="25" t="s">
        <v>1236</v>
      </c>
      <c r="G450" s="25">
        <v>500</v>
      </c>
      <c r="H450" s="25"/>
    </row>
    <row r="451" spans="1:1008" ht="14">
      <c r="A451" s="25" t="s">
        <v>262</v>
      </c>
      <c r="B451" s="26" t="s">
        <v>104</v>
      </c>
      <c r="C451" s="25" t="str">
        <f t="shared" si="7"/>
        <v>none</v>
      </c>
      <c r="D451" s="25" t="s">
        <v>3039</v>
      </c>
      <c r="E451" s="25" t="s">
        <v>3040</v>
      </c>
      <c r="F451" s="25" t="s">
        <v>3041</v>
      </c>
      <c r="G451" s="25">
        <v>500</v>
      </c>
      <c r="H451" s="25"/>
    </row>
    <row r="452" spans="1:1008" ht="14">
      <c r="A452" s="25" t="s">
        <v>1237</v>
      </c>
      <c r="B452" s="26" t="s">
        <v>106</v>
      </c>
      <c r="C452" s="25" t="str">
        <f t="shared" si="7"/>
        <v>one_sdc</v>
      </c>
      <c r="D452" s="27" t="s">
        <v>13</v>
      </c>
      <c r="E452" s="25" t="s">
        <v>1238</v>
      </c>
      <c r="F452" s="25" t="s">
        <v>1239</v>
      </c>
      <c r="G452" s="25">
        <v>500</v>
      </c>
      <c r="H452" s="25"/>
    </row>
    <row r="453" spans="1:1008" ht="14">
      <c r="A453" s="25" t="s">
        <v>921</v>
      </c>
      <c r="B453" s="26" t="s">
        <v>106</v>
      </c>
      <c r="C453" s="25" t="str">
        <f t="shared" si="7"/>
        <v>sds</v>
      </c>
      <c r="D453" s="27" t="s">
        <v>13</v>
      </c>
      <c r="E453" s="25" t="s">
        <v>1240</v>
      </c>
      <c r="F453" s="25" t="s">
        <v>1241</v>
      </c>
      <c r="G453" s="25">
        <v>500</v>
      </c>
      <c r="H453" s="25"/>
    </row>
    <row r="454" spans="1:1008" ht="14">
      <c r="A454" s="25" t="s">
        <v>1242</v>
      </c>
      <c r="B454" s="26" t="s">
        <v>106</v>
      </c>
      <c r="C454" s="25" t="str">
        <f t="shared" si="7"/>
        <v>two_sdc</v>
      </c>
      <c r="D454" s="27" t="s">
        <v>13</v>
      </c>
      <c r="E454" s="25" t="s">
        <v>1243</v>
      </c>
      <c r="F454" s="25" t="s">
        <v>1244</v>
      </c>
      <c r="G454" s="25">
        <v>500</v>
      </c>
      <c r="H454" s="25"/>
    </row>
    <row r="455" spans="1:1008" ht="14">
      <c r="A455" s="25" t="s">
        <v>1245</v>
      </c>
      <c r="B455" s="26" t="s">
        <v>106</v>
      </c>
      <c r="C455" s="25" t="str">
        <f t="shared" si="7"/>
        <v>urea</v>
      </c>
      <c r="D455" s="27" t="s">
        <v>13</v>
      </c>
      <c r="E455" s="25" t="s">
        <v>1246</v>
      </c>
      <c r="F455" s="25" t="s">
        <v>1247</v>
      </c>
      <c r="G455" s="25">
        <v>500</v>
      </c>
      <c r="H455" s="25"/>
    </row>
    <row r="456" spans="1:1008" ht="14">
      <c r="A456" s="25" t="s">
        <v>3026</v>
      </c>
      <c r="B456" s="26" t="s">
        <v>106</v>
      </c>
      <c r="C456" s="25" t="str">
        <f t="shared" si="7"/>
        <v>ripa</v>
      </c>
      <c r="D456" s="27" t="s">
        <v>13</v>
      </c>
      <c r="E456" s="25" t="s">
        <v>3027</v>
      </c>
      <c r="F456" s="25" t="s">
        <v>3028</v>
      </c>
      <c r="G456" s="25">
        <v>500</v>
      </c>
      <c r="H456" s="25"/>
    </row>
    <row r="457" spans="1:1008" ht="14">
      <c r="A457" s="25" t="s">
        <v>3029</v>
      </c>
      <c r="B457" s="26" t="s">
        <v>106</v>
      </c>
      <c r="C457" s="25" t="str">
        <f t="shared" si="7"/>
        <v>ripasds</v>
      </c>
      <c r="D457" s="27" t="s">
        <v>13</v>
      </c>
      <c r="E457" s="25" t="s">
        <v>3030</v>
      </c>
      <c r="F457" s="25" t="s">
        <v>3031</v>
      </c>
      <c r="G457" s="25">
        <v>500</v>
      </c>
      <c r="H457" s="25"/>
    </row>
    <row r="458" spans="1:1008" ht="14">
      <c r="A458" s="25" t="s">
        <v>2713</v>
      </c>
      <c r="B458" s="26" t="s">
        <v>64</v>
      </c>
      <c r="C458" s="25" t="str">
        <f t="shared" si="7"/>
        <v>chemical</v>
      </c>
      <c r="D458" s="27" t="s">
        <v>13</v>
      </c>
      <c r="E458" s="25" t="s">
        <v>2714</v>
      </c>
      <c r="F458" s="25" t="s">
        <v>2715</v>
      </c>
      <c r="G458" s="25">
        <v>500</v>
      </c>
      <c r="H458" s="25"/>
    </row>
    <row r="459" spans="1:1008" ht="14">
      <c r="A459" s="25" t="s">
        <v>2723</v>
      </c>
      <c r="B459" s="26" t="s">
        <v>64</v>
      </c>
      <c r="C459" s="25" t="str">
        <f t="shared" si="7"/>
        <v>sonicaton</v>
      </c>
      <c r="D459" s="27" t="s">
        <v>13</v>
      </c>
      <c r="E459" s="25" t="s">
        <v>2724</v>
      </c>
      <c r="F459" s="25" t="s">
        <v>2722</v>
      </c>
      <c r="G459" s="25">
        <v>500</v>
      </c>
      <c r="H459" s="25"/>
    </row>
    <row r="460" spans="1:1008" ht="14">
      <c r="A460" s="25" t="s">
        <v>1248</v>
      </c>
      <c r="B460" s="26" t="s">
        <v>64</v>
      </c>
      <c r="C460" s="25" t="str">
        <f t="shared" si="7"/>
        <v>dounce</v>
      </c>
      <c r="D460" s="27" t="s">
        <v>13</v>
      </c>
      <c r="E460" s="25" t="s">
        <v>1249</v>
      </c>
      <c r="F460" s="25" t="s">
        <v>4506</v>
      </c>
      <c r="G460" s="25">
        <v>500</v>
      </c>
      <c r="H460" s="25"/>
    </row>
    <row r="461" spans="1:1008" ht="14">
      <c r="A461" s="25" t="s">
        <v>1251</v>
      </c>
      <c r="B461" s="26" t="s">
        <v>64</v>
      </c>
      <c r="C461" s="25" t="str">
        <f t="shared" si="7"/>
        <v>motar_pestle</v>
      </c>
      <c r="D461" s="27" t="s">
        <v>13</v>
      </c>
      <c r="E461" s="25" t="s">
        <v>1252</v>
      </c>
      <c r="F461" s="25" t="s">
        <v>1253</v>
      </c>
      <c r="G461" s="25">
        <v>500</v>
      </c>
      <c r="H461" s="25"/>
    </row>
    <row r="462" spans="1:1008" ht="14">
      <c r="A462" s="25" t="s">
        <v>1254</v>
      </c>
      <c r="B462" s="26" t="s">
        <v>64</v>
      </c>
      <c r="C462" s="25" t="str">
        <f t="shared" si="7"/>
        <v>paracyllus</v>
      </c>
      <c r="D462" s="27" t="s">
        <v>13</v>
      </c>
      <c r="E462" s="25" t="s">
        <v>1255</v>
      </c>
      <c r="F462" s="25" t="s">
        <v>1256</v>
      </c>
      <c r="G462" s="25">
        <v>500</v>
      </c>
      <c r="H462" s="25"/>
    </row>
    <row r="463" spans="1:1008" ht="60">
      <c r="A463" s="25" t="s">
        <v>2400</v>
      </c>
      <c r="B463" s="26" t="s">
        <v>3043</v>
      </c>
      <c r="C463" s="25" t="str">
        <f t="shared" si="7"/>
        <v>c57bl6j</v>
      </c>
      <c r="D463" s="27" t="s">
        <v>13</v>
      </c>
      <c r="E463" s="25" t="s">
        <v>3044</v>
      </c>
      <c r="F463" s="29" t="s">
        <v>3045</v>
      </c>
      <c r="G463" s="25">
        <v>500</v>
      </c>
      <c r="H463" s="28"/>
      <c r="I463"/>
      <c r="J463"/>
      <c r="K463"/>
      <c r="L463"/>
      <c r="M463"/>
      <c r="N463"/>
      <c r="O463"/>
      <c r="P463"/>
      <c r="Q463"/>
      <c r="R463"/>
      <c r="S463"/>
      <c r="T463"/>
      <c r="U463"/>
      <c r="V463"/>
      <c r="W463"/>
      <c r="X463"/>
      <c r="Y463"/>
      <c r="Z463"/>
      <c r="AA463"/>
      <c r="AB463"/>
      <c r="AC463"/>
      <c r="AD463"/>
      <c r="AE463"/>
      <c r="AF463"/>
      <c r="AG463"/>
      <c r="AH463"/>
      <c r="AI463"/>
      <c r="AJ463"/>
      <c r="AK463"/>
      <c r="AL463"/>
      <c r="AM463"/>
      <c r="AN463"/>
      <c r="AO463"/>
      <c r="AP463"/>
      <c r="AQ463"/>
      <c r="AR463"/>
      <c r="AS463"/>
      <c r="AT463"/>
      <c r="AU463"/>
      <c r="AV463"/>
      <c r="AW463"/>
      <c r="AX463"/>
      <c r="AY463"/>
      <c r="AZ463"/>
      <c r="BA463"/>
      <c r="BB463"/>
      <c r="BC463"/>
      <c r="BD463"/>
      <c r="BE463"/>
      <c r="BF463"/>
      <c r="BG463"/>
      <c r="BH463"/>
      <c r="BI463"/>
      <c r="BJ463"/>
      <c r="BK463"/>
      <c r="BL463"/>
      <c r="BM463"/>
      <c r="BN463"/>
      <c r="BO463"/>
      <c r="BP463"/>
      <c r="BQ463"/>
      <c r="BR463"/>
      <c r="BS463"/>
      <c r="BT463"/>
      <c r="BU463"/>
      <c r="BV463"/>
      <c r="BW463"/>
      <c r="BX463"/>
      <c r="BY463"/>
      <c r="BZ463"/>
      <c r="CA463"/>
      <c r="CB463"/>
      <c r="CC463"/>
      <c r="CD463"/>
      <c r="CE463"/>
      <c r="CF463"/>
      <c r="CG463"/>
      <c r="CH463"/>
      <c r="CI463"/>
      <c r="CJ463"/>
      <c r="CK463"/>
      <c r="CL463"/>
      <c r="CM463"/>
      <c r="CN463"/>
      <c r="CO463"/>
      <c r="CP463"/>
      <c r="CQ463"/>
      <c r="CR463"/>
      <c r="CS463"/>
      <c r="CT463"/>
      <c r="CU463"/>
      <c r="CV463"/>
      <c r="CW463"/>
      <c r="CX463"/>
      <c r="CY463"/>
      <c r="CZ463"/>
      <c r="DA463"/>
      <c r="DB463"/>
      <c r="DC463"/>
      <c r="DD463"/>
      <c r="DE463"/>
      <c r="DF463"/>
      <c r="DG463"/>
      <c r="DH463"/>
      <c r="DI463"/>
      <c r="DJ463"/>
      <c r="DK463"/>
      <c r="DL463"/>
      <c r="DM463"/>
      <c r="DN463"/>
      <c r="DO463"/>
      <c r="DP463"/>
      <c r="DQ463"/>
      <c r="DR463"/>
      <c r="DS463"/>
      <c r="DT463"/>
      <c r="DU463"/>
      <c r="DV463"/>
      <c r="DW463"/>
      <c r="DX463"/>
      <c r="DY463"/>
      <c r="DZ463"/>
      <c r="EA463"/>
      <c r="EB463"/>
      <c r="EC463"/>
      <c r="ED463"/>
      <c r="EE463"/>
      <c r="EF463"/>
      <c r="EG463"/>
      <c r="EH463"/>
      <c r="EI463"/>
      <c r="EJ463"/>
      <c r="EK463"/>
      <c r="EL463"/>
      <c r="EM463"/>
      <c r="EN463"/>
      <c r="EO463"/>
      <c r="EP463"/>
      <c r="EQ463"/>
      <c r="ER463"/>
      <c r="ES463"/>
      <c r="ET463"/>
      <c r="EU463"/>
      <c r="EV463"/>
      <c r="EW463"/>
      <c r="EX463"/>
      <c r="EY463"/>
      <c r="EZ463"/>
      <c r="FA463"/>
      <c r="FB463"/>
      <c r="FC463"/>
      <c r="FD463"/>
      <c r="FE463"/>
      <c r="FF463"/>
      <c r="FG463"/>
      <c r="FH463"/>
      <c r="FI463"/>
      <c r="FJ463"/>
      <c r="FK463"/>
      <c r="FL463"/>
      <c r="FM463"/>
      <c r="FN463"/>
      <c r="FO463"/>
      <c r="FP463"/>
      <c r="FQ463"/>
      <c r="FR463"/>
      <c r="FS463"/>
      <c r="FT463"/>
      <c r="FU463"/>
      <c r="FV463"/>
      <c r="FW463"/>
      <c r="FX463"/>
      <c r="FY463"/>
      <c r="FZ463"/>
      <c r="GA463"/>
      <c r="GB463"/>
      <c r="GC463"/>
      <c r="GD463"/>
      <c r="GE463"/>
      <c r="GF463"/>
      <c r="GG463"/>
      <c r="GH463"/>
      <c r="GI463"/>
      <c r="GJ463"/>
      <c r="GK463"/>
      <c r="GL463"/>
      <c r="GM463"/>
      <c r="GN463"/>
      <c r="GO463"/>
      <c r="GP463"/>
      <c r="GQ463"/>
      <c r="GR463"/>
      <c r="GS463"/>
      <c r="GT463"/>
      <c r="GU463"/>
      <c r="GV463"/>
      <c r="GW463"/>
      <c r="GX463"/>
      <c r="GY463"/>
      <c r="GZ463"/>
      <c r="HA463"/>
      <c r="HB463"/>
      <c r="HC463"/>
      <c r="HD463"/>
      <c r="HE463"/>
      <c r="HF463"/>
      <c r="HG463"/>
      <c r="HH463"/>
      <c r="HI463"/>
      <c r="HJ463"/>
      <c r="HK463"/>
      <c r="HL463"/>
      <c r="HM463"/>
      <c r="HN463"/>
      <c r="HO463"/>
      <c r="HP463"/>
      <c r="HQ463"/>
      <c r="HR463"/>
      <c r="HS463"/>
      <c r="HT463"/>
      <c r="HU463"/>
      <c r="HV463"/>
      <c r="HW463"/>
      <c r="HX463"/>
      <c r="HY463"/>
      <c r="HZ463"/>
      <c r="IA463"/>
      <c r="IB463"/>
      <c r="IC463"/>
      <c r="ID463"/>
      <c r="IE463"/>
      <c r="IF463"/>
      <c r="IG463"/>
      <c r="IH463"/>
      <c r="II463"/>
      <c r="IJ463"/>
      <c r="IK463"/>
      <c r="IL463"/>
      <c r="IM463"/>
      <c r="IN463"/>
      <c r="IO463"/>
      <c r="IP463"/>
      <c r="IQ463"/>
      <c r="IR463"/>
      <c r="IS463"/>
      <c r="IT463"/>
      <c r="IU463"/>
      <c r="IV463"/>
      <c r="IW463"/>
      <c r="IX463"/>
      <c r="IY463"/>
      <c r="IZ463"/>
      <c r="JA463"/>
      <c r="JB463"/>
      <c r="JC463"/>
      <c r="JD463"/>
      <c r="JE463"/>
      <c r="JF463"/>
      <c r="JG463"/>
      <c r="JH463"/>
      <c r="JI463"/>
      <c r="JJ463"/>
      <c r="JK463"/>
      <c r="JL463"/>
      <c r="JM463"/>
      <c r="JN463"/>
      <c r="JO463"/>
      <c r="JP463"/>
      <c r="JQ463"/>
      <c r="JR463"/>
      <c r="JS463"/>
      <c r="JT463"/>
      <c r="JU463"/>
      <c r="JV463"/>
      <c r="JW463"/>
      <c r="JX463"/>
      <c r="JY463"/>
      <c r="JZ463"/>
      <c r="KA463"/>
      <c r="KB463"/>
      <c r="KC463"/>
      <c r="KD463"/>
      <c r="KE463"/>
      <c r="KF463"/>
      <c r="KG463"/>
      <c r="KH463"/>
      <c r="KI463"/>
      <c r="KJ463"/>
      <c r="KK463"/>
      <c r="KL463"/>
      <c r="KM463"/>
      <c r="KN463"/>
      <c r="KO463"/>
      <c r="KP463"/>
      <c r="KQ463"/>
      <c r="KR463"/>
      <c r="KS463"/>
      <c r="KT463"/>
      <c r="KU463"/>
      <c r="KV463"/>
      <c r="KW463"/>
      <c r="KX463"/>
      <c r="KY463"/>
      <c r="KZ463"/>
      <c r="LA463"/>
      <c r="LB463"/>
      <c r="LC463"/>
      <c r="LD463"/>
      <c r="LE463"/>
      <c r="LF463"/>
      <c r="LG463"/>
      <c r="LH463"/>
      <c r="LI463"/>
      <c r="LJ463"/>
      <c r="LK463"/>
      <c r="LL463"/>
      <c r="LM463"/>
      <c r="LN463"/>
      <c r="LO463"/>
      <c r="LP463"/>
      <c r="LQ463"/>
      <c r="LR463"/>
      <c r="LS463"/>
      <c r="LT463"/>
      <c r="LU463"/>
      <c r="LV463"/>
      <c r="LW463"/>
      <c r="LX463"/>
      <c r="LY463"/>
      <c r="LZ463"/>
      <c r="MA463"/>
      <c r="MB463"/>
      <c r="MC463"/>
      <c r="MD463"/>
      <c r="ME463"/>
      <c r="MF463"/>
      <c r="MG463"/>
      <c r="MH463"/>
      <c r="MI463"/>
      <c r="MJ463"/>
      <c r="MK463"/>
      <c r="ML463"/>
      <c r="MM463"/>
      <c r="MN463"/>
      <c r="MO463"/>
      <c r="MP463"/>
      <c r="MQ463"/>
      <c r="MR463"/>
      <c r="MS463"/>
      <c r="MT463"/>
      <c r="MU463"/>
      <c r="MV463"/>
      <c r="MW463"/>
      <c r="MX463"/>
      <c r="MY463"/>
      <c r="MZ463"/>
      <c r="NA463"/>
      <c r="NB463"/>
      <c r="NC463"/>
      <c r="ND463"/>
      <c r="NE463"/>
      <c r="NF463"/>
      <c r="NG463"/>
      <c r="NH463"/>
      <c r="NI463"/>
      <c r="NJ463"/>
      <c r="NK463"/>
      <c r="NL463"/>
      <c r="NM463"/>
      <c r="NN463"/>
      <c r="NO463"/>
      <c r="NP463"/>
      <c r="NQ463"/>
      <c r="NR463"/>
      <c r="NS463"/>
      <c r="NT463"/>
      <c r="NU463"/>
      <c r="NV463"/>
      <c r="NW463"/>
      <c r="NX463"/>
      <c r="NY463"/>
      <c r="NZ463"/>
      <c r="OA463"/>
      <c r="OB463"/>
      <c r="OC463"/>
      <c r="OD463"/>
      <c r="OE463"/>
      <c r="OF463"/>
      <c r="OG463"/>
      <c r="OH463"/>
      <c r="OI463"/>
      <c r="OJ463"/>
      <c r="OK463"/>
      <c r="OL463"/>
      <c r="OM463"/>
      <c r="ON463"/>
      <c r="OO463"/>
      <c r="OP463"/>
      <c r="OQ463"/>
      <c r="OR463"/>
      <c r="OS463"/>
      <c r="OT463"/>
      <c r="OU463"/>
      <c r="OV463"/>
      <c r="OW463"/>
      <c r="OX463"/>
      <c r="OY463"/>
      <c r="OZ463"/>
      <c r="PA463"/>
      <c r="PB463"/>
      <c r="PC463"/>
      <c r="PD463"/>
      <c r="PE463"/>
      <c r="PF463"/>
      <c r="PG463"/>
      <c r="PH463"/>
      <c r="PI463"/>
      <c r="PJ463"/>
      <c r="PK463"/>
      <c r="PL463"/>
      <c r="PM463"/>
      <c r="PN463"/>
      <c r="PO463"/>
      <c r="PP463"/>
      <c r="PQ463"/>
      <c r="PR463"/>
      <c r="PS463"/>
      <c r="PT463"/>
      <c r="PU463"/>
      <c r="PV463"/>
      <c r="PW463"/>
      <c r="PX463"/>
      <c r="PY463"/>
      <c r="PZ463"/>
      <c r="QA463"/>
      <c r="QB463"/>
      <c r="QC463"/>
      <c r="QD463"/>
      <c r="QE463"/>
      <c r="QF463"/>
      <c r="QG463"/>
      <c r="QH463"/>
      <c r="QI463"/>
      <c r="QJ463"/>
      <c r="QK463"/>
      <c r="QL463"/>
      <c r="QM463"/>
      <c r="QN463"/>
      <c r="QO463"/>
      <c r="QP463"/>
      <c r="QQ463"/>
      <c r="QR463"/>
      <c r="QS463"/>
      <c r="QT463"/>
      <c r="QU463"/>
      <c r="QV463"/>
      <c r="QW463"/>
      <c r="QX463"/>
      <c r="QY463"/>
      <c r="QZ463"/>
      <c r="RA463"/>
      <c r="RB463"/>
      <c r="RC463"/>
      <c r="RD463"/>
      <c r="RE463"/>
      <c r="RF463"/>
      <c r="RG463"/>
      <c r="RH463"/>
      <c r="RI463"/>
      <c r="RJ463"/>
      <c r="RK463"/>
      <c r="RL463"/>
      <c r="RM463"/>
      <c r="RN463"/>
      <c r="RO463"/>
      <c r="RP463"/>
      <c r="RQ463"/>
      <c r="RR463"/>
      <c r="RS463"/>
      <c r="RT463"/>
      <c r="RU463"/>
      <c r="RV463"/>
      <c r="RW463"/>
      <c r="RX463"/>
      <c r="RY463"/>
      <c r="RZ463"/>
      <c r="SA463"/>
      <c r="SB463"/>
      <c r="SC463"/>
      <c r="SD463"/>
      <c r="SE463"/>
      <c r="SF463"/>
      <c r="SG463"/>
      <c r="SH463"/>
      <c r="SI463"/>
      <c r="SJ463"/>
      <c r="SK463"/>
      <c r="SL463"/>
      <c r="SM463"/>
      <c r="SN463"/>
      <c r="SO463"/>
      <c r="SP463"/>
      <c r="SQ463"/>
      <c r="SR463"/>
      <c r="SS463"/>
      <c r="ST463"/>
      <c r="SU463"/>
      <c r="SV463"/>
      <c r="SW463"/>
      <c r="SX463"/>
      <c r="SY463"/>
      <c r="SZ463"/>
      <c r="TA463"/>
      <c r="TB463"/>
      <c r="TC463"/>
      <c r="TD463"/>
      <c r="TE463"/>
      <c r="TF463"/>
      <c r="TG463"/>
      <c r="TH463"/>
      <c r="TI463"/>
      <c r="TJ463"/>
      <c r="TK463"/>
      <c r="TL463"/>
      <c r="TM463"/>
      <c r="TN463"/>
      <c r="TO463"/>
      <c r="TP463"/>
      <c r="TQ463"/>
      <c r="TR463"/>
      <c r="TS463"/>
      <c r="TT463"/>
      <c r="TU463"/>
      <c r="TV463"/>
      <c r="TW463"/>
      <c r="TX463"/>
      <c r="TY463"/>
      <c r="TZ463"/>
      <c r="UA463"/>
      <c r="UB463"/>
      <c r="UC463"/>
      <c r="UD463"/>
      <c r="UE463"/>
      <c r="UF463"/>
      <c r="UG463"/>
      <c r="UH463"/>
      <c r="UI463"/>
      <c r="UJ463"/>
      <c r="UK463"/>
      <c r="UL463"/>
      <c r="UM463"/>
      <c r="UN463"/>
      <c r="UO463"/>
      <c r="UP463"/>
      <c r="UQ463"/>
      <c r="UR463"/>
      <c r="US463"/>
      <c r="UT463"/>
      <c r="UU463"/>
      <c r="UV463"/>
      <c r="UW463"/>
      <c r="UX463"/>
      <c r="UY463"/>
      <c r="UZ463"/>
      <c r="VA463"/>
      <c r="VB463"/>
      <c r="VC463"/>
      <c r="VD463"/>
      <c r="VE463"/>
      <c r="VF463"/>
      <c r="VG463"/>
      <c r="VH463"/>
      <c r="VI463"/>
      <c r="VJ463"/>
      <c r="VK463"/>
      <c r="VL463"/>
      <c r="VM463"/>
      <c r="VN463"/>
      <c r="VO463"/>
      <c r="VP463"/>
      <c r="VQ463"/>
      <c r="VR463"/>
      <c r="VS463"/>
      <c r="VT463"/>
      <c r="VU463"/>
      <c r="VV463"/>
      <c r="VW463"/>
      <c r="VX463"/>
      <c r="VY463"/>
      <c r="VZ463"/>
      <c r="WA463"/>
      <c r="WB463"/>
      <c r="WC463"/>
      <c r="WD463"/>
      <c r="WE463"/>
      <c r="WF463"/>
      <c r="WG463"/>
      <c r="WH463"/>
      <c r="WI463"/>
      <c r="WJ463"/>
      <c r="WK463"/>
      <c r="WL463"/>
      <c r="WM463"/>
      <c r="WN463"/>
      <c r="WO463"/>
      <c r="WP463"/>
      <c r="WQ463"/>
      <c r="WR463"/>
      <c r="WS463"/>
      <c r="WT463"/>
      <c r="WU463"/>
      <c r="WV463"/>
      <c r="WW463"/>
      <c r="WX463"/>
      <c r="WY463"/>
      <c r="WZ463"/>
      <c r="XA463"/>
      <c r="XB463"/>
      <c r="XC463"/>
      <c r="XD463"/>
      <c r="XE463"/>
      <c r="XF463"/>
      <c r="XG463"/>
      <c r="XH463"/>
      <c r="XI463"/>
      <c r="XJ463"/>
      <c r="XK463"/>
      <c r="XL463"/>
      <c r="XM463"/>
      <c r="XN463"/>
      <c r="XO463"/>
      <c r="XP463"/>
      <c r="XQ463"/>
      <c r="XR463"/>
      <c r="XS463"/>
      <c r="XT463"/>
      <c r="XU463"/>
      <c r="XV463"/>
      <c r="XW463"/>
      <c r="XX463"/>
      <c r="XY463"/>
      <c r="XZ463"/>
      <c r="YA463"/>
      <c r="YB463"/>
      <c r="YC463"/>
      <c r="YD463"/>
      <c r="YE463"/>
      <c r="YF463"/>
      <c r="YG463"/>
      <c r="YH463"/>
      <c r="YI463"/>
      <c r="YJ463"/>
      <c r="YK463"/>
      <c r="YL463"/>
      <c r="YM463"/>
      <c r="YN463"/>
      <c r="YO463"/>
      <c r="YP463"/>
      <c r="YQ463"/>
      <c r="YR463"/>
      <c r="YS463"/>
      <c r="YT463"/>
      <c r="YU463"/>
      <c r="YV463"/>
      <c r="YW463"/>
      <c r="YX463"/>
      <c r="YY463"/>
      <c r="YZ463"/>
      <c r="ZA463"/>
      <c r="ZB463"/>
      <c r="ZC463"/>
      <c r="ZD463"/>
      <c r="ZE463"/>
      <c r="ZF463"/>
      <c r="ZG463"/>
      <c r="ZH463"/>
      <c r="ZI463"/>
      <c r="ZJ463"/>
      <c r="ZK463"/>
      <c r="ZL463"/>
      <c r="ZM463"/>
      <c r="ZN463"/>
      <c r="ZO463"/>
      <c r="ZP463"/>
      <c r="ZQ463"/>
      <c r="ZR463"/>
      <c r="ZS463"/>
      <c r="ZT463"/>
      <c r="ZU463"/>
      <c r="ZV463"/>
      <c r="ZW463"/>
      <c r="ZX463"/>
      <c r="ZY463"/>
      <c r="ZZ463"/>
      <c r="AAA463"/>
      <c r="AAB463"/>
      <c r="AAC463"/>
      <c r="AAD463"/>
      <c r="AAE463"/>
      <c r="AAF463"/>
      <c r="AAG463"/>
      <c r="AAH463"/>
      <c r="AAI463"/>
      <c r="AAJ463"/>
      <c r="AAK463"/>
      <c r="AAL463"/>
      <c r="AAM463"/>
      <c r="AAN463"/>
      <c r="AAO463"/>
      <c r="AAP463"/>
      <c r="AAQ463"/>
      <c r="AAR463"/>
      <c r="AAS463"/>
      <c r="AAT463"/>
      <c r="AAU463"/>
      <c r="AAV463"/>
      <c r="AAW463"/>
      <c r="AAX463"/>
      <c r="AAY463"/>
      <c r="AAZ463"/>
      <c r="ABA463"/>
      <c r="ABB463"/>
      <c r="ABC463"/>
      <c r="ABD463"/>
      <c r="ABE463"/>
      <c r="ABF463"/>
      <c r="ABG463"/>
      <c r="ABH463"/>
      <c r="ABI463"/>
      <c r="ABJ463"/>
      <c r="ABK463"/>
      <c r="ABL463"/>
      <c r="ABM463"/>
      <c r="ABN463"/>
      <c r="ABO463"/>
      <c r="ABP463"/>
      <c r="ABQ463"/>
      <c r="ABR463"/>
      <c r="ABS463"/>
      <c r="ABT463"/>
      <c r="ABU463"/>
      <c r="ABV463"/>
      <c r="ABW463"/>
      <c r="ABX463"/>
      <c r="ABY463"/>
      <c r="ABZ463"/>
      <c r="ACA463"/>
      <c r="ACB463"/>
      <c r="ACC463"/>
      <c r="ACD463"/>
      <c r="ACE463"/>
      <c r="ACF463"/>
      <c r="ACG463"/>
      <c r="ACH463"/>
      <c r="ACI463"/>
      <c r="ACJ463"/>
      <c r="ACK463"/>
      <c r="ACL463"/>
      <c r="ACM463"/>
      <c r="ACN463"/>
      <c r="ACO463"/>
      <c r="ACP463"/>
      <c r="ACQ463"/>
      <c r="ACR463"/>
      <c r="ACS463"/>
      <c r="ACT463"/>
      <c r="ACU463"/>
      <c r="ACV463"/>
      <c r="ACW463"/>
      <c r="ACX463"/>
      <c r="ACY463"/>
      <c r="ACZ463"/>
      <c r="ADA463"/>
      <c r="ADB463"/>
      <c r="ADC463"/>
      <c r="ADD463"/>
      <c r="ADE463"/>
      <c r="ADF463"/>
      <c r="ADG463"/>
      <c r="ADH463"/>
      <c r="ADI463"/>
      <c r="ADJ463"/>
      <c r="ADK463"/>
      <c r="ADL463"/>
      <c r="ADM463"/>
      <c r="ADN463"/>
      <c r="ADO463"/>
      <c r="ADP463"/>
      <c r="ADQ463"/>
      <c r="ADR463"/>
      <c r="ADS463"/>
      <c r="ADT463"/>
      <c r="ADU463"/>
      <c r="ADV463"/>
      <c r="ADW463"/>
      <c r="ADX463"/>
      <c r="ADY463"/>
      <c r="ADZ463"/>
      <c r="AEA463"/>
      <c r="AEB463"/>
      <c r="AEC463"/>
      <c r="AED463"/>
      <c r="AEE463"/>
      <c r="AEF463"/>
      <c r="AEG463"/>
      <c r="AEH463"/>
      <c r="AEI463"/>
      <c r="AEJ463"/>
      <c r="AEK463"/>
      <c r="AEL463"/>
      <c r="AEM463"/>
      <c r="AEN463"/>
      <c r="AEO463"/>
      <c r="AEP463"/>
      <c r="AEQ463"/>
      <c r="AER463"/>
      <c r="AES463"/>
      <c r="AET463"/>
      <c r="AEU463"/>
      <c r="AEV463"/>
      <c r="AEW463"/>
      <c r="AEX463"/>
      <c r="AEY463"/>
      <c r="AEZ463"/>
      <c r="AFA463"/>
      <c r="AFB463"/>
      <c r="AFC463"/>
      <c r="AFD463"/>
      <c r="AFE463"/>
      <c r="AFF463"/>
      <c r="AFG463"/>
      <c r="AFH463"/>
      <c r="AFI463"/>
      <c r="AFJ463"/>
      <c r="AFK463"/>
      <c r="AFL463"/>
      <c r="AFM463"/>
      <c r="AFN463"/>
      <c r="AFO463"/>
      <c r="AFP463"/>
      <c r="AFQ463"/>
      <c r="AFR463"/>
      <c r="AFS463"/>
      <c r="AFT463"/>
      <c r="AFU463"/>
      <c r="AFV463"/>
      <c r="AFW463"/>
      <c r="AFX463"/>
      <c r="AFY463"/>
      <c r="AFZ463"/>
      <c r="AGA463"/>
      <c r="AGB463"/>
      <c r="AGC463"/>
      <c r="AGD463"/>
      <c r="AGE463"/>
      <c r="AGF463"/>
      <c r="AGG463"/>
      <c r="AGH463"/>
      <c r="AGI463"/>
      <c r="AGJ463"/>
      <c r="AGK463"/>
      <c r="AGL463"/>
      <c r="AGM463"/>
      <c r="AGN463"/>
      <c r="AGO463"/>
      <c r="AGP463"/>
      <c r="AGQ463"/>
      <c r="AGR463"/>
      <c r="AGS463"/>
      <c r="AGT463"/>
      <c r="AGU463"/>
      <c r="AGV463"/>
      <c r="AGW463"/>
      <c r="AGX463"/>
      <c r="AGY463"/>
      <c r="AGZ463"/>
      <c r="AHA463"/>
      <c r="AHB463"/>
      <c r="AHC463"/>
      <c r="AHD463"/>
      <c r="AHE463"/>
      <c r="AHF463"/>
      <c r="AHG463"/>
      <c r="AHH463"/>
      <c r="AHI463"/>
      <c r="AHJ463"/>
      <c r="AHK463"/>
      <c r="AHL463"/>
      <c r="AHM463"/>
      <c r="AHN463"/>
      <c r="AHO463"/>
      <c r="AHP463"/>
      <c r="AHQ463"/>
      <c r="AHR463"/>
      <c r="AHS463"/>
      <c r="AHT463"/>
      <c r="AHU463"/>
      <c r="AHV463"/>
      <c r="AHW463"/>
      <c r="AHX463"/>
      <c r="AHY463"/>
      <c r="AHZ463"/>
      <c r="AIA463"/>
      <c r="AIB463"/>
      <c r="AIC463"/>
      <c r="AID463"/>
      <c r="AIE463"/>
      <c r="AIF463"/>
      <c r="AIG463"/>
      <c r="AIH463"/>
      <c r="AII463"/>
      <c r="AIJ463"/>
      <c r="AIK463"/>
      <c r="AIL463"/>
      <c r="AIM463"/>
      <c r="AIN463"/>
      <c r="AIO463"/>
      <c r="AIP463"/>
      <c r="AIQ463"/>
      <c r="AIR463"/>
      <c r="AIS463"/>
      <c r="AIT463"/>
      <c r="AIU463"/>
      <c r="AIV463"/>
      <c r="AIW463"/>
      <c r="AIX463"/>
      <c r="AIY463"/>
      <c r="AIZ463"/>
      <c r="AJA463"/>
      <c r="AJB463"/>
      <c r="AJC463"/>
      <c r="AJD463"/>
      <c r="AJE463"/>
      <c r="AJF463"/>
      <c r="AJG463"/>
      <c r="AJH463"/>
      <c r="AJI463"/>
      <c r="AJJ463"/>
      <c r="AJK463"/>
      <c r="AJL463"/>
      <c r="AJM463"/>
      <c r="AJN463"/>
      <c r="AJO463"/>
      <c r="AJP463"/>
      <c r="AJQ463"/>
      <c r="AJR463"/>
      <c r="AJS463"/>
      <c r="AJT463"/>
      <c r="AJU463"/>
      <c r="AJV463"/>
      <c r="AJW463"/>
      <c r="AJX463"/>
      <c r="AJY463"/>
      <c r="AJZ463"/>
      <c r="AKA463"/>
      <c r="AKB463"/>
      <c r="AKC463"/>
      <c r="AKD463"/>
      <c r="AKE463"/>
      <c r="AKF463"/>
      <c r="AKG463"/>
      <c r="AKH463"/>
      <c r="AKI463"/>
      <c r="AKJ463"/>
      <c r="AKK463"/>
      <c r="AKL463"/>
      <c r="AKM463"/>
      <c r="AKN463"/>
      <c r="AKO463"/>
      <c r="AKP463"/>
      <c r="AKQ463"/>
      <c r="AKR463"/>
      <c r="AKS463"/>
      <c r="AKT463"/>
      <c r="AKU463"/>
      <c r="AKV463"/>
      <c r="AKW463"/>
      <c r="AKX463"/>
      <c r="AKY463"/>
      <c r="AKZ463"/>
      <c r="ALA463"/>
      <c r="ALB463"/>
      <c r="ALC463"/>
      <c r="ALD463"/>
      <c r="ALE463"/>
      <c r="ALF463"/>
      <c r="ALG463"/>
      <c r="ALH463"/>
      <c r="ALI463"/>
      <c r="ALJ463"/>
      <c r="ALK463"/>
      <c r="ALL463"/>
      <c r="ALM463"/>
      <c r="ALN463"/>
      <c r="ALO463"/>
      <c r="ALP463"/>
      <c r="ALQ463"/>
      <c r="ALR463"/>
      <c r="ALS463"/>
      <c r="ALT463"/>
    </row>
    <row r="464" spans="1:1008" ht="15">
      <c r="A464" s="25" t="s">
        <v>3166</v>
      </c>
      <c r="B464" s="26" t="s">
        <v>3043</v>
      </c>
      <c r="C464" s="25" t="str">
        <f t="shared" si="7"/>
        <v>c57bl6n</v>
      </c>
      <c r="D464" s="27" t="s">
        <v>13</v>
      </c>
      <c r="E464" s="25" t="s">
        <v>3167</v>
      </c>
      <c r="F464" s="29" t="s">
        <v>3168</v>
      </c>
      <c r="G464" s="25">
        <v>500</v>
      </c>
      <c r="H464" s="28"/>
      <c r="I464"/>
      <c r="J464"/>
      <c r="K464"/>
      <c r="L464"/>
      <c r="M464"/>
      <c r="N464"/>
      <c r="O464"/>
      <c r="P464"/>
      <c r="Q464"/>
      <c r="R464"/>
      <c r="S464"/>
      <c r="T464"/>
      <c r="U464"/>
      <c r="V464"/>
      <c r="W464"/>
      <c r="X464"/>
      <c r="Y464"/>
      <c r="Z464"/>
      <c r="AA464"/>
      <c r="AB464"/>
      <c r="AC464"/>
      <c r="AD464"/>
      <c r="AE464"/>
      <c r="AF464"/>
      <c r="AG464"/>
      <c r="AH464"/>
      <c r="AI464"/>
      <c r="AJ464"/>
      <c r="AK464"/>
      <c r="AL464"/>
      <c r="AM464"/>
      <c r="AN464"/>
      <c r="AO464"/>
      <c r="AP464"/>
      <c r="AQ464"/>
      <c r="AR464"/>
      <c r="AS464"/>
      <c r="AT464"/>
      <c r="AU464"/>
      <c r="AV464"/>
      <c r="AW464"/>
      <c r="AX464"/>
      <c r="AY464"/>
      <c r="AZ464"/>
      <c r="BA464"/>
      <c r="BB464"/>
      <c r="BC464"/>
      <c r="BD464"/>
      <c r="BE464"/>
      <c r="BF464"/>
      <c r="BG464"/>
      <c r="BH464"/>
      <c r="BI464"/>
      <c r="BJ464"/>
      <c r="BK464"/>
      <c r="BL464"/>
      <c r="BM464"/>
      <c r="BN464"/>
      <c r="BO464"/>
      <c r="BP464"/>
      <c r="BQ464"/>
      <c r="BR464"/>
      <c r="BS464"/>
      <c r="BT464"/>
      <c r="BU464"/>
      <c r="BV464"/>
      <c r="BW464"/>
      <c r="BX464"/>
      <c r="BY464"/>
      <c r="BZ464"/>
      <c r="CA464"/>
      <c r="CB464"/>
      <c r="CC464"/>
      <c r="CD464"/>
      <c r="CE464"/>
      <c r="CF464"/>
      <c r="CG464"/>
      <c r="CH464"/>
      <c r="CI464"/>
      <c r="CJ464"/>
      <c r="CK464"/>
      <c r="CL464"/>
      <c r="CM464"/>
      <c r="CN464"/>
      <c r="CO464"/>
      <c r="CP464"/>
      <c r="CQ464"/>
      <c r="CR464"/>
      <c r="CS464"/>
      <c r="CT464"/>
      <c r="CU464"/>
      <c r="CV464"/>
      <c r="CW464"/>
      <c r="CX464"/>
      <c r="CY464"/>
      <c r="CZ464"/>
      <c r="DA464"/>
      <c r="DB464"/>
      <c r="DC464"/>
      <c r="DD464"/>
      <c r="DE464"/>
      <c r="DF464"/>
      <c r="DG464"/>
      <c r="DH464"/>
      <c r="DI464"/>
      <c r="DJ464"/>
      <c r="DK464"/>
      <c r="DL464"/>
      <c r="DM464"/>
      <c r="DN464"/>
      <c r="DO464"/>
      <c r="DP464"/>
      <c r="DQ464"/>
      <c r="DR464"/>
      <c r="DS464"/>
      <c r="DT464"/>
      <c r="DU464"/>
      <c r="DV464"/>
      <c r="DW464"/>
      <c r="DX464"/>
      <c r="DY464"/>
      <c r="DZ464"/>
      <c r="EA464"/>
      <c r="EB464"/>
      <c r="EC464"/>
      <c r="ED464"/>
      <c r="EE464"/>
      <c r="EF464"/>
      <c r="EG464"/>
      <c r="EH464"/>
      <c r="EI464"/>
      <c r="EJ464"/>
      <c r="EK464"/>
      <c r="EL464"/>
      <c r="EM464"/>
      <c r="EN464"/>
      <c r="EO464"/>
      <c r="EP464"/>
      <c r="EQ464"/>
      <c r="ER464"/>
      <c r="ES464"/>
      <c r="ET464"/>
      <c r="EU464"/>
      <c r="EV464"/>
      <c r="EW464"/>
      <c r="EX464"/>
      <c r="EY464"/>
      <c r="EZ464"/>
      <c r="FA464"/>
      <c r="FB464"/>
      <c r="FC464"/>
      <c r="FD464"/>
      <c r="FE464"/>
      <c r="FF464"/>
      <c r="FG464"/>
      <c r="FH464"/>
      <c r="FI464"/>
      <c r="FJ464"/>
      <c r="FK464"/>
      <c r="FL464"/>
      <c r="FM464"/>
      <c r="FN464"/>
      <c r="FO464"/>
      <c r="FP464"/>
      <c r="FQ464"/>
      <c r="FR464"/>
      <c r="FS464"/>
      <c r="FT464"/>
      <c r="FU464"/>
      <c r="FV464"/>
      <c r="FW464"/>
      <c r="FX464"/>
      <c r="FY464"/>
      <c r="FZ464"/>
      <c r="GA464"/>
      <c r="GB464"/>
      <c r="GC464"/>
      <c r="GD464"/>
      <c r="GE464"/>
      <c r="GF464"/>
      <c r="GG464"/>
      <c r="GH464"/>
      <c r="GI464"/>
      <c r="GJ464"/>
      <c r="GK464"/>
      <c r="GL464"/>
      <c r="GM464"/>
      <c r="GN464"/>
      <c r="GO464"/>
      <c r="GP464"/>
      <c r="GQ464"/>
      <c r="GR464"/>
      <c r="GS464"/>
      <c r="GT464"/>
      <c r="GU464"/>
      <c r="GV464"/>
      <c r="GW464"/>
      <c r="GX464"/>
      <c r="GY464"/>
      <c r="GZ464"/>
      <c r="HA464"/>
      <c r="HB464"/>
      <c r="HC464"/>
      <c r="HD464"/>
      <c r="HE464"/>
      <c r="HF464"/>
      <c r="HG464"/>
      <c r="HH464"/>
      <c r="HI464"/>
      <c r="HJ464"/>
      <c r="HK464"/>
      <c r="HL464"/>
      <c r="HM464"/>
      <c r="HN464"/>
      <c r="HO464"/>
      <c r="HP464"/>
      <c r="HQ464"/>
      <c r="HR464"/>
      <c r="HS464"/>
      <c r="HT464"/>
      <c r="HU464"/>
      <c r="HV464"/>
      <c r="HW464"/>
      <c r="HX464"/>
      <c r="HY464"/>
      <c r="HZ464"/>
      <c r="IA464"/>
      <c r="IB464"/>
      <c r="IC464"/>
      <c r="ID464"/>
      <c r="IE464"/>
      <c r="IF464"/>
      <c r="IG464"/>
      <c r="IH464"/>
      <c r="II464"/>
      <c r="IJ464"/>
      <c r="IK464"/>
      <c r="IL464"/>
      <c r="IM464"/>
      <c r="IN464"/>
      <c r="IO464"/>
      <c r="IP464"/>
      <c r="IQ464"/>
      <c r="IR464"/>
      <c r="IS464"/>
      <c r="IT464"/>
      <c r="IU464"/>
      <c r="IV464"/>
      <c r="IW464"/>
      <c r="IX464"/>
      <c r="IY464"/>
      <c r="IZ464"/>
      <c r="JA464"/>
      <c r="JB464"/>
      <c r="JC464"/>
      <c r="JD464"/>
      <c r="JE464"/>
      <c r="JF464"/>
      <c r="JG464"/>
      <c r="JH464"/>
      <c r="JI464"/>
      <c r="JJ464"/>
      <c r="JK464"/>
      <c r="JL464"/>
      <c r="JM464"/>
      <c r="JN464"/>
      <c r="JO464"/>
      <c r="JP464"/>
      <c r="JQ464"/>
      <c r="JR464"/>
      <c r="JS464"/>
      <c r="JT464"/>
      <c r="JU464"/>
      <c r="JV464"/>
      <c r="JW464"/>
      <c r="JX464"/>
      <c r="JY464"/>
      <c r="JZ464"/>
      <c r="KA464"/>
      <c r="KB464"/>
      <c r="KC464"/>
      <c r="KD464"/>
      <c r="KE464"/>
      <c r="KF464"/>
      <c r="KG464"/>
      <c r="KH464"/>
      <c r="KI464"/>
      <c r="KJ464"/>
      <c r="KK464"/>
      <c r="KL464"/>
      <c r="KM464"/>
      <c r="KN464"/>
      <c r="KO464"/>
      <c r="KP464"/>
      <c r="KQ464"/>
      <c r="KR464"/>
      <c r="KS464"/>
      <c r="KT464"/>
      <c r="KU464"/>
      <c r="KV464"/>
      <c r="KW464"/>
      <c r="KX464"/>
      <c r="KY464"/>
      <c r="KZ464"/>
      <c r="LA464"/>
      <c r="LB464"/>
      <c r="LC464"/>
      <c r="LD464"/>
      <c r="LE464"/>
      <c r="LF464"/>
      <c r="LG464"/>
      <c r="LH464"/>
      <c r="LI464"/>
      <c r="LJ464"/>
      <c r="LK464"/>
      <c r="LL464"/>
      <c r="LM464"/>
      <c r="LN464"/>
      <c r="LO464"/>
      <c r="LP464"/>
      <c r="LQ464"/>
      <c r="LR464"/>
      <c r="LS464"/>
      <c r="LT464"/>
      <c r="LU464"/>
      <c r="LV464"/>
      <c r="LW464"/>
      <c r="LX464"/>
      <c r="LY464"/>
      <c r="LZ464"/>
      <c r="MA464"/>
      <c r="MB464"/>
      <c r="MC464"/>
      <c r="MD464"/>
      <c r="ME464"/>
      <c r="MF464"/>
      <c r="MG464"/>
      <c r="MH464"/>
      <c r="MI464"/>
      <c r="MJ464"/>
      <c r="MK464"/>
      <c r="ML464"/>
      <c r="MM464"/>
      <c r="MN464"/>
      <c r="MO464"/>
      <c r="MP464"/>
      <c r="MQ464"/>
      <c r="MR464"/>
      <c r="MS464"/>
      <c r="MT464"/>
      <c r="MU464"/>
      <c r="MV464"/>
      <c r="MW464"/>
      <c r="MX464"/>
      <c r="MY464"/>
      <c r="MZ464"/>
      <c r="NA464"/>
      <c r="NB464"/>
      <c r="NC464"/>
      <c r="ND464"/>
      <c r="NE464"/>
      <c r="NF464"/>
      <c r="NG464"/>
      <c r="NH464"/>
      <c r="NI464"/>
      <c r="NJ464"/>
      <c r="NK464"/>
      <c r="NL464"/>
      <c r="NM464"/>
      <c r="NN464"/>
      <c r="NO464"/>
      <c r="NP464"/>
      <c r="NQ464"/>
      <c r="NR464"/>
      <c r="NS464"/>
      <c r="NT464"/>
      <c r="NU464"/>
      <c r="NV464"/>
      <c r="NW464"/>
      <c r="NX464"/>
      <c r="NY464"/>
      <c r="NZ464"/>
      <c r="OA464"/>
      <c r="OB464"/>
      <c r="OC464"/>
      <c r="OD464"/>
      <c r="OE464"/>
      <c r="OF464"/>
      <c r="OG464"/>
      <c r="OH464"/>
      <c r="OI464"/>
      <c r="OJ464"/>
      <c r="OK464"/>
      <c r="OL464"/>
      <c r="OM464"/>
      <c r="ON464"/>
      <c r="OO464"/>
      <c r="OP464"/>
      <c r="OQ464"/>
      <c r="OR464"/>
      <c r="OS464"/>
      <c r="OT464"/>
      <c r="OU464"/>
      <c r="OV464"/>
      <c r="OW464"/>
      <c r="OX464"/>
      <c r="OY464"/>
      <c r="OZ464"/>
      <c r="PA464"/>
      <c r="PB464"/>
      <c r="PC464"/>
      <c r="PD464"/>
      <c r="PE464"/>
      <c r="PF464"/>
      <c r="PG464"/>
      <c r="PH464"/>
      <c r="PI464"/>
      <c r="PJ464"/>
      <c r="PK464"/>
      <c r="PL464"/>
      <c r="PM464"/>
      <c r="PN464"/>
      <c r="PO464"/>
      <c r="PP464"/>
      <c r="PQ464"/>
      <c r="PR464"/>
      <c r="PS464"/>
      <c r="PT464"/>
      <c r="PU464"/>
      <c r="PV464"/>
      <c r="PW464"/>
      <c r="PX464"/>
      <c r="PY464"/>
      <c r="PZ464"/>
      <c r="QA464"/>
      <c r="QB464"/>
      <c r="QC464"/>
      <c r="QD464"/>
      <c r="QE464"/>
      <c r="QF464"/>
      <c r="QG464"/>
      <c r="QH464"/>
      <c r="QI464"/>
      <c r="QJ464"/>
      <c r="QK464"/>
      <c r="QL464"/>
      <c r="QM464"/>
      <c r="QN464"/>
      <c r="QO464"/>
      <c r="QP464"/>
      <c r="QQ464"/>
      <c r="QR464"/>
      <c r="QS464"/>
      <c r="QT464"/>
      <c r="QU464"/>
      <c r="QV464"/>
      <c r="QW464"/>
      <c r="QX464"/>
      <c r="QY464"/>
      <c r="QZ464"/>
      <c r="RA464"/>
      <c r="RB464"/>
      <c r="RC464"/>
      <c r="RD464"/>
      <c r="RE464"/>
      <c r="RF464"/>
      <c r="RG464"/>
      <c r="RH464"/>
      <c r="RI464"/>
      <c r="RJ464"/>
      <c r="RK464"/>
      <c r="RL464"/>
      <c r="RM464"/>
      <c r="RN464"/>
      <c r="RO464"/>
      <c r="RP464"/>
      <c r="RQ464"/>
      <c r="RR464"/>
      <c r="RS464"/>
      <c r="RT464"/>
      <c r="RU464"/>
      <c r="RV464"/>
      <c r="RW464"/>
      <c r="RX464"/>
      <c r="RY464"/>
      <c r="RZ464"/>
      <c r="SA464"/>
      <c r="SB464"/>
      <c r="SC464"/>
      <c r="SD464"/>
      <c r="SE464"/>
      <c r="SF464"/>
      <c r="SG464"/>
      <c r="SH464"/>
      <c r="SI464"/>
      <c r="SJ464"/>
      <c r="SK464"/>
      <c r="SL464"/>
      <c r="SM464"/>
      <c r="SN464"/>
      <c r="SO464"/>
      <c r="SP464"/>
      <c r="SQ464"/>
      <c r="SR464"/>
      <c r="SS464"/>
      <c r="ST464"/>
      <c r="SU464"/>
      <c r="SV464"/>
      <c r="SW464"/>
      <c r="SX464"/>
      <c r="SY464"/>
      <c r="SZ464"/>
      <c r="TA464"/>
      <c r="TB464"/>
      <c r="TC464"/>
      <c r="TD464"/>
      <c r="TE464"/>
      <c r="TF464"/>
      <c r="TG464"/>
      <c r="TH464"/>
      <c r="TI464"/>
      <c r="TJ464"/>
      <c r="TK464"/>
      <c r="TL464"/>
      <c r="TM464"/>
      <c r="TN464"/>
      <c r="TO464"/>
      <c r="TP464"/>
      <c r="TQ464"/>
      <c r="TR464"/>
      <c r="TS464"/>
      <c r="TT464"/>
      <c r="TU464"/>
      <c r="TV464"/>
      <c r="TW464"/>
      <c r="TX464"/>
      <c r="TY464"/>
      <c r="TZ464"/>
      <c r="UA464"/>
      <c r="UB464"/>
      <c r="UC464"/>
      <c r="UD464"/>
      <c r="UE464"/>
      <c r="UF464"/>
      <c r="UG464"/>
      <c r="UH464"/>
      <c r="UI464"/>
      <c r="UJ464"/>
      <c r="UK464"/>
      <c r="UL464"/>
      <c r="UM464"/>
      <c r="UN464"/>
      <c r="UO464"/>
      <c r="UP464"/>
      <c r="UQ464"/>
      <c r="UR464"/>
      <c r="US464"/>
      <c r="UT464"/>
      <c r="UU464"/>
      <c r="UV464"/>
      <c r="UW464"/>
      <c r="UX464"/>
      <c r="UY464"/>
      <c r="UZ464"/>
      <c r="VA464"/>
      <c r="VB464"/>
      <c r="VC464"/>
      <c r="VD464"/>
      <c r="VE464"/>
      <c r="VF464"/>
      <c r="VG464"/>
      <c r="VH464"/>
      <c r="VI464"/>
      <c r="VJ464"/>
      <c r="VK464"/>
      <c r="VL464"/>
      <c r="VM464"/>
      <c r="VN464"/>
      <c r="VO464"/>
      <c r="VP464"/>
      <c r="VQ464"/>
      <c r="VR464"/>
      <c r="VS464"/>
      <c r="VT464"/>
      <c r="VU464"/>
      <c r="VV464"/>
      <c r="VW464"/>
      <c r="VX464"/>
      <c r="VY464"/>
      <c r="VZ464"/>
      <c r="WA464"/>
      <c r="WB464"/>
      <c r="WC464"/>
      <c r="WD464"/>
      <c r="WE464"/>
      <c r="WF464"/>
      <c r="WG464"/>
      <c r="WH464"/>
      <c r="WI464"/>
      <c r="WJ464"/>
      <c r="WK464"/>
      <c r="WL464"/>
      <c r="WM464"/>
      <c r="WN464"/>
      <c r="WO464"/>
      <c r="WP464"/>
      <c r="WQ464"/>
      <c r="WR464"/>
      <c r="WS464"/>
      <c r="WT464"/>
      <c r="WU464"/>
      <c r="WV464"/>
      <c r="WW464"/>
      <c r="WX464"/>
      <c r="WY464"/>
      <c r="WZ464"/>
      <c r="XA464"/>
      <c r="XB464"/>
      <c r="XC464"/>
      <c r="XD464"/>
      <c r="XE464"/>
      <c r="XF464"/>
      <c r="XG464"/>
      <c r="XH464"/>
      <c r="XI464"/>
      <c r="XJ464"/>
      <c r="XK464"/>
      <c r="XL464"/>
      <c r="XM464"/>
      <c r="XN464"/>
      <c r="XO464"/>
      <c r="XP464"/>
      <c r="XQ464"/>
      <c r="XR464"/>
      <c r="XS464"/>
      <c r="XT464"/>
      <c r="XU464"/>
      <c r="XV464"/>
      <c r="XW464"/>
      <c r="XX464"/>
      <c r="XY464"/>
      <c r="XZ464"/>
      <c r="YA464"/>
      <c r="YB464"/>
      <c r="YC464"/>
      <c r="YD464"/>
      <c r="YE464"/>
      <c r="YF464"/>
      <c r="YG464"/>
      <c r="YH464"/>
      <c r="YI464"/>
      <c r="YJ464"/>
      <c r="YK464"/>
      <c r="YL464"/>
      <c r="YM464"/>
      <c r="YN464"/>
      <c r="YO464"/>
      <c r="YP464"/>
      <c r="YQ464"/>
      <c r="YR464"/>
      <c r="YS464"/>
      <c r="YT464"/>
      <c r="YU464"/>
      <c r="YV464"/>
      <c r="YW464"/>
      <c r="YX464"/>
      <c r="YY464"/>
      <c r="YZ464"/>
      <c r="ZA464"/>
      <c r="ZB464"/>
      <c r="ZC464"/>
      <c r="ZD464"/>
      <c r="ZE464"/>
      <c r="ZF464"/>
      <c r="ZG464"/>
      <c r="ZH464"/>
      <c r="ZI464"/>
      <c r="ZJ464"/>
      <c r="ZK464"/>
      <c r="ZL464"/>
      <c r="ZM464"/>
      <c r="ZN464"/>
      <c r="ZO464"/>
      <c r="ZP464"/>
      <c r="ZQ464"/>
      <c r="ZR464"/>
      <c r="ZS464"/>
      <c r="ZT464"/>
      <c r="ZU464"/>
      <c r="ZV464"/>
      <c r="ZW464"/>
      <c r="ZX464"/>
      <c r="ZY464"/>
      <c r="ZZ464"/>
      <c r="AAA464"/>
      <c r="AAB464"/>
      <c r="AAC464"/>
      <c r="AAD464"/>
      <c r="AAE464"/>
      <c r="AAF464"/>
      <c r="AAG464"/>
      <c r="AAH464"/>
      <c r="AAI464"/>
      <c r="AAJ464"/>
      <c r="AAK464"/>
      <c r="AAL464"/>
      <c r="AAM464"/>
      <c r="AAN464"/>
      <c r="AAO464"/>
      <c r="AAP464"/>
      <c r="AAQ464"/>
      <c r="AAR464"/>
      <c r="AAS464"/>
      <c r="AAT464"/>
      <c r="AAU464"/>
      <c r="AAV464"/>
      <c r="AAW464"/>
      <c r="AAX464"/>
      <c r="AAY464"/>
      <c r="AAZ464"/>
      <c r="ABA464"/>
      <c r="ABB464"/>
      <c r="ABC464"/>
      <c r="ABD464"/>
      <c r="ABE464"/>
      <c r="ABF464"/>
      <c r="ABG464"/>
      <c r="ABH464"/>
      <c r="ABI464"/>
      <c r="ABJ464"/>
      <c r="ABK464"/>
      <c r="ABL464"/>
      <c r="ABM464"/>
      <c r="ABN464"/>
      <c r="ABO464"/>
      <c r="ABP464"/>
      <c r="ABQ464"/>
      <c r="ABR464"/>
      <c r="ABS464"/>
      <c r="ABT464"/>
      <c r="ABU464"/>
      <c r="ABV464"/>
      <c r="ABW464"/>
      <c r="ABX464"/>
      <c r="ABY464"/>
      <c r="ABZ464"/>
      <c r="ACA464"/>
      <c r="ACB464"/>
      <c r="ACC464"/>
      <c r="ACD464"/>
      <c r="ACE464"/>
      <c r="ACF464"/>
      <c r="ACG464"/>
      <c r="ACH464"/>
      <c r="ACI464"/>
      <c r="ACJ464"/>
      <c r="ACK464"/>
      <c r="ACL464"/>
      <c r="ACM464"/>
      <c r="ACN464"/>
      <c r="ACO464"/>
      <c r="ACP464"/>
      <c r="ACQ464"/>
      <c r="ACR464"/>
      <c r="ACS464"/>
      <c r="ACT464"/>
      <c r="ACU464"/>
      <c r="ACV464"/>
      <c r="ACW464"/>
      <c r="ACX464"/>
      <c r="ACY464"/>
      <c r="ACZ464"/>
      <c r="ADA464"/>
      <c r="ADB464"/>
      <c r="ADC464"/>
      <c r="ADD464"/>
      <c r="ADE464"/>
      <c r="ADF464"/>
      <c r="ADG464"/>
      <c r="ADH464"/>
      <c r="ADI464"/>
      <c r="ADJ464"/>
      <c r="ADK464"/>
      <c r="ADL464"/>
      <c r="ADM464"/>
      <c r="ADN464"/>
      <c r="ADO464"/>
      <c r="ADP464"/>
      <c r="ADQ464"/>
      <c r="ADR464"/>
      <c r="ADS464"/>
      <c r="ADT464"/>
      <c r="ADU464"/>
      <c r="ADV464"/>
      <c r="ADW464"/>
      <c r="ADX464"/>
      <c r="ADY464"/>
      <c r="ADZ464"/>
      <c r="AEA464"/>
      <c r="AEB464"/>
      <c r="AEC464"/>
      <c r="AED464"/>
      <c r="AEE464"/>
      <c r="AEF464"/>
      <c r="AEG464"/>
      <c r="AEH464"/>
      <c r="AEI464"/>
      <c r="AEJ464"/>
      <c r="AEK464"/>
      <c r="AEL464"/>
      <c r="AEM464"/>
      <c r="AEN464"/>
      <c r="AEO464"/>
      <c r="AEP464"/>
      <c r="AEQ464"/>
      <c r="AER464"/>
      <c r="AES464"/>
      <c r="AET464"/>
      <c r="AEU464"/>
      <c r="AEV464"/>
      <c r="AEW464"/>
      <c r="AEX464"/>
      <c r="AEY464"/>
      <c r="AEZ464"/>
      <c r="AFA464"/>
      <c r="AFB464"/>
      <c r="AFC464"/>
      <c r="AFD464"/>
      <c r="AFE464"/>
      <c r="AFF464"/>
      <c r="AFG464"/>
      <c r="AFH464"/>
      <c r="AFI464"/>
      <c r="AFJ464"/>
      <c r="AFK464"/>
      <c r="AFL464"/>
      <c r="AFM464"/>
      <c r="AFN464"/>
      <c r="AFO464"/>
      <c r="AFP464"/>
      <c r="AFQ464"/>
      <c r="AFR464"/>
      <c r="AFS464"/>
      <c r="AFT464"/>
      <c r="AFU464"/>
      <c r="AFV464"/>
      <c r="AFW464"/>
      <c r="AFX464"/>
      <c r="AFY464"/>
      <c r="AFZ464"/>
      <c r="AGA464"/>
      <c r="AGB464"/>
      <c r="AGC464"/>
      <c r="AGD464"/>
      <c r="AGE464"/>
      <c r="AGF464"/>
      <c r="AGG464"/>
      <c r="AGH464"/>
      <c r="AGI464"/>
      <c r="AGJ464"/>
      <c r="AGK464"/>
      <c r="AGL464"/>
      <c r="AGM464"/>
      <c r="AGN464"/>
      <c r="AGO464"/>
      <c r="AGP464"/>
      <c r="AGQ464"/>
      <c r="AGR464"/>
      <c r="AGS464"/>
      <c r="AGT464"/>
      <c r="AGU464"/>
      <c r="AGV464"/>
      <c r="AGW464"/>
      <c r="AGX464"/>
      <c r="AGY464"/>
      <c r="AGZ464"/>
      <c r="AHA464"/>
      <c r="AHB464"/>
      <c r="AHC464"/>
      <c r="AHD464"/>
      <c r="AHE464"/>
      <c r="AHF464"/>
      <c r="AHG464"/>
      <c r="AHH464"/>
      <c r="AHI464"/>
      <c r="AHJ464"/>
      <c r="AHK464"/>
      <c r="AHL464"/>
      <c r="AHM464"/>
      <c r="AHN464"/>
      <c r="AHO464"/>
      <c r="AHP464"/>
      <c r="AHQ464"/>
      <c r="AHR464"/>
      <c r="AHS464"/>
      <c r="AHT464"/>
      <c r="AHU464"/>
      <c r="AHV464"/>
      <c r="AHW464"/>
      <c r="AHX464"/>
      <c r="AHY464"/>
      <c r="AHZ464"/>
      <c r="AIA464"/>
      <c r="AIB464"/>
      <c r="AIC464"/>
      <c r="AID464"/>
      <c r="AIE464"/>
      <c r="AIF464"/>
      <c r="AIG464"/>
      <c r="AIH464"/>
      <c r="AII464"/>
      <c r="AIJ464"/>
      <c r="AIK464"/>
      <c r="AIL464"/>
      <c r="AIM464"/>
      <c r="AIN464"/>
      <c r="AIO464"/>
      <c r="AIP464"/>
      <c r="AIQ464"/>
      <c r="AIR464"/>
      <c r="AIS464"/>
      <c r="AIT464"/>
      <c r="AIU464"/>
      <c r="AIV464"/>
      <c r="AIW464"/>
      <c r="AIX464"/>
      <c r="AIY464"/>
      <c r="AIZ464"/>
      <c r="AJA464"/>
      <c r="AJB464"/>
      <c r="AJC464"/>
      <c r="AJD464"/>
      <c r="AJE464"/>
      <c r="AJF464"/>
      <c r="AJG464"/>
      <c r="AJH464"/>
      <c r="AJI464"/>
      <c r="AJJ464"/>
      <c r="AJK464"/>
      <c r="AJL464"/>
      <c r="AJM464"/>
      <c r="AJN464"/>
      <c r="AJO464"/>
      <c r="AJP464"/>
      <c r="AJQ464"/>
      <c r="AJR464"/>
      <c r="AJS464"/>
      <c r="AJT464"/>
      <c r="AJU464"/>
      <c r="AJV464"/>
      <c r="AJW464"/>
      <c r="AJX464"/>
      <c r="AJY464"/>
      <c r="AJZ464"/>
      <c r="AKA464"/>
      <c r="AKB464"/>
      <c r="AKC464"/>
      <c r="AKD464"/>
      <c r="AKE464"/>
      <c r="AKF464"/>
      <c r="AKG464"/>
      <c r="AKH464"/>
      <c r="AKI464"/>
      <c r="AKJ464"/>
      <c r="AKK464"/>
      <c r="AKL464"/>
      <c r="AKM464"/>
      <c r="AKN464"/>
      <c r="AKO464"/>
      <c r="AKP464"/>
      <c r="AKQ464"/>
      <c r="AKR464"/>
      <c r="AKS464"/>
      <c r="AKT464"/>
      <c r="AKU464"/>
      <c r="AKV464"/>
      <c r="AKW464"/>
      <c r="AKX464"/>
      <c r="AKY464"/>
      <c r="AKZ464"/>
      <c r="ALA464"/>
      <c r="ALB464"/>
      <c r="ALC464"/>
      <c r="ALD464"/>
      <c r="ALE464"/>
      <c r="ALF464"/>
      <c r="ALG464"/>
      <c r="ALH464"/>
      <c r="ALI464"/>
      <c r="ALJ464"/>
      <c r="ALK464"/>
      <c r="ALL464"/>
      <c r="ALM464"/>
      <c r="ALN464"/>
      <c r="ALO464"/>
      <c r="ALP464"/>
      <c r="ALQ464"/>
      <c r="ALR464"/>
      <c r="ALS464"/>
      <c r="ALT464"/>
    </row>
    <row r="465" spans="1:1008" ht="76">
      <c r="A465" s="25" t="s">
        <v>3169</v>
      </c>
      <c r="B465" s="26" t="s">
        <v>3043</v>
      </c>
      <c r="C465" s="25" t="s">
        <v>3169</v>
      </c>
      <c r="D465" s="27" t="s">
        <v>13</v>
      </c>
      <c r="E465" s="25" t="s">
        <v>3170</v>
      </c>
      <c r="F465" s="29" t="s">
        <v>3171</v>
      </c>
      <c r="G465" s="25">
        <v>500</v>
      </c>
      <c r="H465" s="28"/>
      <c r="I465" s="20"/>
      <c r="J465"/>
      <c r="K465"/>
      <c r="L465"/>
      <c r="M465"/>
      <c r="N465"/>
      <c r="O465"/>
      <c r="P465"/>
      <c r="Q465"/>
      <c r="R465"/>
      <c r="S465"/>
      <c r="T465"/>
      <c r="U465"/>
      <c r="V465"/>
      <c r="W465"/>
      <c r="X465"/>
      <c r="Y465"/>
      <c r="Z465"/>
      <c r="AA465"/>
      <c r="AB465"/>
      <c r="AC465"/>
      <c r="AD465"/>
      <c r="AE465"/>
      <c r="AF465"/>
      <c r="AG465"/>
      <c r="AH465"/>
      <c r="AI465"/>
      <c r="AJ465"/>
      <c r="AK465"/>
      <c r="AL465"/>
      <c r="AM465"/>
      <c r="AN465"/>
      <c r="AO465"/>
      <c r="AP465"/>
      <c r="AQ465"/>
      <c r="AR465"/>
      <c r="AS465"/>
      <c r="AT465"/>
      <c r="AU465"/>
      <c r="AV465"/>
      <c r="AW465"/>
      <c r="AX465"/>
      <c r="AY465"/>
      <c r="AZ465"/>
      <c r="BA465"/>
      <c r="BB465"/>
      <c r="BC465"/>
      <c r="BD465"/>
      <c r="BE465"/>
      <c r="BF465"/>
      <c r="BG465"/>
      <c r="BH465"/>
      <c r="BI465"/>
      <c r="BJ465"/>
      <c r="BK465"/>
      <c r="BL465"/>
      <c r="BM465"/>
      <c r="BN465"/>
      <c r="BO465"/>
      <c r="BP465"/>
      <c r="BQ465"/>
      <c r="BR465"/>
      <c r="BS465"/>
      <c r="BT465"/>
      <c r="BU465"/>
      <c r="BV465"/>
      <c r="BW465"/>
      <c r="BX465"/>
      <c r="BY465"/>
      <c r="BZ465"/>
      <c r="CA465"/>
      <c r="CB465"/>
      <c r="CC465"/>
      <c r="CD465"/>
      <c r="CE465"/>
      <c r="CF465"/>
      <c r="CG465"/>
      <c r="CH465"/>
      <c r="CI465"/>
      <c r="CJ465"/>
      <c r="CK465"/>
      <c r="CL465"/>
      <c r="CM465"/>
      <c r="CN465"/>
      <c r="CO465"/>
      <c r="CP465"/>
      <c r="CQ465"/>
      <c r="CR465"/>
      <c r="CS465"/>
      <c r="CT465"/>
      <c r="CU465"/>
      <c r="CV465"/>
      <c r="CW465"/>
      <c r="CX465"/>
      <c r="CY465"/>
      <c r="CZ465"/>
      <c r="DA465"/>
      <c r="DB465"/>
      <c r="DC465"/>
      <c r="DD465"/>
      <c r="DE465"/>
      <c r="DF465"/>
      <c r="DG465"/>
      <c r="DH465"/>
      <c r="DI465"/>
      <c r="DJ465"/>
      <c r="DK465"/>
      <c r="DL465"/>
      <c r="DM465"/>
      <c r="DN465"/>
      <c r="DO465"/>
      <c r="DP465"/>
      <c r="DQ465"/>
      <c r="DR465"/>
      <c r="DS465"/>
      <c r="DT465"/>
      <c r="DU465"/>
      <c r="DV465"/>
      <c r="DW465"/>
      <c r="DX465"/>
      <c r="DY465"/>
      <c r="DZ465"/>
      <c r="EA465"/>
      <c r="EB465"/>
      <c r="EC465"/>
      <c r="ED465"/>
      <c r="EE465"/>
      <c r="EF465"/>
      <c r="EG465"/>
      <c r="EH465"/>
      <c r="EI465"/>
      <c r="EJ465"/>
      <c r="EK465"/>
      <c r="EL465"/>
      <c r="EM465"/>
      <c r="EN465"/>
      <c r="EO465"/>
      <c r="EP465"/>
      <c r="EQ465"/>
      <c r="ER465"/>
      <c r="ES465"/>
      <c r="ET465"/>
      <c r="EU465"/>
      <c r="EV465"/>
      <c r="EW465"/>
      <c r="EX465"/>
      <c r="EY465"/>
      <c r="EZ465"/>
      <c r="FA465"/>
      <c r="FB465"/>
      <c r="FC465"/>
      <c r="FD465"/>
      <c r="FE465"/>
      <c r="FF465"/>
      <c r="FG465"/>
      <c r="FH465"/>
      <c r="FI465"/>
      <c r="FJ465"/>
      <c r="FK465"/>
      <c r="FL465"/>
      <c r="FM465"/>
      <c r="FN465"/>
      <c r="FO465"/>
      <c r="FP465"/>
      <c r="FQ465"/>
      <c r="FR465"/>
      <c r="FS465"/>
      <c r="FT465"/>
      <c r="FU465"/>
      <c r="FV465"/>
      <c r="FW465"/>
      <c r="FX465"/>
      <c r="FY465"/>
      <c r="FZ465"/>
      <c r="GA465"/>
      <c r="GB465"/>
      <c r="GC465"/>
      <c r="GD465"/>
      <c r="GE465"/>
      <c r="GF465"/>
      <c r="GG465"/>
      <c r="GH465"/>
      <c r="GI465"/>
      <c r="GJ465"/>
      <c r="GK465"/>
      <c r="GL465"/>
      <c r="GM465"/>
      <c r="GN465"/>
      <c r="GO465"/>
      <c r="GP465"/>
      <c r="GQ465"/>
      <c r="GR465"/>
      <c r="GS465"/>
      <c r="GT465"/>
      <c r="GU465"/>
      <c r="GV465"/>
      <c r="GW465"/>
      <c r="GX465"/>
      <c r="GY465"/>
      <c r="GZ465"/>
      <c r="HA465"/>
      <c r="HB465"/>
      <c r="HC465"/>
      <c r="HD465"/>
      <c r="HE465"/>
      <c r="HF465"/>
      <c r="HG465"/>
      <c r="HH465"/>
      <c r="HI465"/>
      <c r="HJ465"/>
      <c r="HK465"/>
      <c r="HL465"/>
      <c r="HM465"/>
      <c r="HN465"/>
      <c r="HO465"/>
      <c r="HP465"/>
      <c r="HQ465"/>
      <c r="HR465"/>
      <c r="HS465"/>
      <c r="HT465"/>
      <c r="HU465"/>
      <c r="HV465"/>
      <c r="HW465"/>
      <c r="HX465"/>
      <c r="HY465"/>
      <c r="HZ465"/>
      <c r="IA465"/>
      <c r="IB465"/>
      <c r="IC465"/>
      <c r="ID465"/>
      <c r="IE465"/>
      <c r="IF465"/>
      <c r="IG465"/>
      <c r="IH465"/>
      <c r="II465"/>
      <c r="IJ465"/>
      <c r="IK465"/>
      <c r="IL465"/>
      <c r="IM465"/>
      <c r="IN465"/>
      <c r="IO465"/>
      <c r="IP465"/>
      <c r="IQ465"/>
      <c r="IR465"/>
      <c r="IS465"/>
      <c r="IT465"/>
      <c r="IU465"/>
      <c r="IV465"/>
      <c r="IW465"/>
      <c r="IX465"/>
      <c r="IY465"/>
      <c r="IZ465"/>
      <c r="JA465"/>
      <c r="JB465"/>
      <c r="JC465"/>
      <c r="JD465"/>
      <c r="JE465"/>
      <c r="JF465"/>
      <c r="JG465"/>
      <c r="JH465"/>
      <c r="JI465"/>
      <c r="JJ465"/>
      <c r="JK465"/>
      <c r="JL465"/>
      <c r="JM465"/>
      <c r="JN465"/>
      <c r="JO465"/>
      <c r="JP465"/>
      <c r="JQ465"/>
      <c r="JR465"/>
      <c r="JS465"/>
      <c r="JT465"/>
      <c r="JU465"/>
      <c r="JV465"/>
      <c r="JW465"/>
      <c r="JX465"/>
      <c r="JY465"/>
      <c r="JZ465"/>
      <c r="KA465"/>
      <c r="KB465"/>
      <c r="KC465"/>
      <c r="KD465"/>
      <c r="KE465"/>
      <c r="KF465"/>
      <c r="KG465"/>
      <c r="KH465"/>
      <c r="KI465"/>
      <c r="KJ465"/>
      <c r="KK465"/>
      <c r="KL465"/>
      <c r="KM465"/>
      <c r="KN465"/>
      <c r="KO465"/>
      <c r="KP465"/>
      <c r="KQ465"/>
      <c r="KR465"/>
      <c r="KS465"/>
      <c r="KT465"/>
      <c r="KU465"/>
      <c r="KV465"/>
      <c r="KW465"/>
      <c r="KX465"/>
      <c r="KY465"/>
      <c r="KZ465"/>
      <c r="LA465"/>
      <c r="LB465"/>
      <c r="LC465"/>
      <c r="LD465"/>
      <c r="LE465"/>
      <c r="LF465"/>
      <c r="LG465"/>
      <c r="LH465"/>
      <c r="LI465"/>
      <c r="LJ465"/>
      <c r="LK465"/>
      <c r="LL465"/>
      <c r="LM465"/>
      <c r="LN465"/>
      <c r="LO465"/>
      <c r="LP465"/>
      <c r="LQ465"/>
      <c r="LR465"/>
      <c r="LS465"/>
      <c r="LT465"/>
      <c r="LU465"/>
      <c r="LV465"/>
      <c r="LW465"/>
      <c r="LX465"/>
      <c r="LY465"/>
      <c r="LZ465"/>
      <c r="MA465"/>
      <c r="MB465"/>
      <c r="MC465"/>
      <c r="MD465"/>
      <c r="ME465"/>
      <c r="MF465"/>
      <c r="MG465"/>
      <c r="MH465"/>
      <c r="MI465"/>
      <c r="MJ465"/>
      <c r="MK465"/>
      <c r="ML465"/>
      <c r="MM465"/>
      <c r="MN465"/>
      <c r="MO465"/>
      <c r="MP465"/>
      <c r="MQ465"/>
      <c r="MR465"/>
      <c r="MS465"/>
      <c r="MT465"/>
      <c r="MU465"/>
      <c r="MV465"/>
      <c r="MW465"/>
      <c r="MX465"/>
      <c r="MY465"/>
      <c r="MZ465"/>
      <c r="NA465"/>
      <c r="NB465"/>
      <c r="NC465"/>
      <c r="ND465"/>
      <c r="NE465"/>
      <c r="NF465"/>
      <c r="NG465"/>
      <c r="NH465"/>
      <c r="NI465"/>
      <c r="NJ465"/>
      <c r="NK465"/>
      <c r="NL465"/>
      <c r="NM465"/>
      <c r="NN465"/>
      <c r="NO465"/>
      <c r="NP465"/>
      <c r="NQ465"/>
      <c r="NR465"/>
      <c r="NS465"/>
      <c r="NT465"/>
      <c r="NU465"/>
      <c r="NV465"/>
      <c r="NW465"/>
      <c r="NX465"/>
      <c r="NY465"/>
      <c r="NZ465"/>
      <c r="OA465"/>
      <c r="OB465"/>
      <c r="OC465"/>
      <c r="OD465"/>
      <c r="OE465"/>
      <c r="OF465"/>
      <c r="OG465"/>
      <c r="OH465"/>
      <c r="OI465"/>
      <c r="OJ465"/>
      <c r="OK465"/>
      <c r="OL465"/>
      <c r="OM465"/>
      <c r="ON465"/>
      <c r="OO465"/>
      <c r="OP465"/>
      <c r="OQ465"/>
      <c r="OR465"/>
      <c r="OS465"/>
      <c r="OT465"/>
      <c r="OU465"/>
      <c r="OV465"/>
      <c r="OW465"/>
      <c r="OX465"/>
      <c r="OY465"/>
      <c r="OZ465"/>
      <c r="PA465"/>
      <c r="PB465"/>
      <c r="PC465"/>
      <c r="PD465"/>
      <c r="PE465"/>
      <c r="PF465"/>
      <c r="PG465"/>
      <c r="PH465"/>
      <c r="PI465"/>
      <c r="PJ465"/>
      <c r="PK465"/>
      <c r="PL465"/>
      <c r="PM465"/>
      <c r="PN465"/>
      <c r="PO465"/>
      <c r="PP465"/>
      <c r="PQ465"/>
      <c r="PR465"/>
      <c r="PS465"/>
      <c r="PT465"/>
      <c r="PU465"/>
      <c r="PV465"/>
      <c r="PW465"/>
      <c r="PX465"/>
      <c r="PY465"/>
      <c r="PZ465"/>
      <c r="QA465"/>
      <c r="QB465"/>
      <c r="QC465"/>
      <c r="QD465"/>
      <c r="QE465"/>
      <c r="QF465"/>
      <c r="QG465"/>
      <c r="QH465"/>
      <c r="QI465"/>
      <c r="QJ465"/>
      <c r="QK465"/>
      <c r="QL465"/>
      <c r="QM465"/>
      <c r="QN465"/>
      <c r="QO465"/>
      <c r="QP465"/>
      <c r="QQ465"/>
      <c r="QR465"/>
      <c r="QS465"/>
      <c r="QT465"/>
      <c r="QU465"/>
      <c r="QV465"/>
      <c r="QW465"/>
      <c r="QX465"/>
      <c r="QY465"/>
      <c r="QZ465"/>
      <c r="RA465"/>
      <c r="RB465"/>
      <c r="RC465"/>
      <c r="RD465"/>
      <c r="RE465"/>
      <c r="RF465"/>
      <c r="RG465"/>
      <c r="RH465"/>
      <c r="RI465"/>
      <c r="RJ465"/>
      <c r="RK465"/>
      <c r="RL465"/>
      <c r="RM465"/>
      <c r="RN465"/>
      <c r="RO465"/>
      <c r="RP465"/>
      <c r="RQ465"/>
      <c r="RR465"/>
      <c r="RS465"/>
      <c r="RT465"/>
      <c r="RU465"/>
      <c r="RV465"/>
      <c r="RW465"/>
      <c r="RX465"/>
      <c r="RY465"/>
      <c r="RZ465"/>
      <c r="SA465"/>
      <c r="SB465"/>
      <c r="SC465"/>
      <c r="SD465"/>
      <c r="SE465"/>
      <c r="SF465"/>
      <c r="SG465"/>
      <c r="SH465"/>
      <c r="SI465"/>
      <c r="SJ465"/>
      <c r="SK465"/>
      <c r="SL465"/>
      <c r="SM465"/>
      <c r="SN465"/>
      <c r="SO465"/>
      <c r="SP465"/>
      <c r="SQ465"/>
      <c r="SR465"/>
      <c r="SS465"/>
      <c r="ST465"/>
      <c r="SU465"/>
      <c r="SV465"/>
      <c r="SW465"/>
      <c r="SX465"/>
      <c r="SY465"/>
      <c r="SZ465"/>
      <c r="TA465"/>
      <c r="TB465"/>
      <c r="TC465"/>
      <c r="TD465"/>
      <c r="TE465"/>
      <c r="TF465"/>
      <c r="TG465"/>
      <c r="TH465"/>
      <c r="TI465"/>
      <c r="TJ465"/>
      <c r="TK465"/>
      <c r="TL465"/>
      <c r="TM465"/>
      <c r="TN465"/>
      <c r="TO465"/>
      <c r="TP465"/>
      <c r="TQ465"/>
      <c r="TR465"/>
      <c r="TS465"/>
      <c r="TT465"/>
      <c r="TU465"/>
      <c r="TV465"/>
      <c r="TW465"/>
      <c r="TX465"/>
      <c r="TY465"/>
      <c r="TZ465"/>
      <c r="UA465"/>
      <c r="UB465"/>
      <c r="UC465"/>
      <c r="UD465"/>
      <c r="UE465"/>
      <c r="UF465"/>
      <c r="UG465"/>
      <c r="UH465"/>
      <c r="UI465"/>
      <c r="UJ465"/>
      <c r="UK465"/>
      <c r="UL465"/>
      <c r="UM465"/>
      <c r="UN465"/>
      <c r="UO465"/>
      <c r="UP465"/>
      <c r="UQ465"/>
      <c r="UR465"/>
      <c r="US465"/>
      <c r="UT465"/>
      <c r="UU465"/>
      <c r="UV465"/>
      <c r="UW465"/>
      <c r="UX465"/>
      <c r="UY465"/>
      <c r="UZ465"/>
      <c r="VA465"/>
      <c r="VB465"/>
      <c r="VC465"/>
      <c r="VD465"/>
      <c r="VE465"/>
      <c r="VF465"/>
      <c r="VG465"/>
      <c r="VH465"/>
      <c r="VI465"/>
      <c r="VJ465"/>
      <c r="VK465"/>
      <c r="VL465"/>
      <c r="VM465"/>
      <c r="VN465"/>
      <c r="VO465"/>
      <c r="VP465"/>
      <c r="VQ465"/>
      <c r="VR465"/>
      <c r="VS465"/>
      <c r="VT465"/>
      <c r="VU465"/>
      <c r="VV465"/>
      <c r="VW465"/>
      <c r="VX465"/>
      <c r="VY465"/>
      <c r="VZ465"/>
      <c r="WA465"/>
      <c r="WB465"/>
      <c r="WC465"/>
      <c r="WD465"/>
      <c r="WE465"/>
      <c r="WF465"/>
      <c r="WG465"/>
      <c r="WH465"/>
      <c r="WI465"/>
      <c r="WJ465"/>
      <c r="WK465"/>
      <c r="WL465"/>
      <c r="WM465"/>
      <c r="WN465"/>
      <c r="WO465"/>
      <c r="WP465"/>
      <c r="WQ465"/>
      <c r="WR465"/>
      <c r="WS465"/>
      <c r="WT465"/>
      <c r="WU465"/>
      <c r="WV465"/>
      <c r="WW465"/>
      <c r="WX465"/>
      <c r="WY465"/>
      <c r="WZ465"/>
      <c r="XA465"/>
      <c r="XB465"/>
      <c r="XC465"/>
      <c r="XD465"/>
      <c r="XE465"/>
      <c r="XF465"/>
      <c r="XG465"/>
      <c r="XH465"/>
      <c r="XI465"/>
      <c r="XJ465"/>
      <c r="XK465"/>
      <c r="XL465"/>
      <c r="XM465"/>
      <c r="XN465"/>
      <c r="XO465"/>
      <c r="XP465"/>
      <c r="XQ465"/>
      <c r="XR465"/>
      <c r="XS465"/>
      <c r="XT465"/>
      <c r="XU465"/>
      <c r="XV465"/>
      <c r="XW465"/>
      <c r="XX465"/>
      <c r="XY465"/>
      <c r="XZ465"/>
      <c r="YA465"/>
      <c r="YB465"/>
      <c r="YC465"/>
      <c r="YD465"/>
      <c r="YE465"/>
      <c r="YF465"/>
      <c r="YG465"/>
      <c r="YH465"/>
      <c r="YI465"/>
      <c r="YJ465"/>
      <c r="YK465"/>
      <c r="YL465"/>
      <c r="YM465"/>
      <c r="YN465"/>
      <c r="YO465"/>
      <c r="YP465"/>
      <c r="YQ465"/>
      <c r="YR465"/>
      <c r="YS465"/>
      <c r="YT465"/>
      <c r="YU465"/>
      <c r="YV465"/>
      <c r="YW465"/>
      <c r="YX465"/>
      <c r="YY465"/>
      <c r="YZ465"/>
      <c r="ZA465"/>
      <c r="ZB465"/>
      <c r="ZC465"/>
      <c r="ZD465"/>
      <c r="ZE465"/>
      <c r="ZF465"/>
      <c r="ZG465"/>
      <c r="ZH465"/>
      <c r="ZI465"/>
      <c r="ZJ465"/>
      <c r="ZK465"/>
      <c r="ZL465"/>
      <c r="ZM465"/>
      <c r="ZN465"/>
      <c r="ZO465"/>
      <c r="ZP465"/>
      <c r="ZQ465"/>
      <c r="ZR465"/>
      <c r="ZS465"/>
      <c r="ZT465"/>
      <c r="ZU465"/>
      <c r="ZV465"/>
      <c r="ZW465"/>
      <c r="ZX465"/>
      <c r="ZY465"/>
      <c r="ZZ465"/>
      <c r="AAA465"/>
      <c r="AAB465"/>
      <c r="AAC465"/>
      <c r="AAD465"/>
      <c r="AAE465"/>
      <c r="AAF465"/>
      <c r="AAG465"/>
      <c r="AAH465"/>
      <c r="AAI465"/>
      <c r="AAJ465"/>
      <c r="AAK465"/>
      <c r="AAL465"/>
      <c r="AAM465"/>
      <c r="AAN465"/>
      <c r="AAO465"/>
      <c r="AAP465"/>
      <c r="AAQ465"/>
      <c r="AAR465"/>
      <c r="AAS465"/>
      <c r="AAT465"/>
      <c r="AAU465"/>
      <c r="AAV465"/>
      <c r="AAW465"/>
      <c r="AAX465"/>
      <c r="AAY465"/>
      <c r="AAZ465"/>
      <c r="ABA465"/>
      <c r="ABB465"/>
      <c r="ABC465"/>
      <c r="ABD465"/>
      <c r="ABE465"/>
      <c r="ABF465"/>
      <c r="ABG465"/>
      <c r="ABH465"/>
      <c r="ABI465"/>
      <c r="ABJ465"/>
      <c r="ABK465"/>
      <c r="ABL465"/>
      <c r="ABM465"/>
      <c r="ABN465"/>
      <c r="ABO465"/>
      <c r="ABP465"/>
      <c r="ABQ465"/>
      <c r="ABR465"/>
      <c r="ABS465"/>
      <c r="ABT465"/>
      <c r="ABU465"/>
      <c r="ABV465"/>
      <c r="ABW465"/>
      <c r="ABX465"/>
      <c r="ABY465"/>
      <c r="ABZ465"/>
      <c r="ACA465"/>
      <c r="ACB465"/>
      <c r="ACC465"/>
      <c r="ACD465"/>
      <c r="ACE465"/>
      <c r="ACF465"/>
      <c r="ACG465"/>
      <c r="ACH465"/>
      <c r="ACI465"/>
      <c r="ACJ465"/>
      <c r="ACK465"/>
      <c r="ACL465"/>
      <c r="ACM465"/>
      <c r="ACN465"/>
      <c r="ACO465"/>
      <c r="ACP465"/>
      <c r="ACQ465"/>
      <c r="ACR465"/>
      <c r="ACS465"/>
      <c r="ACT465"/>
      <c r="ACU465"/>
      <c r="ACV465"/>
      <c r="ACW465"/>
      <c r="ACX465"/>
      <c r="ACY465"/>
      <c r="ACZ465"/>
      <c r="ADA465"/>
      <c r="ADB465"/>
      <c r="ADC465"/>
      <c r="ADD465"/>
      <c r="ADE465"/>
      <c r="ADF465"/>
      <c r="ADG465"/>
      <c r="ADH465"/>
      <c r="ADI465"/>
      <c r="ADJ465"/>
      <c r="ADK465"/>
      <c r="ADL465"/>
      <c r="ADM465"/>
      <c r="ADN465"/>
      <c r="ADO465"/>
      <c r="ADP465"/>
      <c r="ADQ465"/>
      <c r="ADR465"/>
      <c r="ADS465"/>
      <c r="ADT465"/>
      <c r="ADU465"/>
      <c r="ADV465"/>
      <c r="ADW465"/>
      <c r="ADX465"/>
      <c r="ADY465"/>
      <c r="ADZ465"/>
      <c r="AEA465"/>
      <c r="AEB465"/>
      <c r="AEC465"/>
      <c r="AED465"/>
      <c r="AEE465"/>
      <c r="AEF465"/>
      <c r="AEG465"/>
      <c r="AEH465"/>
      <c r="AEI465"/>
      <c r="AEJ465"/>
      <c r="AEK465"/>
      <c r="AEL465"/>
      <c r="AEM465"/>
      <c r="AEN465"/>
      <c r="AEO465"/>
      <c r="AEP465"/>
      <c r="AEQ465"/>
      <c r="AER465"/>
      <c r="AES465"/>
      <c r="AET465"/>
      <c r="AEU465"/>
      <c r="AEV465"/>
      <c r="AEW465"/>
      <c r="AEX465"/>
      <c r="AEY465"/>
      <c r="AEZ465"/>
      <c r="AFA465"/>
      <c r="AFB465"/>
      <c r="AFC465"/>
      <c r="AFD465"/>
      <c r="AFE465"/>
      <c r="AFF465"/>
      <c r="AFG465"/>
      <c r="AFH465"/>
      <c r="AFI465"/>
      <c r="AFJ465"/>
      <c r="AFK465"/>
      <c r="AFL465"/>
      <c r="AFM465"/>
      <c r="AFN465"/>
      <c r="AFO465"/>
      <c r="AFP465"/>
      <c r="AFQ465"/>
      <c r="AFR465"/>
      <c r="AFS465"/>
      <c r="AFT465"/>
      <c r="AFU465"/>
      <c r="AFV465"/>
      <c r="AFW465"/>
      <c r="AFX465"/>
      <c r="AFY465"/>
      <c r="AFZ465"/>
      <c r="AGA465"/>
      <c r="AGB465"/>
      <c r="AGC465"/>
      <c r="AGD465"/>
      <c r="AGE465"/>
      <c r="AGF465"/>
      <c r="AGG465"/>
      <c r="AGH465"/>
      <c r="AGI465"/>
      <c r="AGJ465"/>
      <c r="AGK465"/>
      <c r="AGL465"/>
      <c r="AGM465"/>
      <c r="AGN465"/>
      <c r="AGO465"/>
      <c r="AGP465"/>
      <c r="AGQ465"/>
      <c r="AGR465"/>
      <c r="AGS465"/>
      <c r="AGT465"/>
      <c r="AGU465"/>
      <c r="AGV465"/>
      <c r="AGW465"/>
      <c r="AGX465"/>
      <c r="AGY465"/>
      <c r="AGZ465"/>
      <c r="AHA465"/>
      <c r="AHB465"/>
      <c r="AHC465"/>
      <c r="AHD465"/>
      <c r="AHE465"/>
      <c r="AHF465"/>
      <c r="AHG465"/>
      <c r="AHH465"/>
      <c r="AHI465"/>
      <c r="AHJ465"/>
      <c r="AHK465"/>
      <c r="AHL465"/>
      <c r="AHM465"/>
      <c r="AHN465"/>
      <c r="AHO465"/>
      <c r="AHP465"/>
      <c r="AHQ465"/>
      <c r="AHR465"/>
      <c r="AHS465"/>
      <c r="AHT465"/>
      <c r="AHU465"/>
      <c r="AHV465"/>
      <c r="AHW465"/>
      <c r="AHX465"/>
      <c r="AHY465"/>
      <c r="AHZ465"/>
      <c r="AIA465"/>
      <c r="AIB465"/>
      <c r="AIC465"/>
      <c r="AID465"/>
      <c r="AIE465"/>
      <c r="AIF465"/>
      <c r="AIG465"/>
      <c r="AIH465"/>
      <c r="AII465"/>
      <c r="AIJ465"/>
      <c r="AIK465"/>
      <c r="AIL465"/>
      <c r="AIM465"/>
      <c r="AIN465"/>
      <c r="AIO465"/>
      <c r="AIP465"/>
      <c r="AIQ465"/>
      <c r="AIR465"/>
      <c r="AIS465"/>
      <c r="AIT465"/>
      <c r="AIU465"/>
      <c r="AIV465"/>
      <c r="AIW465"/>
      <c r="AIX465"/>
      <c r="AIY465"/>
      <c r="AIZ465"/>
      <c r="AJA465"/>
      <c r="AJB465"/>
      <c r="AJC465"/>
      <c r="AJD465"/>
      <c r="AJE465"/>
      <c r="AJF465"/>
      <c r="AJG465"/>
      <c r="AJH465"/>
      <c r="AJI465"/>
      <c r="AJJ465"/>
      <c r="AJK465"/>
      <c r="AJL465"/>
      <c r="AJM465"/>
      <c r="AJN465"/>
      <c r="AJO465"/>
      <c r="AJP465"/>
      <c r="AJQ465"/>
      <c r="AJR465"/>
      <c r="AJS465"/>
      <c r="AJT465"/>
      <c r="AJU465"/>
      <c r="AJV465"/>
      <c r="AJW465"/>
      <c r="AJX465"/>
      <c r="AJY465"/>
      <c r="AJZ465"/>
      <c r="AKA465"/>
      <c r="AKB465"/>
      <c r="AKC465"/>
      <c r="AKD465"/>
      <c r="AKE465"/>
      <c r="AKF465"/>
      <c r="AKG465"/>
      <c r="AKH465"/>
      <c r="AKI465"/>
      <c r="AKJ465"/>
      <c r="AKK465"/>
      <c r="AKL465"/>
      <c r="AKM465"/>
      <c r="AKN465"/>
      <c r="AKO465"/>
      <c r="AKP465"/>
      <c r="AKQ465"/>
      <c r="AKR465"/>
      <c r="AKS465"/>
      <c r="AKT465"/>
      <c r="AKU465"/>
      <c r="AKV465"/>
      <c r="AKW465"/>
      <c r="AKX465"/>
      <c r="AKY465"/>
      <c r="AKZ465"/>
      <c r="ALA465"/>
      <c r="ALB465"/>
      <c r="ALC465"/>
      <c r="ALD465"/>
      <c r="ALE465"/>
      <c r="ALF465"/>
      <c r="ALG465"/>
      <c r="ALH465"/>
      <c r="ALI465"/>
      <c r="ALJ465"/>
      <c r="ALK465"/>
      <c r="ALL465"/>
      <c r="ALM465"/>
      <c r="ALN465"/>
      <c r="ALO465"/>
      <c r="ALP465"/>
      <c r="ALQ465"/>
      <c r="ALR465"/>
      <c r="ALS465"/>
      <c r="ALT465"/>
    </row>
    <row r="466" spans="1:1008" ht="136">
      <c r="A466" s="25" t="s">
        <v>4021</v>
      </c>
      <c r="B466" s="26" t="s">
        <v>3043</v>
      </c>
      <c r="C466" s="25" t="s">
        <v>4021</v>
      </c>
      <c r="D466" s="27"/>
      <c r="E466" s="25" t="s">
        <v>4019</v>
      </c>
      <c r="F466" s="29" t="s">
        <v>4020</v>
      </c>
      <c r="G466" s="25"/>
      <c r="H466" s="28"/>
      <c r="I466" s="20"/>
      <c r="J466"/>
      <c r="K466"/>
      <c r="L466"/>
      <c r="M466"/>
      <c r="N466"/>
      <c r="O466"/>
      <c r="P466"/>
      <c r="Q466"/>
      <c r="R466"/>
      <c r="S466"/>
      <c r="T466"/>
      <c r="U466"/>
      <c r="V466"/>
      <c r="W466"/>
      <c r="X466"/>
      <c r="Y466"/>
      <c r="Z466"/>
      <c r="AA466"/>
      <c r="AB466"/>
      <c r="AC466"/>
      <c r="AD466"/>
      <c r="AE466"/>
      <c r="AF466"/>
      <c r="AG466"/>
      <c r="AH466"/>
      <c r="AI466"/>
      <c r="AJ466"/>
      <c r="AK466"/>
      <c r="AL466"/>
      <c r="AM466"/>
      <c r="AN466"/>
      <c r="AO466"/>
      <c r="AP466"/>
      <c r="AQ466"/>
      <c r="AR466"/>
      <c r="AS466"/>
      <c r="AT466"/>
      <c r="AU466"/>
      <c r="AV466"/>
      <c r="AW466"/>
      <c r="AX466"/>
      <c r="AY466"/>
      <c r="AZ466"/>
      <c r="BA466"/>
      <c r="BB466"/>
      <c r="BC466"/>
      <c r="BD466"/>
      <c r="BE466"/>
      <c r="BF466"/>
      <c r="BG466"/>
      <c r="BH466"/>
      <c r="BI466"/>
      <c r="BJ466"/>
      <c r="BK466"/>
      <c r="BL466"/>
      <c r="BM466"/>
      <c r="BN466"/>
      <c r="BO466"/>
      <c r="BP466"/>
      <c r="BQ466"/>
      <c r="BR466"/>
      <c r="BS466"/>
      <c r="BT466"/>
      <c r="BU466"/>
      <c r="BV466"/>
      <c r="BW466"/>
      <c r="BX466"/>
      <c r="BY466"/>
      <c r="BZ466"/>
      <c r="CA466"/>
      <c r="CB466"/>
      <c r="CC466"/>
      <c r="CD466"/>
      <c r="CE466"/>
      <c r="CF466"/>
      <c r="CG466"/>
      <c r="CH466"/>
      <c r="CI466"/>
      <c r="CJ466"/>
      <c r="CK466"/>
      <c r="CL466"/>
      <c r="CM466"/>
      <c r="CN466"/>
      <c r="CO466"/>
      <c r="CP466"/>
      <c r="CQ466"/>
      <c r="CR466"/>
      <c r="CS466"/>
      <c r="CT466"/>
      <c r="CU466"/>
      <c r="CV466"/>
      <c r="CW466"/>
      <c r="CX466"/>
      <c r="CY466"/>
      <c r="CZ466"/>
      <c r="DA466"/>
      <c r="DB466"/>
      <c r="DC466"/>
      <c r="DD466"/>
      <c r="DE466"/>
      <c r="DF466"/>
      <c r="DG466"/>
      <c r="DH466"/>
      <c r="DI466"/>
      <c r="DJ466"/>
      <c r="DK466"/>
      <c r="DL466"/>
      <c r="DM466"/>
      <c r="DN466"/>
      <c r="DO466"/>
      <c r="DP466"/>
      <c r="DQ466"/>
      <c r="DR466"/>
      <c r="DS466"/>
      <c r="DT466"/>
      <c r="DU466"/>
      <c r="DV466"/>
      <c r="DW466"/>
      <c r="DX466"/>
      <c r="DY466"/>
      <c r="DZ466"/>
      <c r="EA466"/>
      <c r="EB466"/>
      <c r="EC466"/>
      <c r="ED466"/>
      <c r="EE466"/>
      <c r="EF466"/>
      <c r="EG466"/>
      <c r="EH466"/>
      <c r="EI466"/>
      <c r="EJ466"/>
      <c r="EK466"/>
      <c r="EL466"/>
      <c r="EM466"/>
      <c r="EN466"/>
      <c r="EO466"/>
      <c r="EP466"/>
      <c r="EQ466"/>
      <c r="ER466"/>
      <c r="ES466"/>
      <c r="ET466"/>
      <c r="EU466"/>
      <c r="EV466"/>
      <c r="EW466"/>
      <c r="EX466"/>
      <c r="EY466"/>
      <c r="EZ466"/>
      <c r="FA466"/>
      <c r="FB466"/>
      <c r="FC466"/>
      <c r="FD466"/>
      <c r="FE466"/>
      <c r="FF466"/>
      <c r="FG466"/>
      <c r="FH466"/>
      <c r="FI466"/>
      <c r="FJ466"/>
      <c r="FK466"/>
      <c r="FL466"/>
      <c r="FM466"/>
      <c r="FN466"/>
      <c r="FO466"/>
      <c r="FP466"/>
      <c r="FQ466"/>
      <c r="FR466"/>
      <c r="FS466"/>
      <c r="FT466"/>
      <c r="FU466"/>
      <c r="FV466"/>
      <c r="FW466"/>
      <c r="FX466"/>
      <c r="FY466"/>
      <c r="FZ466"/>
      <c r="GA466"/>
      <c r="GB466"/>
      <c r="GC466"/>
      <c r="GD466"/>
      <c r="GE466"/>
      <c r="GF466"/>
      <c r="GG466"/>
      <c r="GH466"/>
      <c r="GI466"/>
      <c r="GJ466"/>
      <c r="GK466"/>
      <c r="GL466"/>
      <c r="GM466"/>
      <c r="GN466"/>
      <c r="GO466"/>
      <c r="GP466"/>
      <c r="GQ466"/>
      <c r="GR466"/>
      <c r="GS466"/>
      <c r="GT466"/>
      <c r="GU466"/>
      <c r="GV466"/>
      <c r="GW466"/>
      <c r="GX466"/>
      <c r="GY466"/>
      <c r="GZ466"/>
      <c r="HA466"/>
      <c r="HB466"/>
      <c r="HC466"/>
      <c r="HD466"/>
      <c r="HE466"/>
      <c r="HF466"/>
      <c r="HG466"/>
      <c r="HH466"/>
      <c r="HI466"/>
      <c r="HJ466"/>
      <c r="HK466"/>
      <c r="HL466"/>
      <c r="HM466"/>
      <c r="HN466"/>
      <c r="HO466"/>
      <c r="HP466"/>
      <c r="HQ466"/>
      <c r="HR466"/>
      <c r="HS466"/>
      <c r="HT466"/>
      <c r="HU466"/>
      <c r="HV466"/>
      <c r="HW466"/>
      <c r="HX466"/>
      <c r="HY466"/>
      <c r="HZ466"/>
      <c r="IA466"/>
      <c r="IB466"/>
      <c r="IC466"/>
      <c r="ID466"/>
      <c r="IE466"/>
      <c r="IF466"/>
      <c r="IG466"/>
      <c r="IH466"/>
      <c r="II466"/>
      <c r="IJ466"/>
      <c r="IK466"/>
      <c r="IL466"/>
      <c r="IM466"/>
      <c r="IN466"/>
      <c r="IO466"/>
      <c r="IP466"/>
      <c r="IQ466"/>
      <c r="IR466"/>
      <c r="IS466"/>
      <c r="IT466"/>
      <c r="IU466"/>
      <c r="IV466"/>
      <c r="IW466"/>
      <c r="IX466"/>
      <c r="IY466"/>
      <c r="IZ466"/>
      <c r="JA466"/>
      <c r="JB466"/>
      <c r="JC466"/>
      <c r="JD466"/>
      <c r="JE466"/>
      <c r="JF466"/>
      <c r="JG466"/>
      <c r="JH466"/>
      <c r="JI466"/>
      <c r="JJ466"/>
      <c r="JK466"/>
      <c r="JL466"/>
      <c r="JM466"/>
      <c r="JN466"/>
      <c r="JO466"/>
      <c r="JP466"/>
      <c r="JQ466"/>
      <c r="JR466"/>
      <c r="JS466"/>
      <c r="JT466"/>
      <c r="JU466"/>
      <c r="JV466"/>
      <c r="JW466"/>
      <c r="JX466"/>
      <c r="JY466"/>
      <c r="JZ466"/>
      <c r="KA466"/>
      <c r="KB466"/>
      <c r="KC466"/>
      <c r="KD466"/>
      <c r="KE466"/>
      <c r="KF466"/>
      <c r="KG466"/>
      <c r="KH466"/>
      <c r="KI466"/>
      <c r="KJ466"/>
      <c r="KK466"/>
      <c r="KL466"/>
      <c r="KM466"/>
      <c r="KN466"/>
      <c r="KO466"/>
      <c r="KP466"/>
      <c r="KQ466"/>
      <c r="KR466"/>
      <c r="KS466"/>
      <c r="KT466"/>
      <c r="KU466"/>
      <c r="KV466"/>
      <c r="KW466"/>
      <c r="KX466"/>
      <c r="KY466"/>
      <c r="KZ466"/>
      <c r="LA466"/>
      <c r="LB466"/>
      <c r="LC466"/>
      <c r="LD466"/>
      <c r="LE466"/>
      <c r="LF466"/>
      <c r="LG466"/>
      <c r="LH466"/>
      <c r="LI466"/>
      <c r="LJ466"/>
      <c r="LK466"/>
      <c r="LL466"/>
      <c r="LM466"/>
      <c r="LN466"/>
      <c r="LO466"/>
      <c r="LP466"/>
      <c r="LQ466"/>
      <c r="LR466"/>
      <c r="LS466"/>
      <c r="LT466"/>
      <c r="LU466"/>
      <c r="LV466"/>
      <c r="LW466"/>
      <c r="LX466"/>
      <c r="LY466"/>
      <c r="LZ466"/>
      <c r="MA466"/>
      <c r="MB466"/>
      <c r="MC466"/>
      <c r="MD466"/>
      <c r="ME466"/>
      <c r="MF466"/>
      <c r="MG466"/>
      <c r="MH466"/>
      <c r="MI466"/>
      <c r="MJ466"/>
      <c r="MK466"/>
      <c r="ML466"/>
      <c r="MM466"/>
      <c r="MN466"/>
      <c r="MO466"/>
      <c r="MP466"/>
      <c r="MQ466"/>
      <c r="MR466"/>
      <c r="MS466"/>
      <c r="MT466"/>
      <c r="MU466"/>
      <c r="MV466"/>
      <c r="MW466"/>
      <c r="MX466"/>
      <c r="MY466"/>
      <c r="MZ466"/>
      <c r="NA466"/>
      <c r="NB466"/>
      <c r="NC466"/>
      <c r="ND466"/>
      <c r="NE466"/>
      <c r="NF466"/>
      <c r="NG466"/>
      <c r="NH466"/>
      <c r="NI466"/>
      <c r="NJ466"/>
      <c r="NK466"/>
      <c r="NL466"/>
      <c r="NM466"/>
      <c r="NN466"/>
      <c r="NO466"/>
      <c r="NP466"/>
      <c r="NQ466"/>
      <c r="NR466"/>
      <c r="NS466"/>
      <c r="NT466"/>
      <c r="NU466"/>
      <c r="NV466"/>
      <c r="NW466"/>
      <c r="NX466"/>
      <c r="NY466"/>
      <c r="NZ466"/>
      <c r="OA466"/>
      <c r="OB466"/>
      <c r="OC466"/>
      <c r="OD466"/>
      <c r="OE466"/>
      <c r="OF466"/>
      <c r="OG466"/>
      <c r="OH466"/>
      <c r="OI466"/>
      <c r="OJ466"/>
      <c r="OK466"/>
      <c r="OL466"/>
      <c r="OM466"/>
      <c r="ON466"/>
      <c r="OO466"/>
      <c r="OP466"/>
      <c r="OQ466"/>
      <c r="OR466"/>
      <c r="OS466"/>
      <c r="OT466"/>
      <c r="OU466"/>
      <c r="OV466"/>
      <c r="OW466"/>
      <c r="OX466"/>
      <c r="OY466"/>
      <c r="OZ466"/>
      <c r="PA466"/>
      <c r="PB466"/>
      <c r="PC466"/>
      <c r="PD466"/>
      <c r="PE466"/>
      <c r="PF466"/>
      <c r="PG466"/>
      <c r="PH466"/>
      <c r="PI466"/>
      <c r="PJ466"/>
      <c r="PK466"/>
      <c r="PL466"/>
      <c r="PM466"/>
      <c r="PN466"/>
      <c r="PO466"/>
      <c r="PP466"/>
      <c r="PQ466"/>
      <c r="PR466"/>
      <c r="PS466"/>
      <c r="PT466"/>
      <c r="PU466"/>
      <c r="PV466"/>
      <c r="PW466"/>
      <c r="PX466"/>
      <c r="PY466"/>
      <c r="PZ466"/>
      <c r="QA466"/>
      <c r="QB466"/>
      <c r="QC466"/>
      <c r="QD466"/>
      <c r="QE466"/>
      <c r="QF466"/>
      <c r="QG466"/>
      <c r="QH466"/>
      <c r="QI466"/>
      <c r="QJ466"/>
      <c r="QK466"/>
      <c r="QL466"/>
      <c r="QM466"/>
      <c r="QN466"/>
      <c r="QO466"/>
      <c r="QP466"/>
      <c r="QQ466"/>
      <c r="QR466"/>
      <c r="QS466"/>
      <c r="QT466"/>
      <c r="QU466"/>
      <c r="QV466"/>
      <c r="QW466"/>
      <c r="QX466"/>
      <c r="QY466"/>
      <c r="QZ466"/>
      <c r="RA466"/>
      <c r="RB466"/>
      <c r="RC466"/>
      <c r="RD466"/>
      <c r="RE466"/>
      <c r="RF466"/>
      <c r="RG466"/>
      <c r="RH466"/>
      <c r="RI466"/>
      <c r="RJ466"/>
      <c r="RK466"/>
      <c r="RL466"/>
      <c r="RM466"/>
      <c r="RN466"/>
      <c r="RO466"/>
      <c r="RP466"/>
      <c r="RQ466"/>
      <c r="RR466"/>
      <c r="RS466"/>
      <c r="RT466"/>
      <c r="RU466"/>
      <c r="RV466"/>
      <c r="RW466"/>
      <c r="RX466"/>
      <c r="RY466"/>
      <c r="RZ466"/>
      <c r="SA466"/>
      <c r="SB466"/>
      <c r="SC466"/>
      <c r="SD466"/>
      <c r="SE466"/>
      <c r="SF466"/>
      <c r="SG466"/>
      <c r="SH466"/>
      <c r="SI466"/>
      <c r="SJ466"/>
      <c r="SK466"/>
      <c r="SL466"/>
      <c r="SM466"/>
      <c r="SN466"/>
      <c r="SO466"/>
      <c r="SP466"/>
      <c r="SQ466"/>
      <c r="SR466"/>
      <c r="SS466"/>
      <c r="ST466"/>
      <c r="SU466"/>
      <c r="SV466"/>
      <c r="SW466"/>
      <c r="SX466"/>
      <c r="SY466"/>
      <c r="SZ466"/>
      <c r="TA466"/>
      <c r="TB466"/>
      <c r="TC466"/>
      <c r="TD466"/>
      <c r="TE466"/>
      <c r="TF466"/>
      <c r="TG466"/>
      <c r="TH466"/>
      <c r="TI466"/>
      <c r="TJ466"/>
      <c r="TK466"/>
      <c r="TL466"/>
      <c r="TM466"/>
      <c r="TN466"/>
      <c r="TO466"/>
      <c r="TP466"/>
      <c r="TQ466"/>
      <c r="TR466"/>
      <c r="TS466"/>
      <c r="TT466"/>
      <c r="TU466"/>
      <c r="TV466"/>
      <c r="TW466"/>
      <c r="TX466"/>
      <c r="TY466"/>
      <c r="TZ466"/>
      <c r="UA466"/>
      <c r="UB466"/>
      <c r="UC466"/>
      <c r="UD466"/>
      <c r="UE466"/>
      <c r="UF466"/>
      <c r="UG466"/>
      <c r="UH466"/>
      <c r="UI466"/>
      <c r="UJ466"/>
      <c r="UK466"/>
      <c r="UL466"/>
      <c r="UM466"/>
      <c r="UN466"/>
      <c r="UO466"/>
      <c r="UP466"/>
      <c r="UQ466"/>
      <c r="UR466"/>
      <c r="US466"/>
      <c r="UT466"/>
      <c r="UU466"/>
      <c r="UV466"/>
      <c r="UW466"/>
      <c r="UX466"/>
      <c r="UY466"/>
      <c r="UZ466"/>
      <c r="VA466"/>
      <c r="VB466"/>
      <c r="VC466"/>
      <c r="VD466"/>
      <c r="VE466"/>
      <c r="VF466"/>
      <c r="VG466"/>
      <c r="VH466"/>
      <c r="VI466"/>
      <c r="VJ466"/>
      <c r="VK466"/>
      <c r="VL466"/>
      <c r="VM466"/>
      <c r="VN466"/>
      <c r="VO466"/>
      <c r="VP466"/>
      <c r="VQ466"/>
      <c r="VR466"/>
      <c r="VS466"/>
      <c r="VT466"/>
      <c r="VU466"/>
      <c r="VV466"/>
      <c r="VW466"/>
      <c r="VX466"/>
      <c r="VY466"/>
      <c r="VZ466"/>
      <c r="WA466"/>
      <c r="WB466"/>
      <c r="WC466"/>
      <c r="WD466"/>
      <c r="WE466"/>
      <c r="WF466"/>
      <c r="WG466"/>
      <c r="WH466"/>
      <c r="WI466"/>
      <c r="WJ466"/>
      <c r="WK466"/>
      <c r="WL466"/>
      <c r="WM466"/>
      <c r="WN466"/>
      <c r="WO466"/>
      <c r="WP466"/>
      <c r="WQ466"/>
      <c r="WR466"/>
      <c r="WS466"/>
      <c r="WT466"/>
      <c r="WU466"/>
      <c r="WV466"/>
      <c r="WW466"/>
      <c r="WX466"/>
      <c r="WY466"/>
      <c r="WZ466"/>
      <c r="XA466"/>
      <c r="XB466"/>
      <c r="XC466"/>
      <c r="XD466"/>
      <c r="XE466"/>
      <c r="XF466"/>
      <c r="XG466"/>
      <c r="XH466"/>
      <c r="XI466"/>
      <c r="XJ466"/>
      <c r="XK466"/>
      <c r="XL466"/>
      <c r="XM466"/>
      <c r="XN466"/>
      <c r="XO466"/>
      <c r="XP466"/>
      <c r="XQ466"/>
      <c r="XR466"/>
      <c r="XS466"/>
      <c r="XT466"/>
      <c r="XU466"/>
      <c r="XV466"/>
      <c r="XW466"/>
      <c r="XX466"/>
      <c r="XY466"/>
      <c r="XZ466"/>
      <c r="YA466"/>
      <c r="YB466"/>
      <c r="YC466"/>
      <c r="YD466"/>
      <c r="YE466"/>
      <c r="YF466"/>
      <c r="YG466"/>
      <c r="YH466"/>
      <c r="YI466"/>
      <c r="YJ466"/>
      <c r="YK466"/>
      <c r="YL466"/>
      <c r="YM466"/>
      <c r="YN466"/>
      <c r="YO466"/>
      <c r="YP466"/>
      <c r="YQ466"/>
      <c r="YR466"/>
      <c r="YS466"/>
      <c r="YT466"/>
      <c r="YU466"/>
      <c r="YV466"/>
      <c r="YW466"/>
      <c r="YX466"/>
      <c r="YY466"/>
      <c r="YZ466"/>
      <c r="ZA466"/>
      <c r="ZB466"/>
      <c r="ZC466"/>
      <c r="ZD466"/>
      <c r="ZE466"/>
      <c r="ZF466"/>
      <c r="ZG466"/>
      <c r="ZH466"/>
      <c r="ZI466"/>
      <c r="ZJ466"/>
      <c r="ZK466"/>
      <c r="ZL466"/>
      <c r="ZM466"/>
      <c r="ZN466"/>
      <c r="ZO466"/>
      <c r="ZP466"/>
      <c r="ZQ466"/>
      <c r="ZR466"/>
      <c r="ZS466"/>
      <c r="ZT466"/>
      <c r="ZU466"/>
      <c r="ZV466"/>
      <c r="ZW466"/>
      <c r="ZX466"/>
      <c r="ZY466"/>
      <c r="ZZ466"/>
      <c r="AAA466"/>
      <c r="AAB466"/>
      <c r="AAC466"/>
      <c r="AAD466"/>
      <c r="AAE466"/>
      <c r="AAF466"/>
      <c r="AAG466"/>
      <c r="AAH466"/>
      <c r="AAI466"/>
      <c r="AAJ466"/>
      <c r="AAK466"/>
      <c r="AAL466"/>
      <c r="AAM466"/>
      <c r="AAN466"/>
      <c r="AAO466"/>
      <c r="AAP466"/>
      <c r="AAQ466"/>
      <c r="AAR466"/>
      <c r="AAS466"/>
      <c r="AAT466"/>
      <c r="AAU466"/>
      <c r="AAV466"/>
      <c r="AAW466"/>
      <c r="AAX466"/>
      <c r="AAY466"/>
      <c r="AAZ466"/>
      <c r="ABA466"/>
      <c r="ABB466"/>
      <c r="ABC466"/>
      <c r="ABD466"/>
      <c r="ABE466"/>
      <c r="ABF466"/>
      <c r="ABG466"/>
      <c r="ABH466"/>
      <c r="ABI466"/>
      <c r="ABJ466"/>
      <c r="ABK466"/>
      <c r="ABL466"/>
      <c r="ABM466"/>
      <c r="ABN466"/>
      <c r="ABO466"/>
      <c r="ABP466"/>
      <c r="ABQ466"/>
      <c r="ABR466"/>
      <c r="ABS466"/>
      <c r="ABT466"/>
      <c r="ABU466"/>
      <c r="ABV466"/>
      <c r="ABW466"/>
      <c r="ABX466"/>
      <c r="ABY466"/>
      <c r="ABZ466"/>
      <c r="ACA466"/>
      <c r="ACB466"/>
      <c r="ACC466"/>
      <c r="ACD466"/>
      <c r="ACE466"/>
      <c r="ACF466"/>
      <c r="ACG466"/>
      <c r="ACH466"/>
      <c r="ACI466"/>
      <c r="ACJ466"/>
      <c r="ACK466"/>
      <c r="ACL466"/>
      <c r="ACM466"/>
      <c r="ACN466"/>
      <c r="ACO466"/>
      <c r="ACP466"/>
      <c r="ACQ466"/>
      <c r="ACR466"/>
      <c r="ACS466"/>
      <c r="ACT466"/>
      <c r="ACU466"/>
      <c r="ACV466"/>
      <c r="ACW466"/>
      <c r="ACX466"/>
      <c r="ACY466"/>
      <c r="ACZ466"/>
      <c r="ADA466"/>
      <c r="ADB466"/>
      <c r="ADC466"/>
      <c r="ADD466"/>
      <c r="ADE466"/>
      <c r="ADF466"/>
      <c r="ADG466"/>
      <c r="ADH466"/>
      <c r="ADI466"/>
      <c r="ADJ466"/>
      <c r="ADK466"/>
      <c r="ADL466"/>
      <c r="ADM466"/>
      <c r="ADN466"/>
      <c r="ADO466"/>
      <c r="ADP466"/>
      <c r="ADQ466"/>
      <c r="ADR466"/>
      <c r="ADS466"/>
      <c r="ADT466"/>
      <c r="ADU466"/>
      <c r="ADV466"/>
      <c r="ADW466"/>
      <c r="ADX466"/>
      <c r="ADY466"/>
      <c r="ADZ466"/>
      <c r="AEA466"/>
      <c r="AEB466"/>
      <c r="AEC466"/>
      <c r="AED466"/>
      <c r="AEE466"/>
      <c r="AEF466"/>
      <c r="AEG466"/>
      <c r="AEH466"/>
      <c r="AEI466"/>
      <c r="AEJ466"/>
      <c r="AEK466"/>
      <c r="AEL466"/>
      <c r="AEM466"/>
      <c r="AEN466"/>
      <c r="AEO466"/>
      <c r="AEP466"/>
      <c r="AEQ466"/>
      <c r="AER466"/>
      <c r="AES466"/>
      <c r="AET466"/>
      <c r="AEU466"/>
      <c r="AEV466"/>
      <c r="AEW466"/>
      <c r="AEX466"/>
      <c r="AEY466"/>
      <c r="AEZ466"/>
      <c r="AFA466"/>
      <c r="AFB466"/>
      <c r="AFC466"/>
      <c r="AFD466"/>
      <c r="AFE466"/>
      <c r="AFF466"/>
      <c r="AFG466"/>
      <c r="AFH466"/>
      <c r="AFI466"/>
      <c r="AFJ466"/>
      <c r="AFK466"/>
      <c r="AFL466"/>
      <c r="AFM466"/>
      <c r="AFN466"/>
      <c r="AFO466"/>
      <c r="AFP466"/>
      <c r="AFQ466"/>
      <c r="AFR466"/>
      <c r="AFS466"/>
      <c r="AFT466"/>
      <c r="AFU466"/>
      <c r="AFV466"/>
      <c r="AFW466"/>
      <c r="AFX466"/>
      <c r="AFY466"/>
      <c r="AFZ466"/>
      <c r="AGA466"/>
      <c r="AGB466"/>
      <c r="AGC466"/>
      <c r="AGD466"/>
      <c r="AGE466"/>
      <c r="AGF466"/>
      <c r="AGG466"/>
      <c r="AGH466"/>
      <c r="AGI466"/>
      <c r="AGJ466"/>
      <c r="AGK466"/>
      <c r="AGL466"/>
      <c r="AGM466"/>
      <c r="AGN466"/>
      <c r="AGO466"/>
      <c r="AGP466"/>
      <c r="AGQ466"/>
      <c r="AGR466"/>
      <c r="AGS466"/>
      <c r="AGT466"/>
      <c r="AGU466"/>
      <c r="AGV466"/>
      <c r="AGW466"/>
      <c r="AGX466"/>
      <c r="AGY466"/>
      <c r="AGZ466"/>
      <c r="AHA466"/>
      <c r="AHB466"/>
      <c r="AHC466"/>
      <c r="AHD466"/>
      <c r="AHE466"/>
      <c r="AHF466"/>
      <c r="AHG466"/>
      <c r="AHH466"/>
      <c r="AHI466"/>
      <c r="AHJ466"/>
      <c r="AHK466"/>
      <c r="AHL466"/>
      <c r="AHM466"/>
      <c r="AHN466"/>
      <c r="AHO466"/>
      <c r="AHP466"/>
      <c r="AHQ466"/>
      <c r="AHR466"/>
      <c r="AHS466"/>
      <c r="AHT466"/>
      <c r="AHU466"/>
      <c r="AHV466"/>
      <c r="AHW466"/>
      <c r="AHX466"/>
      <c r="AHY466"/>
      <c r="AHZ466"/>
      <c r="AIA466"/>
      <c r="AIB466"/>
      <c r="AIC466"/>
      <c r="AID466"/>
      <c r="AIE466"/>
      <c r="AIF466"/>
      <c r="AIG466"/>
      <c r="AIH466"/>
      <c r="AII466"/>
      <c r="AIJ466"/>
      <c r="AIK466"/>
      <c r="AIL466"/>
      <c r="AIM466"/>
      <c r="AIN466"/>
      <c r="AIO466"/>
      <c r="AIP466"/>
      <c r="AIQ466"/>
      <c r="AIR466"/>
      <c r="AIS466"/>
      <c r="AIT466"/>
      <c r="AIU466"/>
      <c r="AIV466"/>
      <c r="AIW466"/>
      <c r="AIX466"/>
      <c r="AIY466"/>
      <c r="AIZ466"/>
      <c r="AJA466"/>
      <c r="AJB466"/>
      <c r="AJC466"/>
      <c r="AJD466"/>
      <c r="AJE466"/>
      <c r="AJF466"/>
      <c r="AJG466"/>
      <c r="AJH466"/>
      <c r="AJI466"/>
      <c r="AJJ466"/>
      <c r="AJK466"/>
      <c r="AJL466"/>
      <c r="AJM466"/>
      <c r="AJN466"/>
      <c r="AJO466"/>
      <c r="AJP466"/>
      <c r="AJQ466"/>
      <c r="AJR466"/>
      <c r="AJS466"/>
      <c r="AJT466"/>
      <c r="AJU466"/>
      <c r="AJV466"/>
      <c r="AJW466"/>
      <c r="AJX466"/>
      <c r="AJY466"/>
      <c r="AJZ466"/>
      <c r="AKA466"/>
      <c r="AKB466"/>
      <c r="AKC466"/>
      <c r="AKD466"/>
      <c r="AKE466"/>
      <c r="AKF466"/>
      <c r="AKG466"/>
      <c r="AKH466"/>
      <c r="AKI466"/>
      <c r="AKJ466"/>
      <c r="AKK466"/>
      <c r="AKL466"/>
      <c r="AKM466"/>
      <c r="AKN466"/>
      <c r="AKO466"/>
      <c r="AKP466"/>
      <c r="AKQ466"/>
      <c r="AKR466"/>
      <c r="AKS466"/>
      <c r="AKT466"/>
      <c r="AKU466"/>
      <c r="AKV466"/>
      <c r="AKW466"/>
      <c r="AKX466"/>
      <c r="AKY466"/>
      <c r="AKZ466"/>
      <c r="ALA466"/>
      <c r="ALB466"/>
      <c r="ALC466"/>
      <c r="ALD466"/>
      <c r="ALE466"/>
      <c r="ALF466"/>
      <c r="ALG466"/>
      <c r="ALH466"/>
      <c r="ALI466"/>
      <c r="ALJ466"/>
      <c r="ALK466"/>
      <c r="ALL466"/>
      <c r="ALM466"/>
      <c r="ALN466"/>
      <c r="ALO466"/>
      <c r="ALP466"/>
      <c r="ALQ466"/>
      <c r="ALR466"/>
      <c r="ALS466"/>
      <c r="ALT466"/>
    </row>
    <row r="467" spans="1:1008" ht="14">
      <c r="A467" s="25" t="s">
        <v>1257</v>
      </c>
      <c r="B467" s="26" t="s">
        <v>109</v>
      </c>
      <c r="C467" s="25" t="str">
        <f t="shared" si="7"/>
        <v>arg0</v>
      </c>
      <c r="D467" s="27" t="s">
        <v>13</v>
      </c>
      <c r="E467" s="25" t="s">
        <v>1258</v>
      </c>
      <c r="F467" s="25" t="s">
        <v>1259</v>
      </c>
      <c r="G467" s="25">
        <v>500</v>
      </c>
      <c r="H467" s="25"/>
    </row>
    <row r="468" spans="1:1008" ht="14">
      <c r="A468" s="25" t="s">
        <v>1260</v>
      </c>
      <c r="B468" s="26" t="s">
        <v>109</v>
      </c>
      <c r="C468" s="25" t="str">
        <f t="shared" si="7"/>
        <v>arg10</v>
      </c>
      <c r="D468" s="27" t="s">
        <v>13</v>
      </c>
      <c r="E468" s="25" t="s">
        <v>1261</v>
      </c>
      <c r="F468" s="25" t="s">
        <v>1262</v>
      </c>
      <c r="G468" s="25">
        <v>500</v>
      </c>
      <c r="H468" s="25"/>
    </row>
    <row r="469" spans="1:1008" ht="14">
      <c r="A469" s="25" t="s">
        <v>1263</v>
      </c>
      <c r="B469" s="26" t="s">
        <v>109</v>
      </c>
      <c r="C469" s="25" t="str">
        <f t="shared" si="7"/>
        <v>arg6</v>
      </c>
      <c r="D469" s="27" t="s">
        <v>13</v>
      </c>
      <c r="E469" s="25" t="s">
        <v>1264</v>
      </c>
      <c r="F469" s="25" t="s">
        <v>1265</v>
      </c>
      <c r="G469" s="25">
        <v>500</v>
      </c>
      <c r="H469" s="25"/>
    </row>
    <row r="470" spans="1:1008" ht="14">
      <c r="A470" s="25" t="s">
        <v>1266</v>
      </c>
      <c r="B470" s="26" t="s">
        <v>109</v>
      </c>
      <c r="C470" s="25" t="str">
        <f t="shared" si="7"/>
        <v>lys0</v>
      </c>
      <c r="D470" s="27" t="s">
        <v>13</v>
      </c>
      <c r="E470" s="25" t="s">
        <v>1267</v>
      </c>
      <c r="F470" s="27" t="s">
        <v>2802</v>
      </c>
      <c r="G470" s="25">
        <v>500</v>
      </c>
      <c r="H470" s="25"/>
    </row>
    <row r="471" spans="1:1008" ht="14">
      <c r="A471" s="25" t="s">
        <v>1268</v>
      </c>
      <c r="B471" s="26" t="s">
        <v>109</v>
      </c>
      <c r="C471" s="25" t="str">
        <f t="shared" si="7"/>
        <v>lys4</v>
      </c>
      <c r="D471" s="27" t="s">
        <v>13</v>
      </c>
      <c r="E471" s="25" t="s">
        <v>1269</v>
      </c>
      <c r="F471" s="25" t="s">
        <v>1270</v>
      </c>
      <c r="G471" s="25">
        <v>500</v>
      </c>
      <c r="H471" s="25"/>
    </row>
    <row r="472" spans="1:1008" ht="14">
      <c r="A472" s="25" t="s">
        <v>1271</v>
      </c>
      <c r="B472" s="26" t="s">
        <v>109</v>
      </c>
      <c r="C472" s="25" t="str">
        <f t="shared" si="7"/>
        <v>lys6</v>
      </c>
      <c r="D472" s="27" t="s">
        <v>13</v>
      </c>
      <c r="E472" s="25" t="s">
        <v>1272</v>
      </c>
      <c r="F472" s="25" t="s">
        <v>1273</v>
      </c>
      <c r="G472" s="25">
        <v>500</v>
      </c>
      <c r="H472" s="25"/>
    </row>
    <row r="473" spans="1:1008" ht="14">
      <c r="A473" s="25" t="s">
        <v>1274</v>
      </c>
      <c r="B473" s="26" t="s">
        <v>109</v>
      </c>
      <c r="C473" s="25" t="str">
        <f t="shared" si="7"/>
        <v>lys8</v>
      </c>
      <c r="D473" s="27" t="s">
        <v>13</v>
      </c>
      <c r="E473" s="25" t="s">
        <v>1275</v>
      </c>
      <c r="F473" s="25" t="s">
        <v>1276</v>
      </c>
      <c r="G473" s="25">
        <v>500</v>
      </c>
      <c r="H473" s="25"/>
    </row>
    <row r="474" spans="1:1008" ht="14">
      <c r="A474" s="25" t="s">
        <v>2804</v>
      </c>
      <c r="B474" s="26" t="s">
        <v>109</v>
      </c>
      <c r="C474" s="25" t="str">
        <f t="shared" si="7"/>
        <v>lys0arg0</v>
      </c>
      <c r="D474" s="27" t="s">
        <v>13</v>
      </c>
      <c r="E474" s="25" t="s">
        <v>2803</v>
      </c>
      <c r="F474" s="25" t="s">
        <v>2811</v>
      </c>
      <c r="G474" s="25">
        <v>500</v>
      </c>
      <c r="H474" s="25"/>
    </row>
    <row r="475" spans="1:1008" ht="14">
      <c r="A475" s="25" t="s">
        <v>2805</v>
      </c>
      <c r="B475" s="26" t="s">
        <v>109</v>
      </c>
      <c r="C475" s="25" t="str">
        <f t="shared" si="7"/>
        <v>lys4arg6</v>
      </c>
      <c r="D475" s="27"/>
      <c r="E475" s="25" t="s">
        <v>2806</v>
      </c>
      <c r="F475" s="25" t="s">
        <v>2810</v>
      </c>
      <c r="G475" s="25">
        <v>500</v>
      </c>
      <c r="H475" s="25"/>
    </row>
    <row r="476" spans="1:1008" ht="14">
      <c r="A476" s="25" t="s">
        <v>2807</v>
      </c>
      <c r="B476" s="26" t="s">
        <v>109</v>
      </c>
      <c r="C476" s="25" t="str">
        <f t="shared" si="7"/>
        <v>lys8arg10</v>
      </c>
      <c r="D476" s="27"/>
      <c r="E476" s="25" t="s">
        <v>2808</v>
      </c>
      <c r="F476" s="25" t="s">
        <v>2809</v>
      </c>
      <c r="G476" s="25">
        <v>500</v>
      </c>
      <c r="H476" s="25"/>
    </row>
    <row r="477" spans="1:1008" ht="14">
      <c r="A477" s="25" t="s">
        <v>1277</v>
      </c>
      <c r="B477" s="26" t="s">
        <v>111</v>
      </c>
      <c r="C477" s="25" t="str">
        <f t="shared" si="7"/>
        <v>abc_transporters</v>
      </c>
      <c r="D477" s="27" t="s">
        <v>13</v>
      </c>
      <c r="E477" s="25" t="s">
        <v>1278</v>
      </c>
      <c r="F477" s="25" t="s">
        <v>1279</v>
      </c>
      <c r="G477" s="25">
        <v>500</v>
      </c>
      <c r="H477" s="25"/>
    </row>
    <row r="478" spans="1:1008" ht="14">
      <c r="A478" s="25" t="s">
        <v>1280</v>
      </c>
      <c r="B478" s="26" t="s">
        <v>111</v>
      </c>
      <c r="C478" s="25" t="str">
        <f t="shared" si="7"/>
        <v>amidoxime_reducing_complex</v>
      </c>
      <c r="D478" s="27" t="s">
        <v>13</v>
      </c>
      <c r="E478" s="25" t="s">
        <v>1281</v>
      </c>
      <c r="F478" s="25" t="s">
        <v>1282</v>
      </c>
      <c r="G478" s="25">
        <v>500</v>
      </c>
      <c r="H478" s="25"/>
    </row>
    <row r="479" spans="1:1008" ht="14">
      <c r="A479" s="25" t="s">
        <v>1283</v>
      </c>
      <c r="B479" s="26" t="s">
        <v>111</v>
      </c>
      <c r="C479" s="25" t="str">
        <f t="shared" si="7"/>
        <v>amino_acid_metabolism</v>
      </c>
      <c r="D479" s="27" t="s">
        <v>13</v>
      </c>
      <c r="E479" s="25" t="s">
        <v>1284</v>
      </c>
      <c r="F479" s="25" t="s">
        <v>1285</v>
      </c>
      <c r="G479" s="25">
        <v>500</v>
      </c>
      <c r="H479" s="25"/>
    </row>
    <row r="480" spans="1:1008" ht="14">
      <c r="A480" s="25" t="s">
        <v>1286</v>
      </c>
      <c r="B480" s="26" t="s">
        <v>111</v>
      </c>
      <c r="C480" s="25" t="str">
        <f t="shared" si="7"/>
        <v>apoptosis</v>
      </c>
      <c r="D480" s="27" t="s">
        <v>13</v>
      </c>
      <c r="E480" s="25" t="s">
        <v>1287</v>
      </c>
      <c r="F480" s="25" t="s">
        <v>1288</v>
      </c>
      <c r="G480" s="25">
        <v>500</v>
      </c>
      <c r="H480" s="25"/>
    </row>
    <row r="481" spans="1:8" ht="14">
      <c r="A481" s="25" t="s">
        <v>1289</v>
      </c>
      <c r="B481" s="26" t="s">
        <v>111</v>
      </c>
      <c r="C481" s="25" t="str">
        <f t="shared" si="7"/>
        <v>autophagy</v>
      </c>
      <c r="D481" s="27" t="s">
        <v>13</v>
      </c>
      <c r="E481" s="25" t="s">
        <v>1290</v>
      </c>
      <c r="F481" s="25" t="s">
        <v>1291</v>
      </c>
      <c r="G481" s="25">
        <v>500</v>
      </c>
      <c r="H481" s="25"/>
    </row>
    <row r="482" spans="1:8" ht="14">
      <c r="A482" s="25" t="s">
        <v>1292</v>
      </c>
      <c r="B482" s="26" t="s">
        <v>111</v>
      </c>
      <c r="C482" s="25" t="str">
        <f t="shared" si="7"/>
        <v>biotin_utilizing_proteins</v>
      </c>
      <c r="D482" s="27" t="s">
        <v>13</v>
      </c>
      <c r="E482" s="25" t="s">
        <v>1293</v>
      </c>
      <c r="F482" s="25" t="s">
        <v>1294</v>
      </c>
      <c r="G482" s="25">
        <v>500</v>
      </c>
      <c r="H482" s="25"/>
    </row>
    <row r="483" spans="1:8" ht="14">
      <c r="A483" s="25" t="s">
        <v>1295</v>
      </c>
      <c r="B483" s="26" t="s">
        <v>111</v>
      </c>
      <c r="C483" s="25" t="str">
        <f t="shared" si="7"/>
        <v>branched_chain_amino_acid_dehydrogenase_complex</v>
      </c>
      <c r="D483" s="27" t="s">
        <v>13</v>
      </c>
      <c r="E483" s="25" t="s">
        <v>1296</v>
      </c>
      <c r="F483" s="25" t="s">
        <v>1297</v>
      </c>
      <c r="G483" s="25">
        <v>500</v>
      </c>
      <c r="H483" s="25"/>
    </row>
    <row r="484" spans="1:8" ht="14">
      <c r="A484" s="25" t="s">
        <v>1298</v>
      </c>
      <c r="B484" s="26" t="s">
        <v>111</v>
      </c>
      <c r="C484" s="25" t="str">
        <f t="shared" si="7"/>
        <v>branched_chain_amino_acid_metabolism</v>
      </c>
      <c r="D484" s="27" t="s">
        <v>13</v>
      </c>
      <c r="E484" s="25" t="s">
        <v>1299</v>
      </c>
      <c r="F484" s="25" t="s">
        <v>1300</v>
      </c>
      <c r="G484" s="25">
        <v>500</v>
      </c>
      <c r="H484" s="25"/>
    </row>
    <row r="485" spans="1:8" ht="14">
      <c r="A485" s="25" t="s">
        <v>1301</v>
      </c>
      <c r="B485" s="26" t="s">
        <v>111</v>
      </c>
      <c r="C485" s="25" t="str">
        <f t="shared" si="7"/>
        <v>calcium_cycle</v>
      </c>
      <c r="D485" s="27" t="s">
        <v>13</v>
      </c>
      <c r="E485" s="25" t="s">
        <v>1302</v>
      </c>
      <c r="F485" s="25" t="s">
        <v>1303</v>
      </c>
      <c r="G485" s="25">
        <v>500</v>
      </c>
      <c r="H485" s="25"/>
    </row>
    <row r="486" spans="1:8" ht="14">
      <c r="A486" s="25" t="s">
        <v>1304</v>
      </c>
      <c r="B486" s="26" t="s">
        <v>111</v>
      </c>
      <c r="C486" s="25" t="str">
        <f t="shared" si="7"/>
        <v>calcium_homeostasis</v>
      </c>
      <c r="D486" s="27" t="s">
        <v>13</v>
      </c>
      <c r="E486" s="25" t="s">
        <v>1305</v>
      </c>
      <c r="F486" s="25" t="s">
        <v>1306</v>
      </c>
      <c r="G486" s="25">
        <v>500</v>
      </c>
      <c r="H486" s="25"/>
    </row>
    <row r="487" spans="1:8" ht="14">
      <c r="A487" s="25" t="s">
        <v>1307</v>
      </c>
      <c r="B487" s="26" t="s">
        <v>111</v>
      </c>
      <c r="C487" s="25" t="str">
        <f t="shared" si="7"/>
        <v>calcium_uniporter</v>
      </c>
      <c r="D487" s="27" t="s">
        <v>13</v>
      </c>
      <c r="E487" s="25" t="s">
        <v>1308</v>
      </c>
      <c r="F487" s="25" t="s">
        <v>1309</v>
      </c>
      <c r="G487" s="25">
        <v>500</v>
      </c>
      <c r="H487" s="25"/>
    </row>
    <row r="488" spans="1:8" ht="14">
      <c r="A488" s="25" t="s">
        <v>1310</v>
      </c>
      <c r="B488" s="26" t="s">
        <v>111</v>
      </c>
      <c r="C488" s="25" t="str">
        <f t="shared" si="7"/>
        <v>camp_pka_signaling</v>
      </c>
      <c r="D488" s="27" t="s">
        <v>13</v>
      </c>
      <c r="E488" s="25" t="s">
        <v>1311</v>
      </c>
      <c r="F488" s="25" t="s">
        <v>1312</v>
      </c>
      <c r="G488" s="25">
        <v>500</v>
      </c>
      <c r="H488" s="25"/>
    </row>
    <row r="489" spans="1:8" ht="14">
      <c r="A489" s="25" t="s">
        <v>1313</v>
      </c>
      <c r="B489" s="26" t="s">
        <v>111</v>
      </c>
      <c r="C489" s="25" t="str">
        <f t="shared" si="7"/>
        <v>carbohydrate_metabolism</v>
      </c>
      <c r="D489" s="27" t="s">
        <v>13</v>
      </c>
      <c r="E489" s="25" t="s">
        <v>1314</v>
      </c>
      <c r="F489" s="25" t="s">
        <v>1315</v>
      </c>
      <c r="G489" s="25">
        <v>500</v>
      </c>
      <c r="H489" s="25"/>
    </row>
    <row r="490" spans="1:8" ht="14">
      <c r="A490" s="25" t="s">
        <v>1316</v>
      </c>
      <c r="B490" s="26" t="s">
        <v>111</v>
      </c>
      <c r="C490" s="25" t="str">
        <f t="shared" si="7"/>
        <v>cardiolipin_synthesis</v>
      </c>
      <c r="D490" s="27" t="s">
        <v>13</v>
      </c>
      <c r="E490" s="25" t="s">
        <v>1317</v>
      </c>
      <c r="F490" s="25" t="s">
        <v>1318</v>
      </c>
      <c r="G490" s="25">
        <v>500</v>
      </c>
      <c r="H490" s="25"/>
    </row>
    <row r="491" spans="1:8" ht="14">
      <c r="A491" s="25" t="s">
        <v>1319</v>
      </c>
      <c r="B491" s="26" t="s">
        <v>111</v>
      </c>
      <c r="C491" s="25" t="str">
        <f t="shared" si="7"/>
        <v>carnitine_shuttle</v>
      </c>
      <c r="D491" s="27" t="s">
        <v>13</v>
      </c>
      <c r="E491" s="25" t="s">
        <v>1320</v>
      </c>
      <c r="F491" s="25" t="s">
        <v>1321</v>
      </c>
      <c r="G491" s="25">
        <v>500</v>
      </c>
      <c r="H491" s="25"/>
    </row>
    <row r="492" spans="1:8" ht="14">
      <c r="A492" s="25" t="s">
        <v>1322</v>
      </c>
      <c r="B492" s="26" t="s">
        <v>111</v>
      </c>
      <c r="C492" s="25" t="str">
        <f t="shared" si="7"/>
        <v>carnitine_synthesis_and_transport</v>
      </c>
      <c r="D492" s="27" t="s">
        <v>13</v>
      </c>
      <c r="E492" s="25" t="s">
        <v>1323</v>
      </c>
      <c r="F492" s="25" t="s">
        <v>1324</v>
      </c>
      <c r="G492" s="25">
        <v>500</v>
      </c>
      <c r="H492" s="25"/>
    </row>
    <row r="493" spans="1:8" ht="14">
      <c r="A493" s="25" t="s">
        <v>1325</v>
      </c>
      <c r="B493" s="26" t="s">
        <v>111</v>
      </c>
      <c r="C493" s="25" t="str">
        <f t="shared" si="7"/>
        <v>catechol_metabolism</v>
      </c>
      <c r="D493" s="27" t="s">
        <v>13</v>
      </c>
      <c r="E493" s="25" t="s">
        <v>1326</v>
      </c>
      <c r="F493" s="25" t="s">
        <v>1327</v>
      </c>
      <c r="G493" s="25">
        <v>500</v>
      </c>
      <c r="H493" s="25"/>
    </row>
    <row r="494" spans="1:8" ht="14">
      <c r="A494" s="25" t="s">
        <v>1328</v>
      </c>
      <c r="B494" s="26" t="s">
        <v>111</v>
      </c>
      <c r="C494" s="25" t="str">
        <f t="shared" si="7"/>
        <v>chaperones</v>
      </c>
      <c r="D494" s="27" t="s">
        <v>13</v>
      </c>
      <c r="E494" s="25" t="s">
        <v>1329</v>
      </c>
      <c r="F494" s="25" t="s">
        <v>1330</v>
      </c>
      <c r="G494" s="25">
        <v>500</v>
      </c>
      <c r="H494" s="25"/>
    </row>
    <row r="495" spans="1:8" ht="14">
      <c r="A495" s="25" t="s">
        <v>1331</v>
      </c>
      <c r="B495" s="26" t="s">
        <v>111</v>
      </c>
      <c r="C495" s="25" t="str">
        <f t="shared" si="7"/>
        <v>cholesterol_associated</v>
      </c>
      <c r="D495" s="27" t="s">
        <v>13</v>
      </c>
      <c r="E495" s="25" t="s">
        <v>1332</v>
      </c>
      <c r="F495" s="25" t="s">
        <v>1333</v>
      </c>
      <c r="G495" s="25">
        <v>500</v>
      </c>
      <c r="H495" s="25"/>
    </row>
    <row r="496" spans="1:8" ht="14">
      <c r="A496" s="25" t="s">
        <v>1334</v>
      </c>
      <c r="B496" s="26" t="s">
        <v>111</v>
      </c>
      <c r="C496" s="25" t="str">
        <f t="shared" si="7"/>
        <v>choline_and_betaine_metabolism</v>
      </c>
      <c r="D496" s="27" t="s">
        <v>13</v>
      </c>
      <c r="E496" s="25" t="s">
        <v>1335</v>
      </c>
      <c r="F496" s="25" t="s">
        <v>1336</v>
      </c>
      <c r="G496" s="25">
        <v>500</v>
      </c>
      <c r="H496" s="25"/>
    </row>
    <row r="497" spans="1:8" ht="14">
      <c r="A497" s="25" t="s">
        <v>1337</v>
      </c>
      <c r="B497" s="26" t="s">
        <v>111</v>
      </c>
      <c r="C497" s="25" t="str">
        <f t="shared" si="7"/>
        <v>ci_assembly_factors</v>
      </c>
      <c r="D497" s="27" t="s">
        <v>13</v>
      </c>
      <c r="E497" s="25" t="s">
        <v>1338</v>
      </c>
      <c r="F497" s="25" t="s">
        <v>1339</v>
      </c>
      <c r="G497" s="25">
        <v>500</v>
      </c>
      <c r="H497" s="25"/>
    </row>
    <row r="498" spans="1:8" ht="14">
      <c r="A498" s="25" t="s">
        <v>1340</v>
      </c>
      <c r="B498" s="26" t="s">
        <v>111</v>
      </c>
      <c r="C498" s="25" t="str">
        <f t="shared" si="7"/>
        <v>ci_subunits</v>
      </c>
      <c r="D498" s="27" t="s">
        <v>13</v>
      </c>
      <c r="E498" s="25" t="s">
        <v>1341</v>
      </c>
      <c r="F498" s="25" t="s">
        <v>1342</v>
      </c>
      <c r="G498" s="25">
        <v>500</v>
      </c>
      <c r="H498" s="25"/>
    </row>
    <row r="499" spans="1:8" ht="14">
      <c r="A499" s="25" t="s">
        <v>1343</v>
      </c>
      <c r="B499" s="26" t="s">
        <v>111</v>
      </c>
      <c r="C499" s="25" t="str">
        <f t="shared" si="7"/>
        <v>cii_assembly_factors</v>
      </c>
      <c r="D499" s="27" t="s">
        <v>13</v>
      </c>
      <c r="E499" s="25" t="s">
        <v>1344</v>
      </c>
      <c r="F499" s="25" t="s">
        <v>1345</v>
      </c>
      <c r="G499" s="25">
        <v>500</v>
      </c>
      <c r="H499" s="25"/>
    </row>
    <row r="500" spans="1:8" ht="14">
      <c r="A500" s="25" t="s">
        <v>1346</v>
      </c>
      <c r="B500" s="26" t="s">
        <v>111</v>
      </c>
      <c r="C500" s="25" t="str">
        <f t="shared" si="7"/>
        <v>cii_subunits</v>
      </c>
      <c r="D500" s="27" t="s">
        <v>13</v>
      </c>
      <c r="E500" s="25" t="s">
        <v>1347</v>
      </c>
      <c r="F500" s="25" t="s">
        <v>1348</v>
      </c>
      <c r="G500" s="25">
        <v>500</v>
      </c>
      <c r="H500" s="25"/>
    </row>
    <row r="501" spans="1:8" ht="14">
      <c r="A501" s="25" t="s">
        <v>1349</v>
      </c>
      <c r="B501" s="26" t="s">
        <v>111</v>
      </c>
      <c r="C501" s="25" t="str">
        <f t="shared" ref="C501:C564" si="8">A501</f>
        <v>ciii_assembly_factors</v>
      </c>
      <c r="D501" s="27" t="s">
        <v>13</v>
      </c>
      <c r="E501" s="25" t="s">
        <v>1350</v>
      </c>
      <c r="F501" s="25" t="s">
        <v>1351</v>
      </c>
      <c r="G501" s="25">
        <v>500</v>
      </c>
      <c r="H501" s="25"/>
    </row>
    <row r="502" spans="1:8" ht="14">
      <c r="A502" s="25" t="s">
        <v>1352</v>
      </c>
      <c r="B502" s="26" t="s">
        <v>111</v>
      </c>
      <c r="C502" s="25" t="str">
        <f t="shared" si="8"/>
        <v>ciii_subunits</v>
      </c>
      <c r="D502" s="27" t="s">
        <v>13</v>
      </c>
      <c r="E502" s="25" t="s">
        <v>1353</v>
      </c>
      <c r="F502" s="25" t="s">
        <v>1354</v>
      </c>
      <c r="G502" s="25">
        <v>500</v>
      </c>
      <c r="H502" s="25"/>
    </row>
    <row r="503" spans="1:8" ht="14">
      <c r="A503" s="25" t="s">
        <v>1355</v>
      </c>
      <c r="B503" s="26" t="s">
        <v>111</v>
      </c>
      <c r="C503" s="25" t="str">
        <f t="shared" si="8"/>
        <v>civ_assembly_factors</v>
      </c>
      <c r="D503" s="27" t="s">
        <v>13</v>
      </c>
      <c r="E503" s="25" t="s">
        <v>1356</v>
      </c>
      <c r="F503" s="25" t="s">
        <v>1357</v>
      </c>
      <c r="G503" s="25">
        <v>500</v>
      </c>
      <c r="H503" s="25"/>
    </row>
    <row r="504" spans="1:8" ht="14">
      <c r="A504" s="25" t="s">
        <v>1358</v>
      </c>
      <c r="B504" s="26" t="s">
        <v>111</v>
      </c>
      <c r="C504" s="25" t="str">
        <f t="shared" si="8"/>
        <v>civ_subunits</v>
      </c>
      <c r="D504" s="27" t="s">
        <v>13</v>
      </c>
      <c r="E504" s="25" t="s">
        <v>1359</v>
      </c>
      <c r="F504" s="25" t="s">
        <v>1360</v>
      </c>
      <c r="G504" s="25">
        <v>500</v>
      </c>
      <c r="H504" s="25"/>
    </row>
    <row r="505" spans="1:8" ht="14">
      <c r="A505" s="25" t="s">
        <v>1361</v>
      </c>
      <c r="B505" s="26" t="s">
        <v>111</v>
      </c>
      <c r="C505" s="25" t="str">
        <f t="shared" si="8"/>
        <v>coenzyme_a_metabolism</v>
      </c>
      <c r="D505" s="27" t="s">
        <v>13</v>
      </c>
      <c r="E505" s="25" t="s">
        <v>1362</v>
      </c>
      <c r="F505" s="25" t="s">
        <v>1363</v>
      </c>
      <c r="G505" s="25">
        <v>500</v>
      </c>
      <c r="H505" s="25"/>
    </row>
    <row r="506" spans="1:8" ht="14">
      <c r="A506" s="25" t="s">
        <v>1364</v>
      </c>
      <c r="B506" s="26" t="s">
        <v>111</v>
      </c>
      <c r="C506" s="25" t="str">
        <f t="shared" si="8"/>
        <v>coenzyme_q_metabolism</v>
      </c>
      <c r="D506" s="27" t="s">
        <v>13</v>
      </c>
      <c r="E506" s="25" t="s">
        <v>1365</v>
      </c>
      <c r="F506" s="25" t="s">
        <v>1366</v>
      </c>
      <c r="G506" s="25">
        <v>500</v>
      </c>
      <c r="H506" s="25"/>
    </row>
    <row r="507" spans="1:8" ht="14">
      <c r="A507" s="25" t="s">
        <v>1367</v>
      </c>
      <c r="B507" s="26" t="s">
        <v>111</v>
      </c>
      <c r="C507" s="25" t="str">
        <f t="shared" si="8"/>
        <v>complex_i</v>
      </c>
      <c r="D507" s="27" t="s">
        <v>13</v>
      </c>
      <c r="E507" s="25" t="s">
        <v>1368</v>
      </c>
      <c r="F507" s="25" t="s">
        <v>1369</v>
      </c>
      <c r="G507" s="25">
        <v>500</v>
      </c>
      <c r="H507" s="25"/>
    </row>
    <row r="508" spans="1:8" ht="14">
      <c r="A508" s="25" t="s">
        <v>1370</v>
      </c>
      <c r="B508" s="26" t="s">
        <v>111</v>
      </c>
      <c r="C508" s="25" t="str">
        <f t="shared" si="8"/>
        <v>complex_ii</v>
      </c>
      <c r="D508" s="27" t="s">
        <v>13</v>
      </c>
      <c r="E508" s="25" t="s">
        <v>1371</v>
      </c>
      <c r="F508" s="25" t="s">
        <v>1372</v>
      </c>
      <c r="G508" s="25">
        <v>500</v>
      </c>
      <c r="H508" s="25"/>
    </row>
    <row r="509" spans="1:8" ht="14">
      <c r="A509" s="25" t="s">
        <v>1373</v>
      </c>
      <c r="B509" s="26" t="s">
        <v>111</v>
      </c>
      <c r="C509" s="25" t="str">
        <f t="shared" si="8"/>
        <v>complex_iii</v>
      </c>
      <c r="D509" s="27" t="s">
        <v>13</v>
      </c>
      <c r="E509" s="25" t="s">
        <v>1374</v>
      </c>
      <c r="F509" s="25" t="s">
        <v>1375</v>
      </c>
      <c r="G509" s="25">
        <v>500</v>
      </c>
      <c r="H509" s="25"/>
    </row>
    <row r="510" spans="1:8" ht="14">
      <c r="A510" s="25" t="s">
        <v>1376</v>
      </c>
      <c r="B510" s="26" t="s">
        <v>111</v>
      </c>
      <c r="C510" s="25" t="str">
        <f t="shared" si="8"/>
        <v>complex_iv</v>
      </c>
      <c r="D510" s="27" t="s">
        <v>13</v>
      </c>
      <c r="E510" s="25" t="s">
        <v>1377</v>
      </c>
      <c r="F510" s="25" t="s">
        <v>1378</v>
      </c>
      <c r="G510" s="25">
        <v>500</v>
      </c>
      <c r="H510" s="25"/>
    </row>
    <row r="511" spans="1:8" ht="14">
      <c r="A511" s="25" t="s">
        <v>1379</v>
      </c>
      <c r="B511" s="26" t="s">
        <v>111</v>
      </c>
      <c r="C511" s="25" t="str">
        <f t="shared" si="8"/>
        <v>complex_v</v>
      </c>
      <c r="D511" s="27" t="s">
        <v>13</v>
      </c>
      <c r="E511" s="25" t="s">
        <v>1380</v>
      </c>
      <c r="F511" s="25" t="s">
        <v>1381</v>
      </c>
      <c r="G511" s="25">
        <v>500</v>
      </c>
      <c r="H511" s="25"/>
    </row>
    <row r="512" spans="1:8" ht="14">
      <c r="A512" s="25" t="s">
        <v>1382</v>
      </c>
      <c r="B512" s="26" t="s">
        <v>111</v>
      </c>
      <c r="C512" s="25" t="str">
        <f t="shared" si="8"/>
        <v>copper_metabolism</v>
      </c>
      <c r="D512" s="27" t="s">
        <v>13</v>
      </c>
      <c r="E512" s="25" t="s">
        <v>1383</v>
      </c>
      <c r="F512" s="25" t="s">
        <v>1384</v>
      </c>
      <c r="G512" s="25">
        <v>500</v>
      </c>
      <c r="H512" s="25"/>
    </row>
    <row r="513" spans="1:8" ht="14">
      <c r="A513" s="25" t="s">
        <v>1385</v>
      </c>
      <c r="B513" s="26" t="s">
        <v>111</v>
      </c>
      <c r="C513" s="25" t="str">
        <f t="shared" si="8"/>
        <v>creatine_metabolism</v>
      </c>
      <c r="D513" s="27" t="s">
        <v>13</v>
      </c>
      <c r="E513" s="25" t="s">
        <v>1386</v>
      </c>
      <c r="F513" s="25" t="s">
        <v>1387</v>
      </c>
      <c r="G513" s="25">
        <v>500</v>
      </c>
      <c r="H513" s="25"/>
    </row>
    <row r="514" spans="1:8" ht="14">
      <c r="A514" s="25" t="s">
        <v>1388</v>
      </c>
      <c r="B514" s="26" t="s">
        <v>111</v>
      </c>
      <c r="C514" s="25" t="str">
        <f t="shared" si="8"/>
        <v>cristae_formation</v>
      </c>
      <c r="D514" s="27" t="s">
        <v>13</v>
      </c>
      <c r="E514" s="25" t="s">
        <v>1389</v>
      </c>
      <c r="F514" s="25" t="s">
        <v>1390</v>
      </c>
      <c r="G514" s="25">
        <v>500</v>
      </c>
      <c r="H514" s="25"/>
    </row>
    <row r="515" spans="1:8" ht="14">
      <c r="A515" s="25" t="s">
        <v>1391</v>
      </c>
      <c r="B515" s="26" t="s">
        <v>111</v>
      </c>
      <c r="C515" s="25" t="str">
        <f t="shared" si="8"/>
        <v>cv_assembly_factors</v>
      </c>
      <c r="D515" s="27" t="s">
        <v>13</v>
      </c>
      <c r="E515" s="25" t="s">
        <v>1392</v>
      </c>
      <c r="F515" s="25" t="s">
        <v>1393</v>
      </c>
      <c r="G515" s="25">
        <v>500</v>
      </c>
      <c r="H515" s="25"/>
    </row>
    <row r="516" spans="1:8" ht="14">
      <c r="A516" s="25" t="s">
        <v>1394</v>
      </c>
      <c r="B516" s="26" t="s">
        <v>111</v>
      </c>
      <c r="C516" s="25" t="str">
        <f t="shared" si="8"/>
        <v>cv_subunits</v>
      </c>
      <c r="D516" s="27" t="s">
        <v>13</v>
      </c>
      <c r="E516" s="25" t="s">
        <v>1395</v>
      </c>
      <c r="F516" s="25" t="s">
        <v>1396</v>
      </c>
      <c r="G516" s="25">
        <v>500</v>
      </c>
      <c r="H516" s="25"/>
    </row>
    <row r="517" spans="1:8" ht="14">
      <c r="A517" s="25" t="s">
        <v>1397</v>
      </c>
      <c r="B517" s="26" t="s">
        <v>111</v>
      </c>
      <c r="C517" s="25" t="str">
        <f t="shared" si="8"/>
        <v>cytochrome_c</v>
      </c>
      <c r="D517" s="27" t="s">
        <v>13</v>
      </c>
      <c r="E517" s="25" t="s">
        <v>1398</v>
      </c>
      <c r="F517" s="25" t="s">
        <v>1399</v>
      </c>
      <c r="G517" s="25">
        <v>500</v>
      </c>
      <c r="H517" s="25"/>
    </row>
    <row r="518" spans="1:8" ht="14">
      <c r="A518" s="25" t="s">
        <v>1400</v>
      </c>
      <c r="B518" s="26" t="s">
        <v>111</v>
      </c>
      <c r="C518" s="25" t="str">
        <f t="shared" si="8"/>
        <v>cytochromes</v>
      </c>
      <c r="D518" s="27" t="s">
        <v>13</v>
      </c>
      <c r="E518" s="25" t="s">
        <v>1401</v>
      </c>
      <c r="F518" s="25" t="s">
        <v>1402</v>
      </c>
      <c r="G518" s="25">
        <v>500</v>
      </c>
      <c r="H518" s="25"/>
    </row>
    <row r="519" spans="1:8" ht="14">
      <c r="A519" s="25" t="s">
        <v>1403</v>
      </c>
      <c r="B519" s="26" t="s">
        <v>111</v>
      </c>
      <c r="C519" s="25" t="str">
        <f t="shared" si="8"/>
        <v>detoxification</v>
      </c>
      <c r="D519" s="27" t="s">
        <v>13</v>
      </c>
      <c r="E519" s="25" t="s">
        <v>1404</v>
      </c>
      <c r="F519" s="25" t="s">
        <v>1405</v>
      </c>
      <c r="G519" s="25">
        <v>500</v>
      </c>
      <c r="H519" s="25"/>
    </row>
    <row r="520" spans="1:8" ht="14">
      <c r="A520" s="25" t="s">
        <v>1406</v>
      </c>
      <c r="B520" s="26" t="s">
        <v>111</v>
      </c>
      <c r="C520" s="25" t="str">
        <f t="shared" si="8"/>
        <v>ef_hand_proteins</v>
      </c>
      <c r="D520" s="27" t="s">
        <v>13</v>
      </c>
      <c r="E520" s="25" t="s">
        <v>1407</v>
      </c>
      <c r="F520" s="25" t="s">
        <v>1408</v>
      </c>
      <c r="G520" s="25">
        <v>500</v>
      </c>
      <c r="H520" s="25"/>
    </row>
    <row r="521" spans="1:8" ht="14">
      <c r="A521" s="25" t="s">
        <v>1409</v>
      </c>
      <c r="B521" s="26" t="s">
        <v>111</v>
      </c>
      <c r="C521" s="25" t="str">
        <f t="shared" si="8"/>
        <v>eicosanoid_metabolism</v>
      </c>
      <c r="D521" s="27" t="s">
        <v>13</v>
      </c>
      <c r="E521" s="25" t="s">
        <v>1410</v>
      </c>
      <c r="F521" s="25" t="s">
        <v>1411</v>
      </c>
      <c r="G521" s="25">
        <v>500</v>
      </c>
      <c r="H521" s="25"/>
    </row>
    <row r="522" spans="1:8" ht="14">
      <c r="A522" s="25" t="s">
        <v>1412</v>
      </c>
      <c r="B522" s="26" t="s">
        <v>111</v>
      </c>
      <c r="C522" s="25" t="str">
        <f t="shared" si="8"/>
        <v>electron_carriers</v>
      </c>
      <c r="D522" s="27" t="s">
        <v>13</v>
      </c>
      <c r="E522" s="25" t="s">
        <v>1413</v>
      </c>
      <c r="F522" s="25" t="s">
        <v>1414</v>
      </c>
      <c r="G522" s="25">
        <v>500</v>
      </c>
      <c r="H522" s="25"/>
    </row>
    <row r="523" spans="1:8" ht="14">
      <c r="A523" s="25" t="s">
        <v>1415</v>
      </c>
      <c r="B523" s="26" t="s">
        <v>111</v>
      </c>
      <c r="C523" s="25" t="str">
        <f t="shared" si="8"/>
        <v>fatty_acid_oxidation</v>
      </c>
      <c r="D523" s="27" t="s">
        <v>13</v>
      </c>
      <c r="E523" s="25" t="s">
        <v>1416</v>
      </c>
      <c r="F523" s="25" t="s">
        <v>1417</v>
      </c>
      <c r="G523" s="25">
        <v>500</v>
      </c>
      <c r="H523" s="25"/>
    </row>
    <row r="524" spans="1:8" ht="14">
      <c r="A524" s="25" t="s">
        <v>1418</v>
      </c>
      <c r="B524" s="26" t="s">
        <v>111</v>
      </c>
      <c r="C524" s="25" t="str">
        <f t="shared" si="8"/>
        <v>fe_s_cluster_biosynthesis</v>
      </c>
      <c r="D524" s="27" t="s">
        <v>13</v>
      </c>
      <c r="E524" s="25" t="s">
        <v>1419</v>
      </c>
      <c r="F524" s="25" t="s">
        <v>1420</v>
      </c>
      <c r="G524" s="25">
        <v>500</v>
      </c>
      <c r="H524" s="25"/>
    </row>
    <row r="525" spans="1:8" ht="14">
      <c r="A525" s="25" t="s">
        <v>1421</v>
      </c>
      <c r="B525" s="26" t="s">
        <v>111</v>
      </c>
      <c r="C525" s="25" t="str">
        <f t="shared" si="8"/>
        <v>fe_s_containing_proteins</v>
      </c>
      <c r="D525" s="27" t="s">
        <v>13</v>
      </c>
      <c r="E525" s="25" t="s">
        <v>1422</v>
      </c>
      <c r="F525" s="25" t="s">
        <v>1423</v>
      </c>
      <c r="G525" s="25">
        <v>500</v>
      </c>
      <c r="H525" s="25"/>
    </row>
    <row r="526" spans="1:8" ht="14">
      <c r="A526" s="25" t="s">
        <v>1424</v>
      </c>
      <c r="B526" s="26" t="s">
        <v>111</v>
      </c>
      <c r="C526" s="25" t="str">
        <f t="shared" si="8"/>
        <v>fission</v>
      </c>
      <c r="D526" s="27" t="s">
        <v>13</v>
      </c>
      <c r="E526" s="25" t="s">
        <v>1425</v>
      </c>
      <c r="F526" s="25" t="s">
        <v>1426</v>
      </c>
      <c r="G526" s="25">
        <v>500</v>
      </c>
      <c r="H526" s="25"/>
    </row>
    <row r="527" spans="1:8" ht="14">
      <c r="A527" s="25" t="s">
        <v>1427</v>
      </c>
      <c r="B527" s="26" t="s">
        <v>111</v>
      </c>
      <c r="C527" s="25" t="str">
        <f t="shared" si="8"/>
        <v>fmet_processing</v>
      </c>
      <c r="D527" s="27" t="s">
        <v>13</v>
      </c>
      <c r="E527" s="25" t="s">
        <v>1428</v>
      </c>
      <c r="F527" s="25" t="s">
        <v>1429</v>
      </c>
      <c r="G527" s="25">
        <v>500</v>
      </c>
      <c r="H527" s="25"/>
    </row>
    <row r="528" spans="1:8" ht="14">
      <c r="A528" s="25" t="s">
        <v>1430</v>
      </c>
      <c r="B528" s="26" t="s">
        <v>111</v>
      </c>
      <c r="C528" s="25" t="str">
        <f t="shared" si="8"/>
        <v>folate_and_1_c_metabolism</v>
      </c>
      <c r="D528" s="27" t="s">
        <v>13</v>
      </c>
      <c r="E528" s="25" t="s">
        <v>1431</v>
      </c>
      <c r="F528" s="25" t="s">
        <v>1432</v>
      </c>
      <c r="G528" s="25">
        <v>500</v>
      </c>
      <c r="H528" s="25"/>
    </row>
    <row r="529" spans="1:8" ht="14">
      <c r="A529" s="25" t="s">
        <v>1433</v>
      </c>
      <c r="B529" s="26" t="s">
        <v>111</v>
      </c>
      <c r="C529" s="25" t="str">
        <f t="shared" si="8"/>
        <v>fusion</v>
      </c>
      <c r="D529" s="27" t="s">
        <v>13</v>
      </c>
      <c r="E529" s="25" t="s">
        <v>1434</v>
      </c>
      <c r="F529" s="25" t="s">
        <v>1435</v>
      </c>
      <c r="G529" s="25">
        <v>500</v>
      </c>
      <c r="H529" s="25"/>
    </row>
    <row r="530" spans="1:8" ht="14">
      <c r="A530" s="25" t="s">
        <v>1436</v>
      </c>
      <c r="B530" s="26" t="s">
        <v>111</v>
      </c>
      <c r="C530" s="25" t="str">
        <f t="shared" si="8"/>
        <v>gaba_metabolism</v>
      </c>
      <c r="D530" s="27" t="s">
        <v>13</v>
      </c>
      <c r="E530" s="25" t="s">
        <v>1437</v>
      </c>
      <c r="F530" s="25" t="s">
        <v>1438</v>
      </c>
      <c r="G530" s="25">
        <v>500</v>
      </c>
      <c r="H530" s="25"/>
    </row>
    <row r="531" spans="1:8" ht="14">
      <c r="A531" s="25" t="s">
        <v>1439</v>
      </c>
      <c r="B531" s="26" t="s">
        <v>111</v>
      </c>
      <c r="C531" s="25" t="str">
        <f t="shared" si="8"/>
        <v>gluconeogenesis</v>
      </c>
      <c r="D531" s="27" t="s">
        <v>13</v>
      </c>
      <c r="E531" s="25" t="s">
        <v>1440</v>
      </c>
      <c r="F531" s="25" t="s">
        <v>1441</v>
      </c>
      <c r="G531" s="25">
        <v>500</v>
      </c>
      <c r="H531" s="25"/>
    </row>
    <row r="532" spans="1:8" ht="14">
      <c r="A532" s="25" t="s">
        <v>1442</v>
      </c>
      <c r="B532" s="26" t="s">
        <v>111</v>
      </c>
      <c r="C532" s="25" t="str">
        <f t="shared" si="8"/>
        <v>glutamate_metabolism</v>
      </c>
      <c r="D532" s="27" t="s">
        <v>13</v>
      </c>
      <c r="E532" s="25" t="s">
        <v>1443</v>
      </c>
      <c r="F532" s="25" t="s">
        <v>1444</v>
      </c>
      <c r="G532" s="25">
        <v>500</v>
      </c>
      <c r="H532" s="25"/>
    </row>
    <row r="533" spans="1:8" ht="14">
      <c r="A533" s="25" t="s">
        <v>1445</v>
      </c>
      <c r="B533" s="26" t="s">
        <v>111</v>
      </c>
      <c r="C533" s="25" t="str">
        <f t="shared" si="8"/>
        <v>glycerol_phosphate_shuttle</v>
      </c>
      <c r="D533" s="27" t="s">
        <v>13</v>
      </c>
      <c r="E533" s="25" t="s">
        <v>1446</v>
      </c>
      <c r="F533" s="25" t="s">
        <v>1447</v>
      </c>
      <c r="G533" s="25">
        <v>500</v>
      </c>
      <c r="H533" s="25"/>
    </row>
    <row r="534" spans="1:8" ht="14">
      <c r="A534" s="25" t="s">
        <v>1448</v>
      </c>
      <c r="B534" s="26" t="s">
        <v>111</v>
      </c>
      <c r="C534" s="25" t="str">
        <f t="shared" si="8"/>
        <v>glycine_cleavage_system</v>
      </c>
      <c r="D534" s="27" t="s">
        <v>13</v>
      </c>
      <c r="E534" s="25" t="s">
        <v>1449</v>
      </c>
      <c r="F534" s="25" t="s">
        <v>1450</v>
      </c>
      <c r="G534" s="25">
        <v>500</v>
      </c>
      <c r="H534" s="25"/>
    </row>
    <row r="535" spans="1:8" ht="14">
      <c r="A535" s="25" t="s">
        <v>1451</v>
      </c>
      <c r="B535" s="26" t="s">
        <v>111</v>
      </c>
      <c r="C535" s="25" t="str">
        <f t="shared" si="8"/>
        <v>glycine_metabolism</v>
      </c>
      <c r="D535" s="27" t="s">
        <v>13</v>
      </c>
      <c r="E535" s="25" t="s">
        <v>1452</v>
      </c>
      <c r="F535" s="25" t="s">
        <v>1453</v>
      </c>
      <c r="G535" s="25">
        <v>500</v>
      </c>
      <c r="H535" s="25"/>
    </row>
    <row r="536" spans="1:8" ht="14">
      <c r="A536" s="25" t="s">
        <v>1454</v>
      </c>
      <c r="B536" s="26" t="s">
        <v>111</v>
      </c>
      <c r="C536" s="25" t="str">
        <f t="shared" si="8"/>
        <v>glyoxylate_metabolism</v>
      </c>
      <c r="D536" s="27" t="s">
        <v>13</v>
      </c>
      <c r="E536" s="25" t="s">
        <v>1455</v>
      </c>
      <c r="F536" s="25" t="s">
        <v>1456</v>
      </c>
      <c r="G536" s="25">
        <v>500</v>
      </c>
      <c r="H536" s="25"/>
    </row>
    <row r="537" spans="1:8" ht="14">
      <c r="A537" s="25" t="s">
        <v>1457</v>
      </c>
      <c r="B537" s="26" t="s">
        <v>111</v>
      </c>
      <c r="C537" s="25" t="str">
        <f t="shared" si="8"/>
        <v>heme_containing_proteins</v>
      </c>
      <c r="D537" s="27" t="s">
        <v>13</v>
      </c>
      <c r="E537" s="25" t="s">
        <v>1458</v>
      </c>
      <c r="F537" s="25" t="s">
        <v>1459</v>
      </c>
      <c r="G537" s="25">
        <v>500</v>
      </c>
      <c r="H537" s="25"/>
    </row>
    <row r="538" spans="1:8" ht="14">
      <c r="A538" s="25" t="s">
        <v>1460</v>
      </c>
      <c r="B538" s="26" t="s">
        <v>111</v>
      </c>
      <c r="C538" s="25" t="str">
        <f t="shared" si="8"/>
        <v>heme_synthesis_and_processing</v>
      </c>
      <c r="D538" s="27" t="s">
        <v>13</v>
      </c>
      <c r="E538" s="25" t="s">
        <v>1461</v>
      </c>
      <c r="F538" s="25" t="s">
        <v>1462</v>
      </c>
      <c r="G538" s="25">
        <v>500</v>
      </c>
      <c r="H538" s="25"/>
    </row>
    <row r="539" spans="1:8" ht="14">
      <c r="A539" s="25" t="s">
        <v>1463</v>
      </c>
      <c r="B539" s="26" t="s">
        <v>111</v>
      </c>
      <c r="C539" s="25" t="str">
        <f t="shared" si="8"/>
        <v>immune_response</v>
      </c>
      <c r="D539" s="27" t="s">
        <v>13</v>
      </c>
      <c r="E539" s="25" t="s">
        <v>1464</v>
      </c>
      <c r="F539" s="25" t="s">
        <v>1465</v>
      </c>
      <c r="G539" s="25">
        <v>500</v>
      </c>
      <c r="H539" s="25"/>
    </row>
    <row r="540" spans="1:8" ht="14">
      <c r="A540" s="25" t="s">
        <v>1466</v>
      </c>
      <c r="B540" s="26" t="s">
        <v>111</v>
      </c>
      <c r="C540" s="25" t="str">
        <f t="shared" si="8"/>
        <v>import_motor</v>
      </c>
      <c r="D540" s="27" t="s">
        <v>13</v>
      </c>
      <c r="E540" s="25" t="s">
        <v>1467</v>
      </c>
      <c r="F540" s="25" t="s">
        <v>1468</v>
      </c>
      <c r="G540" s="25">
        <v>500</v>
      </c>
      <c r="H540" s="25"/>
    </row>
    <row r="541" spans="1:8" ht="14">
      <c r="A541" s="25" t="s">
        <v>1469</v>
      </c>
      <c r="B541" s="26" t="s">
        <v>111</v>
      </c>
      <c r="C541" s="25" t="str">
        <f t="shared" si="8"/>
        <v>intramitochondrial_membrane_interactions</v>
      </c>
      <c r="D541" s="27" t="s">
        <v>13</v>
      </c>
      <c r="E541" s="25" t="s">
        <v>1470</v>
      </c>
      <c r="F541" s="25" t="s">
        <v>1471</v>
      </c>
      <c r="G541" s="25">
        <v>500</v>
      </c>
      <c r="H541" s="25"/>
    </row>
    <row r="542" spans="1:8" ht="14">
      <c r="A542" s="25" t="s">
        <v>1472</v>
      </c>
      <c r="B542" s="26" t="s">
        <v>111</v>
      </c>
      <c r="C542" s="25" t="str">
        <f t="shared" si="8"/>
        <v>iron_homeostasis</v>
      </c>
      <c r="D542" s="27" t="s">
        <v>13</v>
      </c>
      <c r="E542" s="25" t="s">
        <v>1473</v>
      </c>
      <c r="F542" s="25" t="s">
        <v>1474</v>
      </c>
      <c r="G542" s="25">
        <v>500</v>
      </c>
      <c r="H542" s="25"/>
    </row>
    <row r="543" spans="1:8" ht="14">
      <c r="A543" s="25" t="s">
        <v>1475</v>
      </c>
      <c r="B543" s="26" t="s">
        <v>111</v>
      </c>
      <c r="C543" s="25" t="str">
        <f t="shared" si="8"/>
        <v>itaconate_metabolism</v>
      </c>
      <c r="D543" s="27" t="s">
        <v>13</v>
      </c>
      <c r="E543" s="25" t="s">
        <v>1476</v>
      </c>
      <c r="F543" s="25" t="s">
        <v>1477</v>
      </c>
      <c r="G543" s="25">
        <v>500</v>
      </c>
      <c r="H543" s="25"/>
    </row>
    <row r="544" spans="1:8" ht="14">
      <c r="A544" s="25" t="s">
        <v>1478</v>
      </c>
      <c r="B544" s="26" t="s">
        <v>111</v>
      </c>
      <c r="C544" s="25" t="str">
        <f t="shared" si="8"/>
        <v>ketone_metabolism</v>
      </c>
      <c r="D544" s="27" t="s">
        <v>13</v>
      </c>
      <c r="E544" s="25" t="s">
        <v>1479</v>
      </c>
      <c r="F544" s="25" t="s">
        <v>1480</v>
      </c>
      <c r="G544" s="25">
        <v>500</v>
      </c>
      <c r="H544" s="25"/>
    </row>
    <row r="545" spans="1:8" ht="14">
      <c r="A545" s="25" t="s">
        <v>1481</v>
      </c>
      <c r="B545" s="26" t="s">
        <v>111</v>
      </c>
      <c r="C545" s="25" t="str">
        <f t="shared" si="8"/>
        <v>kynurenine_metabolism</v>
      </c>
      <c r="D545" s="27" t="s">
        <v>13</v>
      </c>
      <c r="E545" s="25" t="s">
        <v>1482</v>
      </c>
      <c r="F545" s="25" t="s">
        <v>1483</v>
      </c>
      <c r="G545" s="25">
        <v>500</v>
      </c>
      <c r="H545" s="25"/>
    </row>
    <row r="546" spans="1:8" ht="14">
      <c r="A546" s="25" t="s">
        <v>1484</v>
      </c>
      <c r="B546" s="26" t="s">
        <v>111</v>
      </c>
      <c r="C546" s="25" t="str">
        <f t="shared" si="8"/>
        <v>lipid_metabolism</v>
      </c>
      <c r="D546" s="27" t="s">
        <v>13</v>
      </c>
      <c r="E546" s="25" t="s">
        <v>1485</v>
      </c>
      <c r="F546" s="25" t="s">
        <v>1486</v>
      </c>
      <c r="G546" s="25">
        <v>500</v>
      </c>
      <c r="H546" s="25"/>
    </row>
    <row r="547" spans="1:8" ht="14">
      <c r="A547" s="25" t="s">
        <v>1487</v>
      </c>
      <c r="B547" s="26" t="s">
        <v>111</v>
      </c>
      <c r="C547" s="25" t="str">
        <f t="shared" si="8"/>
        <v>lipoate_insertion</v>
      </c>
      <c r="D547" s="27" t="s">
        <v>13</v>
      </c>
      <c r="E547" s="25" t="s">
        <v>1488</v>
      </c>
      <c r="F547" s="25" t="s">
        <v>1489</v>
      </c>
      <c r="G547" s="25">
        <v>500</v>
      </c>
      <c r="H547" s="25"/>
    </row>
    <row r="548" spans="1:8" ht="14">
      <c r="A548" s="25" t="s">
        <v>1490</v>
      </c>
      <c r="B548" s="26" t="s">
        <v>111</v>
      </c>
      <c r="C548" s="25" t="str">
        <f t="shared" si="8"/>
        <v>lysine_metabolism</v>
      </c>
      <c r="D548" s="27" t="s">
        <v>13</v>
      </c>
      <c r="E548" s="25" t="s">
        <v>1491</v>
      </c>
      <c r="F548" s="25" t="s">
        <v>1492</v>
      </c>
      <c r="G548" s="25">
        <v>500</v>
      </c>
      <c r="H548" s="25"/>
    </row>
    <row r="549" spans="1:8" ht="14">
      <c r="A549" s="25" t="s">
        <v>1493</v>
      </c>
      <c r="B549" s="26" t="s">
        <v>111</v>
      </c>
      <c r="C549" s="25" t="str">
        <f t="shared" si="8"/>
        <v>malate_aspartate_shuttle</v>
      </c>
      <c r="D549" s="27" t="s">
        <v>13</v>
      </c>
      <c r="E549" s="25" t="s">
        <v>1494</v>
      </c>
      <c r="F549" s="25" t="s">
        <v>1495</v>
      </c>
      <c r="G549" s="25">
        <v>500</v>
      </c>
      <c r="H549" s="25"/>
    </row>
    <row r="550" spans="1:8" ht="14">
      <c r="A550" s="25" t="s">
        <v>1496</v>
      </c>
      <c r="B550" s="26" t="s">
        <v>111</v>
      </c>
      <c r="C550" s="25" t="str">
        <f t="shared" si="8"/>
        <v>metabolism</v>
      </c>
      <c r="D550" s="27" t="s">
        <v>13</v>
      </c>
      <c r="E550" s="25" t="s">
        <v>1497</v>
      </c>
      <c r="F550" s="25" t="s">
        <v>1497</v>
      </c>
      <c r="G550" s="25">
        <v>500</v>
      </c>
      <c r="H550" s="25"/>
    </row>
    <row r="551" spans="1:8" ht="14">
      <c r="A551" s="25" t="s">
        <v>1498</v>
      </c>
      <c r="B551" s="26" t="s">
        <v>111</v>
      </c>
      <c r="C551" s="25" t="str">
        <f t="shared" si="8"/>
        <v>metals_and_cofactors</v>
      </c>
      <c r="D551" s="27" t="s">
        <v>13</v>
      </c>
      <c r="E551" s="25" t="s">
        <v>1499</v>
      </c>
      <c r="F551" s="25" t="s">
        <v>1500</v>
      </c>
      <c r="G551" s="25">
        <v>500</v>
      </c>
      <c r="H551" s="25"/>
    </row>
    <row r="552" spans="1:8" ht="14">
      <c r="A552" s="25" t="s">
        <v>1501</v>
      </c>
      <c r="B552" s="26" t="s">
        <v>111</v>
      </c>
      <c r="C552" s="25" t="str">
        <f t="shared" si="8"/>
        <v>mia40</v>
      </c>
      <c r="D552" s="27" t="s">
        <v>13</v>
      </c>
      <c r="E552" s="25" t="s">
        <v>1502</v>
      </c>
      <c r="F552" s="25" t="s">
        <v>1503</v>
      </c>
      <c r="G552" s="25">
        <v>500</v>
      </c>
      <c r="H552" s="25"/>
    </row>
    <row r="553" spans="1:8" ht="14">
      <c r="A553" s="25" t="s">
        <v>1504</v>
      </c>
      <c r="B553" s="26" t="s">
        <v>111</v>
      </c>
      <c r="C553" s="25" t="str">
        <f t="shared" si="8"/>
        <v>micos_complex</v>
      </c>
      <c r="D553" s="27" t="s">
        <v>13</v>
      </c>
      <c r="E553" s="25" t="s">
        <v>1505</v>
      </c>
      <c r="F553" s="25" t="s">
        <v>1506</v>
      </c>
      <c r="G553" s="25">
        <v>500</v>
      </c>
      <c r="H553" s="25"/>
    </row>
    <row r="554" spans="1:8" ht="14">
      <c r="A554" s="25" t="s">
        <v>1507</v>
      </c>
      <c r="B554" s="26" t="s">
        <v>111</v>
      </c>
      <c r="C554" s="25" t="str">
        <f t="shared" si="8"/>
        <v>mitochondrial_dynamics_and_surveillance</v>
      </c>
      <c r="D554" s="27" t="s">
        <v>13</v>
      </c>
      <c r="E554" s="25" t="s">
        <v>1508</v>
      </c>
      <c r="F554" s="25" t="s">
        <v>1508</v>
      </c>
      <c r="G554" s="25">
        <v>500</v>
      </c>
      <c r="H554" s="25"/>
    </row>
    <row r="555" spans="1:8" ht="14">
      <c r="A555" s="25" t="s">
        <v>1509</v>
      </c>
      <c r="B555" s="26" t="s">
        <v>111</v>
      </c>
      <c r="C555" s="25" t="str">
        <f t="shared" si="8"/>
        <v>mitochondrial_permeability_transition_pore</v>
      </c>
      <c r="D555" s="27" t="s">
        <v>13</v>
      </c>
      <c r="E555" s="25" t="s">
        <v>1510</v>
      </c>
      <c r="F555" s="25" t="s">
        <v>1511</v>
      </c>
      <c r="G555" s="25">
        <v>500</v>
      </c>
      <c r="H555" s="25"/>
    </row>
    <row r="556" spans="1:8" ht="14">
      <c r="A556" s="25" t="s">
        <v>1512</v>
      </c>
      <c r="B556" s="26" t="s">
        <v>111</v>
      </c>
      <c r="C556" s="25" t="str">
        <f t="shared" si="8"/>
        <v>mitochondrial_ribosome</v>
      </c>
      <c r="D556" s="27" t="s">
        <v>13</v>
      </c>
      <c r="E556" s="25" t="s">
        <v>1513</v>
      </c>
      <c r="F556" s="25" t="s">
        <v>1514</v>
      </c>
      <c r="G556" s="25">
        <v>500</v>
      </c>
      <c r="H556" s="25"/>
    </row>
    <row r="557" spans="1:8" ht="14">
      <c r="A557" s="25" t="s">
        <v>1515</v>
      </c>
      <c r="B557" s="26" t="s">
        <v>111</v>
      </c>
      <c r="C557" s="25" t="str">
        <f t="shared" si="8"/>
        <v>mitochondrial_ribosome_assembly</v>
      </c>
      <c r="D557" s="27" t="s">
        <v>13</v>
      </c>
      <c r="E557" s="25" t="s">
        <v>1516</v>
      </c>
      <c r="F557" s="25" t="s">
        <v>1517</v>
      </c>
      <c r="G557" s="25">
        <v>500</v>
      </c>
      <c r="H557" s="25"/>
    </row>
    <row r="558" spans="1:8" ht="14">
      <c r="A558" s="25" t="s">
        <v>1518</v>
      </c>
      <c r="B558" s="26" t="s">
        <v>111</v>
      </c>
      <c r="C558" s="25" t="str">
        <f t="shared" si="8"/>
        <v>mitophagy</v>
      </c>
      <c r="D558" s="27" t="s">
        <v>13</v>
      </c>
      <c r="E558" s="25" t="s">
        <v>1519</v>
      </c>
      <c r="F558" s="25" t="s">
        <v>1520</v>
      </c>
      <c r="G558" s="25">
        <v>500</v>
      </c>
      <c r="H558" s="25"/>
    </row>
    <row r="559" spans="1:8" ht="14">
      <c r="A559" s="25" t="s">
        <v>1521</v>
      </c>
      <c r="B559" s="26" t="s">
        <v>111</v>
      </c>
      <c r="C559" s="25" t="str">
        <f t="shared" si="8"/>
        <v>molybdenum_cofactor_synthesis_and_proteins</v>
      </c>
      <c r="D559" s="27" t="s">
        <v>13</v>
      </c>
      <c r="E559" s="25" t="s">
        <v>1522</v>
      </c>
      <c r="F559" s="25" t="s">
        <v>1523</v>
      </c>
      <c r="G559" s="25">
        <v>500</v>
      </c>
      <c r="H559" s="25"/>
    </row>
    <row r="560" spans="1:8" ht="14">
      <c r="A560" s="25" t="s">
        <v>1524</v>
      </c>
      <c r="B560" s="26" t="s">
        <v>111</v>
      </c>
      <c r="C560" s="25" t="str">
        <f t="shared" si="8"/>
        <v>mt_mrna_modifications</v>
      </c>
      <c r="D560" s="27" t="s">
        <v>13</v>
      </c>
      <c r="E560" s="25" t="s">
        <v>1525</v>
      </c>
      <c r="F560" s="25" t="s">
        <v>1526</v>
      </c>
      <c r="G560" s="25">
        <v>500</v>
      </c>
      <c r="H560" s="25"/>
    </row>
    <row r="561" spans="1:8" ht="14">
      <c r="A561" s="25" t="s">
        <v>1527</v>
      </c>
      <c r="B561" s="26" t="s">
        <v>111</v>
      </c>
      <c r="C561" s="25" t="str">
        <f t="shared" si="8"/>
        <v>mt_rrna_modifications</v>
      </c>
      <c r="D561" s="27" t="s">
        <v>13</v>
      </c>
      <c r="E561" s="25" t="s">
        <v>1528</v>
      </c>
      <c r="F561" s="25" t="s">
        <v>1529</v>
      </c>
      <c r="G561" s="25">
        <v>500</v>
      </c>
      <c r="H561" s="25"/>
    </row>
    <row r="562" spans="1:8" ht="14">
      <c r="A562" s="25" t="s">
        <v>1530</v>
      </c>
      <c r="B562" s="26" t="s">
        <v>111</v>
      </c>
      <c r="C562" s="25" t="str">
        <f t="shared" si="8"/>
        <v>mt_trna_modifications</v>
      </c>
      <c r="D562" s="27" t="s">
        <v>13</v>
      </c>
      <c r="E562" s="25" t="s">
        <v>1531</v>
      </c>
      <c r="F562" s="25" t="s">
        <v>1532</v>
      </c>
      <c r="G562" s="25">
        <v>500</v>
      </c>
      <c r="H562" s="25"/>
    </row>
    <row r="563" spans="1:8" ht="14">
      <c r="A563" s="25" t="s">
        <v>1533</v>
      </c>
      <c r="B563" s="26" t="s">
        <v>111</v>
      </c>
      <c r="C563" s="25" t="str">
        <f t="shared" si="8"/>
        <v>mt_trna_synthetases</v>
      </c>
      <c r="D563" s="27" t="s">
        <v>13</v>
      </c>
      <c r="E563" s="25" t="s">
        <v>1534</v>
      </c>
      <c r="F563" s="25" t="s">
        <v>1535</v>
      </c>
      <c r="G563" s="25">
        <v>500</v>
      </c>
      <c r="H563" s="25"/>
    </row>
    <row r="564" spans="1:8" ht="14">
      <c r="A564" s="25" t="s">
        <v>1536</v>
      </c>
      <c r="B564" s="26" t="s">
        <v>111</v>
      </c>
      <c r="C564" s="25" t="str">
        <f t="shared" si="8"/>
        <v>mtdna_maintenance</v>
      </c>
      <c r="D564" s="27" t="s">
        <v>13</v>
      </c>
      <c r="E564" s="25" t="s">
        <v>1537</v>
      </c>
      <c r="F564" s="25" t="s">
        <v>1538</v>
      </c>
      <c r="G564" s="25">
        <v>500</v>
      </c>
      <c r="H564" s="25"/>
    </row>
    <row r="565" spans="1:8" ht="14">
      <c r="A565" s="25" t="s">
        <v>1539</v>
      </c>
      <c r="B565" s="26" t="s">
        <v>111</v>
      </c>
      <c r="C565" s="25" t="str">
        <f t="shared" ref="C565:C628" si="9">A565</f>
        <v>mtdna_modifications</v>
      </c>
      <c r="D565" s="27" t="s">
        <v>13</v>
      </c>
      <c r="E565" s="25" t="s">
        <v>1540</v>
      </c>
      <c r="F565" s="25" t="s">
        <v>1541</v>
      </c>
      <c r="G565" s="25">
        <v>500</v>
      </c>
      <c r="H565" s="25"/>
    </row>
    <row r="566" spans="1:8" ht="14">
      <c r="A566" s="25" t="s">
        <v>1542</v>
      </c>
      <c r="B566" s="26" t="s">
        <v>111</v>
      </c>
      <c r="C566" s="25" t="str">
        <f t="shared" si="9"/>
        <v>mtdna_nucleoid</v>
      </c>
      <c r="D566" s="27" t="s">
        <v>13</v>
      </c>
      <c r="E566" s="25" t="s">
        <v>1543</v>
      </c>
      <c r="F566" s="25" t="s">
        <v>1544</v>
      </c>
      <c r="G566" s="25">
        <v>500</v>
      </c>
      <c r="H566" s="25"/>
    </row>
    <row r="567" spans="1:8" ht="14">
      <c r="A567" s="25" t="s">
        <v>1545</v>
      </c>
      <c r="B567" s="26" t="s">
        <v>111</v>
      </c>
      <c r="C567" s="25" t="str">
        <f t="shared" si="9"/>
        <v>mtdna_repair</v>
      </c>
      <c r="D567" s="27" t="s">
        <v>13</v>
      </c>
      <c r="E567" s="25" t="s">
        <v>1546</v>
      </c>
      <c r="F567" s="25" t="s">
        <v>1547</v>
      </c>
      <c r="G567" s="25">
        <v>500</v>
      </c>
      <c r="H567" s="25"/>
    </row>
    <row r="568" spans="1:8" ht="14">
      <c r="A568" s="25" t="s">
        <v>1548</v>
      </c>
      <c r="B568" s="26" t="s">
        <v>111</v>
      </c>
      <c r="C568" s="25" t="str">
        <f t="shared" si="9"/>
        <v>mtdna_replication</v>
      </c>
      <c r="D568" s="27" t="s">
        <v>13</v>
      </c>
      <c r="E568" s="25" t="s">
        <v>1549</v>
      </c>
      <c r="F568" s="25" t="s">
        <v>1550</v>
      </c>
      <c r="G568" s="25">
        <v>500</v>
      </c>
      <c r="H568" s="25"/>
    </row>
    <row r="569" spans="1:8" ht="14">
      <c r="A569" s="25" t="s">
        <v>1551</v>
      </c>
      <c r="B569" s="26" t="s">
        <v>111</v>
      </c>
      <c r="C569" s="25" t="str">
        <f t="shared" si="9"/>
        <v>mtdna_stability_and_decay</v>
      </c>
      <c r="D569" s="27" t="s">
        <v>13</v>
      </c>
      <c r="E569" s="25" t="s">
        <v>1552</v>
      </c>
      <c r="F569" s="25" t="s">
        <v>1553</v>
      </c>
      <c r="G569" s="25">
        <v>500</v>
      </c>
      <c r="H569" s="25"/>
    </row>
    <row r="570" spans="1:8" ht="14">
      <c r="A570" s="25" t="s">
        <v>1554</v>
      </c>
      <c r="B570" s="26" t="s">
        <v>111</v>
      </c>
      <c r="C570" s="25" t="str">
        <f t="shared" si="9"/>
        <v>mtrna_granules</v>
      </c>
      <c r="D570" s="27" t="s">
        <v>13</v>
      </c>
      <c r="E570" s="25" t="s">
        <v>1555</v>
      </c>
      <c r="F570" s="25" t="s">
        <v>1556</v>
      </c>
      <c r="G570" s="25">
        <v>500</v>
      </c>
      <c r="H570" s="25"/>
    </row>
    <row r="571" spans="1:8" ht="14">
      <c r="A571" s="25" t="s">
        <v>1557</v>
      </c>
      <c r="B571" s="26" t="s">
        <v>111</v>
      </c>
      <c r="C571" s="25" t="str">
        <f t="shared" si="9"/>
        <v>mtrna_metabolism</v>
      </c>
      <c r="D571" s="27" t="s">
        <v>13</v>
      </c>
      <c r="E571" s="25" t="s">
        <v>1558</v>
      </c>
      <c r="F571" s="25" t="s">
        <v>1559</v>
      </c>
      <c r="G571" s="25">
        <v>500</v>
      </c>
      <c r="H571" s="25"/>
    </row>
    <row r="572" spans="1:8" ht="14">
      <c r="A572" s="25" t="s">
        <v>1560</v>
      </c>
      <c r="B572" s="26" t="s">
        <v>111</v>
      </c>
      <c r="C572" s="25" t="str">
        <f t="shared" si="9"/>
        <v>mtrna_stability_and_decay</v>
      </c>
      <c r="D572" s="27" t="s">
        <v>13</v>
      </c>
      <c r="E572" s="25" t="s">
        <v>1561</v>
      </c>
      <c r="F572" s="25" t="s">
        <v>1562</v>
      </c>
      <c r="G572" s="25">
        <v>500</v>
      </c>
      <c r="H572" s="25"/>
    </row>
    <row r="573" spans="1:8" ht="14">
      <c r="A573" s="25" t="s">
        <v>1563</v>
      </c>
      <c r="B573" s="26" t="s">
        <v>111</v>
      </c>
      <c r="C573" s="25" t="str">
        <f t="shared" si="9"/>
        <v>nad_biosynthesis_and_metabolism</v>
      </c>
      <c r="D573" s="27" t="s">
        <v>13</v>
      </c>
      <c r="E573" s="25" t="s">
        <v>1564</v>
      </c>
      <c r="F573" s="25" t="s">
        <v>1565</v>
      </c>
      <c r="G573" s="25">
        <v>500</v>
      </c>
      <c r="H573" s="25"/>
    </row>
    <row r="574" spans="1:8" ht="14">
      <c r="A574" s="25" t="s">
        <v>1566</v>
      </c>
      <c r="B574" s="26" t="s">
        <v>111</v>
      </c>
      <c r="C574" s="25" t="str">
        <f t="shared" si="9"/>
        <v>nucleotide_import</v>
      </c>
      <c r="D574" s="27" t="s">
        <v>13</v>
      </c>
      <c r="E574" s="25" t="s">
        <v>1567</v>
      </c>
      <c r="F574" s="25" t="s">
        <v>1568</v>
      </c>
      <c r="G574" s="25">
        <v>500</v>
      </c>
      <c r="H574" s="25"/>
    </row>
    <row r="575" spans="1:8" ht="14">
      <c r="A575" s="25" t="s">
        <v>1569</v>
      </c>
      <c r="B575" s="26" t="s">
        <v>111</v>
      </c>
      <c r="C575" s="25" t="str">
        <f t="shared" si="9"/>
        <v>nucleotide_metabolism</v>
      </c>
      <c r="D575" s="27" t="s">
        <v>13</v>
      </c>
      <c r="E575" s="25" t="s">
        <v>1570</v>
      </c>
      <c r="F575" s="25" t="s">
        <v>1571</v>
      </c>
      <c r="G575" s="25">
        <v>500</v>
      </c>
      <c r="H575" s="25"/>
    </row>
    <row r="576" spans="1:8" ht="14">
      <c r="A576" s="25" t="s">
        <v>1572</v>
      </c>
      <c r="B576" s="26" t="s">
        <v>111</v>
      </c>
      <c r="C576" s="25" t="str">
        <f t="shared" si="9"/>
        <v>nucleotide_synthesis_and_processing</v>
      </c>
      <c r="D576" s="27" t="s">
        <v>13</v>
      </c>
      <c r="E576" s="25" t="s">
        <v>1573</v>
      </c>
      <c r="F576" s="25" t="s">
        <v>1574</v>
      </c>
      <c r="G576" s="25">
        <v>500</v>
      </c>
      <c r="H576" s="25"/>
    </row>
    <row r="577" spans="1:8" ht="14">
      <c r="A577" s="25" t="s">
        <v>1575</v>
      </c>
      <c r="B577" s="26" t="s">
        <v>111</v>
      </c>
      <c r="C577" s="25" t="str">
        <f t="shared" si="9"/>
        <v>organelle_contact_sites</v>
      </c>
      <c r="D577" s="27" t="s">
        <v>13</v>
      </c>
      <c r="E577" s="25" t="s">
        <v>1576</v>
      </c>
      <c r="F577" s="25" t="s">
        <v>1577</v>
      </c>
      <c r="G577" s="25">
        <v>500</v>
      </c>
      <c r="H577" s="25"/>
    </row>
    <row r="578" spans="1:8" ht="14">
      <c r="A578" s="25" t="s">
        <v>1578</v>
      </c>
      <c r="B578" s="26" t="s">
        <v>111</v>
      </c>
      <c r="C578" s="25" t="str">
        <f t="shared" si="9"/>
        <v>oxa</v>
      </c>
      <c r="D578" s="27" t="s">
        <v>13</v>
      </c>
      <c r="E578" s="25" t="s">
        <v>1579</v>
      </c>
      <c r="F578" s="25" t="s">
        <v>1580</v>
      </c>
      <c r="G578" s="25">
        <v>500</v>
      </c>
      <c r="H578" s="25"/>
    </row>
    <row r="579" spans="1:8" ht="14">
      <c r="A579" s="25" t="s">
        <v>1581</v>
      </c>
      <c r="B579" s="26" t="s">
        <v>111</v>
      </c>
      <c r="C579" s="25" t="str">
        <f t="shared" si="9"/>
        <v>oxphos</v>
      </c>
      <c r="D579" s="27" t="s">
        <v>13</v>
      </c>
      <c r="E579" s="25" t="s">
        <v>1582</v>
      </c>
      <c r="F579" s="25" t="s">
        <v>1582</v>
      </c>
      <c r="G579" s="25">
        <v>500</v>
      </c>
      <c r="H579" s="25"/>
    </row>
    <row r="580" spans="1:8" ht="14">
      <c r="A580" s="25" t="s">
        <v>1583</v>
      </c>
      <c r="B580" s="26" t="s">
        <v>111</v>
      </c>
      <c r="C580" s="25" t="str">
        <f t="shared" si="9"/>
        <v>oxphos_assembly_factors</v>
      </c>
      <c r="D580" s="27" t="s">
        <v>13</v>
      </c>
      <c r="E580" s="25" t="s">
        <v>1584</v>
      </c>
      <c r="F580" s="25" t="s">
        <v>1585</v>
      </c>
      <c r="G580" s="25">
        <v>500</v>
      </c>
      <c r="H580" s="25"/>
    </row>
    <row r="581" spans="1:8" ht="14">
      <c r="A581" s="25" t="s">
        <v>1586</v>
      </c>
      <c r="B581" s="26" t="s">
        <v>111</v>
      </c>
      <c r="C581" s="25" t="str">
        <f t="shared" si="9"/>
        <v>oxphos_subunits</v>
      </c>
      <c r="D581" s="27" t="s">
        <v>13</v>
      </c>
      <c r="E581" s="25" t="s">
        <v>1587</v>
      </c>
      <c r="F581" s="25" t="s">
        <v>1588</v>
      </c>
      <c r="G581" s="25">
        <v>500</v>
      </c>
      <c r="H581" s="25"/>
    </row>
    <row r="582" spans="1:8" ht="14">
      <c r="A582" s="25" t="s">
        <v>1589</v>
      </c>
      <c r="B582" s="26" t="s">
        <v>111</v>
      </c>
      <c r="C582" s="25" t="str">
        <f t="shared" si="9"/>
        <v>phospholipid_metabolism</v>
      </c>
      <c r="D582" s="27" t="s">
        <v>13</v>
      </c>
      <c r="E582" s="25" t="s">
        <v>1590</v>
      </c>
      <c r="F582" s="25" t="s">
        <v>1591</v>
      </c>
      <c r="G582" s="25">
        <v>500</v>
      </c>
      <c r="H582" s="25"/>
    </row>
    <row r="583" spans="1:8" ht="14">
      <c r="A583" s="25" t="s">
        <v>1592</v>
      </c>
      <c r="B583" s="26" t="s">
        <v>111</v>
      </c>
      <c r="C583" s="25" t="str">
        <f t="shared" si="9"/>
        <v>polycistronic_mtrna_processing</v>
      </c>
      <c r="D583" s="27" t="s">
        <v>13</v>
      </c>
      <c r="E583" s="25" t="s">
        <v>1593</v>
      </c>
      <c r="F583" s="25" t="s">
        <v>1594</v>
      </c>
      <c r="G583" s="25">
        <v>500</v>
      </c>
      <c r="H583" s="25"/>
    </row>
    <row r="584" spans="1:8" ht="14">
      <c r="A584" s="25" t="s">
        <v>1595</v>
      </c>
      <c r="B584" s="26" t="s">
        <v>111</v>
      </c>
      <c r="C584" s="25" t="str">
        <f t="shared" si="9"/>
        <v>preprotein_cleavage</v>
      </c>
      <c r="D584" s="27" t="s">
        <v>13</v>
      </c>
      <c r="E584" s="25" t="s">
        <v>1596</v>
      </c>
      <c r="F584" s="25" t="s">
        <v>1597</v>
      </c>
      <c r="G584" s="25">
        <v>500</v>
      </c>
      <c r="H584" s="25"/>
    </row>
    <row r="585" spans="1:8" ht="14">
      <c r="A585" s="25" t="s">
        <v>1598</v>
      </c>
      <c r="B585" s="26" t="s">
        <v>111</v>
      </c>
      <c r="C585" s="25" t="str">
        <f t="shared" si="9"/>
        <v>proline_metabolism</v>
      </c>
      <c r="D585" s="27" t="s">
        <v>13</v>
      </c>
      <c r="E585" s="25" t="s">
        <v>1599</v>
      </c>
      <c r="F585" s="25" t="s">
        <v>1600</v>
      </c>
      <c r="G585" s="25">
        <v>500</v>
      </c>
      <c r="H585" s="25"/>
    </row>
    <row r="586" spans="1:8" ht="14">
      <c r="A586" s="25" t="s">
        <v>1601</v>
      </c>
      <c r="B586" s="26" t="s">
        <v>111</v>
      </c>
      <c r="C586" s="25" t="str">
        <f t="shared" si="9"/>
        <v>propanoate_metabolism</v>
      </c>
      <c r="D586" s="27" t="s">
        <v>13</v>
      </c>
      <c r="E586" s="25" t="s">
        <v>1602</v>
      </c>
      <c r="F586" s="25" t="s">
        <v>1603</v>
      </c>
      <c r="G586" s="25">
        <v>500</v>
      </c>
      <c r="H586" s="25"/>
    </row>
    <row r="587" spans="1:8" ht="14">
      <c r="A587" s="25" t="s">
        <v>1604</v>
      </c>
      <c r="B587" s="26" t="s">
        <v>111</v>
      </c>
      <c r="C587" s="25" t="str">
        <f t="shared" si="9"/>
        <v>proteases</v>
      </c>
      <c r="D587" s="27" t="s">
        <v>13</v>
      </c>
      <c r="E587" s="25" t="s">
        <v>1605</v>
      </c>
      <c r="F587" s="25" t="s">
        <v>1606</v>
      </c>
      <c r="G587" s="25">
        <v>500</v>
      </c>
      <c r="H587" s="25"/>
    </row>
    <row r="588" spans="1:8" ht="14">
      <c r="A588" s="25" t="s">
        <v>1607</v>
      </c>
      <c r="B588" s="26" t="s">
        <v>111</v>
      </c>
      <c r="C588" s="25" t="str">
        <f t="shared" si="9"/>
        <v>protein_homeostasis</v>
      </c>
      <c r="D588" s="27" t="s">
        <v>13</v>
      </c>
      <c r="E588" s="25" t="s">
        <v>1608</v>
      </c>
      <c r="F588" s="25" t="s">
        <v>1609</v>
      </c>
      <c r="G588" s="25">
        <v>500</v>
      </c>
      <c r="H588" s="25"/>
    </row>
    <row r="589" spans="1:8" ht="14">
      <c r="A589" s="25" t="s">
        <v>1610</v>
      </c>
      <c r="B589" s="26" t="s">
        <v>111</v>
      </c>
      <c r="C589" s="25" t="str">
        <f t="shared" si="9"/>
        <v>protein_import_and_sorting</v>
      </c>
      <c r="D589" s="27" t="s">
        <v>13</v>
      </c>
      <c r="E589" s="25" t="s">
        <v>1611</v>
      </c>
      <c r="F589" s="25" t="s">
        <v>1612</v>
      </c>
      <c r="G589" s="25">
        <v>500</v>
      </c>
      <c r="H589" s="25"/>
    </row>
    <row r="590" spans="1:8" ht="14">
      <c r="A590" s="25" t="s">
        <v>1613</v>
      </c>
      <c r="B590" s="26" t="s">
        <v>111</v>
      </c>
      <c r="C590" s="25" t="str">
        <f t="shared" si="9"/>
        <v>pyruvate_metabolism</v>
      </c>
      <c r="D590" s="27" t="s">
        <v>13</v>
      </c>
      <c r="E590" s="25" t="s">
        <v>1614</v>
      </c>
      <c r="F590" s="25" t="s">
        <v>1615</v>
      </c>
      <c r="G590" s="25">
        <v>500</v>
      </c>
      <c r="H590" s="25"/>
    </row>
    <row r="591" spans="1:8" ht="14">
      <c r="A591" s="25" t="s">
        <v>1616</v>
      </c>
      <c r="B591" s="26" t="s">
        <v>111</v>
      </c>
      <c r="C591" s="25" t="str">
        <f t="shared" si="9"/>
        <v>respirasome_assembly</v>
      </c>
      <c r="D591" s="27" t="s">
        <v>13</v>
      </c>
      <c r="E591" s="25" t="s">
        <v>1617</v>
      </c>
      <c r="F591" s="25" t="s">
        <v>1618</v>
      </c>
      <c r="G591" s="25">
        <v>500</v>
      </c>
      <c r="H591" s="25"/>
    </row>
    <row r="592" spans="1:8" ht="14">
      <c r="A592" s="25" t="s">
        <v>1619</v>
      </c>
      <c r="B592" s="26" t="s">
        <v>111</v>
      </c>
      <c r="C592" s="25" t="str">
        <f t="shared" si="9"/>
        <v>ros_and_glutathione_metabolism</v>
      </c>
      <c r="D592" s="27" t="s">
        <v>13</v>
      </c>
      <c r="E592" s="25" t="s">
        <v>1620</v>
      </c>
      <c r="F592" s="25" t="s">
        <v>1621</v>
      </c>
      <c r="G592" s="25">
        <v>500</v>
      </c>
      <c r="H592" s="25"/>
    </row>
    <row r="593" spans="1:8" ht="14">
      <c r="A593" s="25" t="s">
        <v>1622</v>
      </c>
      <c r="B593" s="26" t="s">
        <v>111</v>
      </c>
      <c r="C593" s="25" t="str">
        <f t="shared" si="9"/>
        <v>sam</v>
      </c>
      <c r="D593" s="27" t="s">
        <v>13</v>
      </c>
      <c r="E593" s="25" t="s">
        <v>1623</v>
      </c>
      <c r="F593" s="25" t="s">
        <v>1624</v>
      </c>
      <c r="G593" s="25">
        <v>500</v>
      </c>
      <c r="H593" s="25"/>
    </row>
    <row r="594" spans="1:8" ht="14">
      <c r="A594" s="25" t="s">
        <v>1625</v>
      </c>
      <c r="B594" s="26" t="s">
        <v>111</v>
      </c>
      <c r="C594" s="25" t="str">
        <f t="shared" si="9"/>
        <v>selenoproteins</v>
      </c>
      <c r="D594" s="27" t="s">
        <v>13</v>
      </c>
      <c r="E594" s="25" t="s">
        <v>1626</v>
      </c>
      <c r="F594" s="25" t="s">
        <v>1627</v>
      </c>
      <c r="G594" s="25">
        <v>500</v>
      </c>
      <c r="H594" s="25"/>
    </row>
    <row r="595" spans="1:8" ht="14">
      <c r="A595" s="25" t="s">
        <v>1628</v>
      </c>
      <c r="B595" s="26" t="s">
        <v>111</v>
      </c>
      <c r="C595" s="25" t="str">
        <f t="shared" si="9"/>
        <v>serine_metabolism</v>
      </c>
      <c r="D595" s="27" t="s">
        <v>13</v>
      </c>
      <c r="E595" s="25" t="s">
        <v>1629</v>
      </c>
      <c r="F595" s="25" t="s">
        <v>1630</v>
      </c>
      <c r="G595" s="25">
        <v>500</v>
      </c>
      <c r="H595" s="25"/>
    </row>
    <row r="596" spans="1:8" ht="14">
      <c r="A596" s="25" t="s">
        <v>1631</v>
      </c>
      <c r="B596" s="26" t="s">
        <v>111</v>
      </c>
      <c r="C596" s="25" t="str">
        <f t="shared" si="9"/>
        <v>sideroflexins</v>
      </c>
      <c r="D596" s="27" t="s">
        <v>13</v>
      </c>
      <c r="E596" s="25" t="s">
        <v>1632</v>
      </c>
      <c r="F596" s="25" t="s">
        <v>1633</v>
      </c>
      <c r="G596" s="25">
        <v>500</v>
      </c>
      <c r="H596" s="25"/>
    </row>
    <row r="597" spans="1:8" ht="14">
      <c r="A597" s="25" t="s">
        <v>1634</v>
      </c>
      <c r="B597" s="26" t="s">
        <v>111</v>
      </c>
      <c r="C597" s="25" t="str">
        <f t="shared" si="9"/>
        <v>signaling</v>
      </c>
      <c r="D597" s="27" t="s">
        <v>13</v>
      </c>
      <c r="E597" s="25" t="s">
        <v>1635</v>
      </c>
      <c r="F597" s="25" t="s">
        <v>1635</v>
      </c>
      <c r="G597" s="25">
        <v>500</v>
      </c>
      <c r="H597" s="25"/>
    </row>
    <row r="598" spans="1:8" ht="14">
      <c r="A598" s="25" t="s">
        <v>1636</v>
      </c>
      <c r="B598" s="26" t="s">
        <v>111</v>
      </c>
      <c r="C598" s="25" t="str">
        <f t="shared" si="9"/>
        <v>slc25a_family</v>
      </c>
      <c r="D598" s="27" t="s">
        <v>13</v>
      </c>
      <c r="E598" s="25" t="s">
        <v>1637</v>
      </c>
      <c r="F598" s="25" t="s">
        <v>1638</v>
      </c>
      <c r="G598" s="25">
        <v>500</v>
      </c>
      <c r="H598" s="25"/>
    </row>
    <row r="599" spans="1:8" ht="14">
      <c r="A599" s="25" t="s">
        <v>1639</v>
      </c>
      <c r="B599" s="26" t="s">
        <v>111</v>
      </c>
      <c r="C599" s="25" t="str">
        <f t="shared" si="9"/>
        <v>small_molecule_transport</v>
      </c>
      <c r="D599" s="27" t="s">
        <v>13</v>
      </c>
      <c r="E599" s="25" t="s">
        <v>1640</v>
      </c>
      <c r="F599" s="25" t="s">
        <v>1640</v>
      </c>
      <c r="G599" s="25">
        <v>500</v>
      </c>
      <c r="H599" s="25"/>
    </row>
    <row r="600" spans="1:8" ht="14">
      <c r="A600" s="25" t="s">
        <v>1641</v>
      </c>
      <c r="B600" s="26" t="s">
        <v>111</v>
      </c>
      <c r="C600" s="25" t="str">
        <f t="shared" si="9"/>
        <v>sulfur_metabolism</v>
      </c>
      <c r="D600" s="27" t="s">
        <v>13</v>
      </c>
      <c r="E600" s="25" t="s">
        <v>1642</v>
      </c>
      <c r="F600" s="25" t="s">
        <v>1643</v>
      </c>
      <c r="G600" s="25">
        <v>500</v>
      </c>
      <c r="H600" s="25"/>
    </row>
    <row r="601" spans="1:8" ht="14">
      <c r="A601" s="25" t="s">
        <v>1644</v>
      </c>
      <c r="B601" s="26" t="s">
        <v>111</v>
      </c>
      <c r="C601" s="25" t="str">
        <f t="shared" si="9"/>
        <v>tca_associated</v>
      </c>
      <c r="D601" s="27" t="s">
        <v>13</v>
      </c>
      <c r="E601" s="25" t="s">
        <v>1645</v>
      </c>
      <c r="F601" s="25" t="s">
        <v>1646</v>
      </c>
      <c r="G601" s="25">
        <v>500</v>
      </c>
      <c r="H601" s="25"/>
    </row>
    <row r="602" spans="1:8" ht="14">
      <c r="A602" s="25" t="s">
        <v>1647</v>
      </c>
      <c r="B602" s="26" t="s">
        <v>111</v>
      </c>
      <c r="C602" s="25" t="str">
        <f t="shared" si="9"/>
        <v>tca_cycle</v>
      </c>
      <c r="D602" s="27" t="s">
        <v>13</v>
      </c>
      <c r="E602" s="25" t="s">
        <v>1648</v>
      </c>
      <c r="F602" s="25" t="s">
        <v>1649</v>
      </c>
      <c r="G602" s="25">
        <v>500</v>
      </c>
      <c r="H602" s="25"/>
    </row>
    <row r="603" spans="1:8" ht="14">
      <c r="A603" s="25" t="s">
        <v>1650</v>
      </c>
      <c r="B603" s="26" t="s">
        <v>111</v>
      </c>
      <c r="C603" s="25" t="str">
        <f t="shared" si="9"/>
        <v>tetrahydrobiopterin_synthesis</v>
      </c>
      <c r="D603" s="27" t="s">
        <v>13</v>
      </c>
      <c r="E603" s="25" t="s">
        <v>1651</v>
      </c>
      <c r="F603" s="25" t="s">
        <v>1652</v>
      </c>
      <c r="G603" s="25">
        <v>500</v>
      </c>
      <c r="H603" s="25"/>
    </row>
    <row r="604" spans="1:8" ht="14">
      <c r="A604" s="25" t="s">
        <v>1653</v>
      </c>
      <c r="B604" s="26" t="s">
        <v>111</v>
      </c>
      <c r="C604" s="25" t="str">
        <f t="shared" si="9"/>
        <v>tim22_carrier_pathway</v>
      </c>
      <c r="D604" s="27" t="s">
        <v>13</v>
      </c>
      <c r="E604" s="25" t="s">
        <v>1654</v>
      </c>
      <c r="F604" s="25" t="s">
        <v>1655</v>
      </c>
      <c r="G604" s="25">
        <v>500</v>
      </c>
      <c r="H604" s="25"/>
    </row>
    <row r="605" spans="1:8" ht="14">
      <c r="A605" s="25" t="s">
        <v>1656</v>
      </c>
      <c r="B605" s="26" t="s">
        <v>111</v>
      </c>
      <c r="C605" s="25" t="str">
        <f t="shared" si="9"/>
        <v>tim23_presequence_pathway</v>
      </c>
      <c r="D605" s="27" t="s">
        <v>13</v>
      </c>
      <c r="E605" s="25" t="s">
        <v>1657</v>
      </c>
      <c r="F605" s="25" t="s">
        <v>1658</v>
      </c>
      <c r="G605" s="25">
        <v>500</v>
      </c>
      <c r="H605" s="25"/>
    </row>
    <row r="606" spans="1:8" ht="14">
      <c r="A606" s="25" t="s">
        <v>1659</v>
      </c>
      <c r="B606" s="26" t="s">
        <v>111</v>
      </c>
      <c r="C606" s="25" t="str">
        <f t="shared" si="9"/>
        <v>tom</v>
      </c>
      <c r="D606" s="27" t="s">
        <v>13</v>
      </c>
      <c r="E606" s="25" t="s">
        <v>1660</v>
      </c>
      <c r="F606" s="25" t="s">
        <v>1661</v>
      </c>
      <c r="G606" s="25">
        <v>500</v>
      </c>
      <c r="H606" s="25"/>
    </row>
    <row r="607" spans="1:8" ht="14">
      <c r="A607" s="25" t="s">
        <v>1662</v>
      </c>
      <c r="B607" s="26" t="s">
        <v>111</v>
      </c>
      <c r="C607" s="25" t="str">
        <f t="shared" si="9"/>
        <v>trafficking</v>
      </c>
      <c r="D607" s="27" t="s">
        <v>13</v>
      </c>
      <c r="E607" s="25" t="s">
        <v>1663</v>
      </c>
      <c r="F607" s="25" t="s">
        <v>1664</v>
      </c>
      <c r="G607" s="25">
        <v>500</v>
      </c>
      <c r="H607" s="25"/>
    </row>
    <row r="608" spans="1:8" ht="14">
      <c r="A608" s="25" t="s">
        <v>1665</v>
      </c>
      <c r="B608" s="26" t="s">
        <v>111</v>
      </c>
      <c r="C608" s="25" t="str">
        <f t="shared" si="9"/>
        <v>transcription</v>
      </c>
      <c r="D608" s="27" t="s">
        <v>13</v>
      </c>
      <c r="E608" s="25" t="s">
        <v>1666</v>
      </c>
      <c r="F608" s="25" t="s">
        <v>1667</v>
      </c>
      <c r="G608" s="25">
        <v>500</v>
      </c>
      <c r="H608" s="25"/>
    </row>
    <row r="609" spans="1:8" ht="14">
      <c r="A609" s="25" t="s">
        <v>1668</v>
      </c>
      <c r="B609" s="26" t="s">
        <v>111</v>
      </c>
      <c r="C609" s="25" t="str">
        <f t="shared" si="9"/>
        <v>translation</v>
      </c>
      <c r="D609" s="27" t="s">
        <v>13</v>
      </c>
      <c r="E609" s="25" t="s">
        <v>1669</v>
      </c>
      <c r="F609" s="25" t="s">
        <v>1670</v>
      </c>
      <c r="G609" s="25">
        <v>500</v>
      </c>
      <c r="H609" s="25"/>
    </row>
    <row r="610" spans="1:8" ht="14">
      <c r="A610" s="25" t="s">
        <v>1671</v>
      </c>
      <c r="B610" s="26" t="s">
        <v>111</v>
      </c>
      <c r="C610" s="25" t="str">
        <f t="shared" si="9"/>
        <v>translation_factors</v>
      </c>
      <c r="D610" s="27" t="s">
        <v>13</v>
      </c>
      <c r="E610" s="25" t="s">
        <v>1672</v>
      </c>
      <c r="F610" s="25" t="s">
        <v>1673</v>
      </c>
      <c r="G610" s="25">
        <v>500</v>
      </c>
      <c r="H610" s="25"/>
    </row>
    <row r="611" spans="1:8" ht="14">
      <c r="A611" s="25" t="s">
        <v>1674</v>
      </c>
      <c r="B611" s="26" t="s">
        <v>111</v>
      </c>
      <c r="C611" s="25" t="str">
        <f t="shared" si="9"/>
        <v>type_ii_fatty_acid_synthesis</v>
      </c>
      <c r="D611" s="27" t="s">
        <v>13</v>
      </c>
      <c r="E611" s="25" t="s">
        <v>1675</v>
      </c>
      <c r="F611" s="25" t="s">
        <v>1676</v>
      </c>
      <c r="G611" s="25">
        <v>500</v>
      </c>
      <c r="H611" s="25"/>
    </row>
    <row r="612" spans="1:8" ht="14">
      <c r="A612" s="25" t="s">
        <v>1677</v>
      </c>
      <c r="B612" s="26" t="s">
        <v>111</v>
      </c>
      <c r="C612" s="25" t="str">
        <f t="shared" si="9"/>
        <v>urea_cycle</v>
      </c>
      <c r="D612" s="27" t="s">
        <v>13</v>
      </c>
      <c r="E612" s="25" t="s">
        <v>1678</v>
      </c>
      <c r="F612" s="25" t="s">
        <v>1679</v>
      </c>
      <c r="G612" s="25">
        <v>500</v>
      </c>
      <c r="H612" s="25"/>
    </row>
    <row r="613" spans="1:8" ht="14">
      <c r="A613" s="25" t="s">
        <v>1680</v>
      </c>
      <c r="B613" s="26" t="s">
        <v>111</v>
      </c>
      <c r="C613" s="25" t="str">
        <f t="shared" si="9"/>
        <v>vitamin_a_metabolism</v>
      </c>
      <c r="D613" s="27" t="s">
        <v>13</v>
      </c>
      <c r="E613" s="25" t="s">
        <v>1681</v>
      </c>
      <c r="F613" s="25" t="s">
        <v>1682</v>
      </c>
      <c r="G613" s="25">
        <v>500</v>
      </c>
      <c r="H613" s="25"/>
    </row>
    <row r="614" spans="1:8" ht="14">
      <c r="A614" s="25" t="s">
        <v>1683</v>
      </c>
      <c r="B614" s="26" t="s">
        <v>111</v>
      </c>
      <c r="C614" s="25" t="str">
        <f t="shared" si="9"/>
        <v>vitamin_b1_metabolism</v>
      </c>
      <c r="D614" s="27" t="s">
        <v>13</v>
      </c>
      <c r="E614" s="25" t="s">
        <v>1684</v>
      </c>
      <c r="F614" s="25" t="s">
        <v>1685</v>
      </c>
      <c r="G614" s="25">
        <v>500</v>
      </c>
      <c r="H614" s="25"/>
    </row>
    <row r="615" spans="1:8" ht="14">
      <c r="A615" s="25" t="s">
        <v>1686</v>
      </c>
      <c r="B615" s="26" t="s">
        <v>111</v>
      </c>
      <c r="C615" s="25" t="str">
        <f t="shared" si="9"/>
        <v>vitamin_b12_metabolism</v>
      </c>
      <c r="D615" s="27" t="s">
        <v>13</v>
      </c>
      <c r="E615" s="25" t="s">
        <v>1687</v>
      </c>
      <c r="F615" s="25" t="s">
        <v>1688</v>
      </c>
      <c r="G615" s="25">
        <v>500</v>
      </c>
      <c r="H615" s="25"/>
    </row>
    <row r="616" spans="1:8" ht="14">
      <c r="A616" s="25" t="s">
        <v>1689</v>
      </c>
      <c r="B616" s="26" t="s">
        <v>111</v>
      </c>
      <c r="C616" s="25" t="str">
        <f t="shared" si="9"/>
        <v>vitamin_b2_metabolism</v>
      </c>
      <c r="D616" s="27" t="s">
        <v>13</v>
      </c>
      <c r="E616" s="25" t="s">
        <v>1690</v>
      </c>
      <c r="F616" s="25" t="s">
        <v>1691</v>
      </c>
      <c r="G616" s="25">
        <v>500</v>
      </c>
      <c r="H616" s="25"/>
    </row>
    <row r="617" spans="1:8" ht="14">
      <c r="A617" s="25" t="s">
        <v>1692</v>
      </c>
      <c r="B617" s="26" t="s">
        <v>111</v>
      </c>
      <c r="C617" s="25" t="str">
        <f t="shared" si="9"/>
        <v>vitamin_b6_metabolism</v>
      </c>
      <c r="D617" s="27" t="s">
        <v>13</v>
      </c>
      <c r="E617" s="25" t="s">
        <v>1693</v>
      </c>
      <c r="F617" s="25" t="s">
        <v>1694</v>
      </c>
      <c r="G617" s="25">
        <v>500</v>
      </c>
      <c r="H617" s="25"/>
    </row>
    <row r="618" spans="1:8" ht="14">
      <c r="A618" s="25" t="s">
        <v>1695</v>
      </c>
      <c r="B618" s="26" t="s">
        <v>111</v>
      </c>
      <c r="C618" s="25" t="str">
        <f t="shared" si="9"/>
        <v>vitamin_c_metabolism</v>
      </c>
      <c r="D618" s="27" t="s">
        <v>13</v>
      </c>
      <c r="E618" s="25" t="s">
        <v>1696</v>
      </c>
      <c r="F618" s="25" t="s">
        <v>1697</v>
      </c>
      <c r="G618" s="25">
        <v>500</v>
      </c>
      <c r="H618" s="25"/>
    </row>
    <row r="619" spans="1:8" ht="14">
      <c r="A619" s="25" t="s">
        <v>1698</v>
      </c>
      <c r="B619" s="26" t="s">
        <v>111</v>
      </c>
      <c r="C619" s="25" t="str">
        <f t="shared" si="9"/>
        <v>vitamin_d_metabolism</v>
      </c>
      <c r="D619" s="27" t="s">
        <v>13</v>
      </c>
      <c r="E619" s="25" t="s">
        <v>1699</v>
      </c>
      <c r="F619" s="25" t="s">
        <v>1700</v>
      </c>
      <c r="G619" s="25">
        <v>500</v>
      </c>
      <c r="H619" s="25"/>
    </row>
    <row r="620" spans="1:8" ht="14">
      <c r="A620" s="25" t="s">
        <v>1701</v>
      </c>
      <c r="B620" s="26" t="s">
        <v>111</v>
      </c>
      <c r="C620" s="25" t="str">
        <f t="shared" si="9"/>
        <v>vitamin_metabolism</v>
      </c>
      <c r="D620" s="27" t="s">
        <v>13</v>
      </c>
      <c r="E620" s="25" t="s">
        <v>1702</v>
      </c>
      <c r="F620" s="25" t="s">
        <v>1703</v>
      </c>
      <c r="G620" s="25">
        <v>500</v>
      </c>
      <c r="H620" s="25"/>
    </row>
    <row r="621" spans="1:8" ht="14">
      <c r="A621" s="25" t="s">
        <v>1704</v>
      </c>
      <c r="B621" s="26" t="s">
        <v>111</v>
      </c>
      <c r="C621" s="25" t="str">
        <f t="shared" si="9"/>
        <v>xenobiotic_metabolism</v>
      </c>
      <c r="D621" s="27" t="s">
        <v>13</v>
      </c>
      <c r="E621" s="25" t="s">
        <v>1705</v>
      </c>
      <c r="F621" s="25" t="s">
        <v>1706</v>
      </c>
      <c r="G621" s="25">
        <v>500</v>
      </c>
      <c r="H621" s="25"/>
    </row>
    <row r="622" spans="1:8" ht="14">
      <c r="A622" s="25" t="s">
        <v>1707</v>
      </c>
      <c r="B622" s="26" t="s">
        <v>1708</v>
      </c>
      <c r="C622" s="25" t="str">
        <f t="shared" si="9"/>
        <v>arbitrary</v>
      </c>
      <c r="D622" s="27" t="s">
        <v>13</v>
      </c>
      <c r="E622" s="25" t="s">
        <v>1709</v>
      </c>
      <c r="F622" s="25" t="s">
        <v>1710</v>
      </c>
      <c r="G622" s="25">
        <v>500</v>
      </c>
      <c r="H622" s="25"/>
    </row>
    <row r="623" spans="1:8" ht="14">
      <c r="A623" s="25" t="s">
        <v>1711</v>
      </c>
      <c r="B623" s="26" t="s">
        <v>1708</v>
      </c>
      <c r="C623" s="25" t="str">
        <f t="shared" si="9"/>
        <v>random</v>
      </c>
      <c r="D623" s="27" t="s">
        <v>13</v>
      </c>
      <c r="E623" s="25" t="s">
        <v>1712</v>
      </c>
      <c r="F623" s="25" t="s">
        <v>1710</v>
      </c>
      <c r="G623" s="25">
        <v>500</v>
      </c>
      <c r="H623" s="25"/>
    </row>
    <row r="624" spans="1:8" ht="14">
      <c r="A624" s="25" t="s">
        <v>1713</v>
      </c>
      <c r="B624" s="26" t="s">
        <v>114</v>
      </c>
      <c r="C624" s="25" t="str">
        <f t="shared" si="9"/>
        <v>in_vitro</v>
      </c>
      <c r="D624" s="27" t="s">
        <v>13</v>
      </c>
      <c r="E624" s="25" t="s">
        <v>1714</v>
      </c>
      <c r="F624" s="25" t="s">
        <v>1715</v>
      </c>
      <c r="G624" s="25">
        <v>500</v>
      </c>
      <c r="H624" s="25"/>
    </row>
    <row r="625" spans="1:8" ht="14">
      <c r="A625" s="25" t="s">
        <v>1716</v>
      </c>
      <c r="B625" s="26" t="s">
        <v>114</v>
      </c>
      <c r="C625" s="25" t="str">
        <f t="shared" si="9"/>
        <v>in_vivo</v>
      </c>
      <c r="D625" s="27" t="s">
        <v>13</v>
      </c>
      <c r="E625" s="25" t="s">
        <v>1717</v>
      </c>
      <c r="F625" s="25" t="s">
        <v>1718</v>
      </c>
      <c r="G625" s="25">
        <v>500</v>
      </c>
      <c r="H625" s="25"/>
    </row>
    <row r="626" spans="1:8" s="4" customFormat="1" ht="14">
      <c r="A626" s="25" t="s">
        <v>1719</v>
      </c>
      <c r="B626" s="26" t="s">
        <v>114</v>
      </c>
      <c r="C626" s="25" t="str">
        <f t="shared" si="9"/>
        <v>xenografts</v>
      </c>
      <c r="D626" s="27" t="s">
        <v>13</v>
      </c>
      <c r="E626" s="25" t="s">
        <v>1719</v>
      </c>
      <c r="F626" s="25" t="s">
        <v>1720</v>
      </c>
      <c r="G626" s="25">
        <v>500</v>
      </c>
      <c r="H626" s="30"/>
    </row>
    <row r="627" spans="1:8" s="4" customFormat="1" ht="14">
      <c r="A627" s="25" t="s">
        <v>2924</v>
      </c>
      <c r="B627" s="26" t="s">
        <v>2922</v>
      </c>
      <c r="C627" s="25" t="str">
        <f t="shared" si="9"/>
        <v>nestincre</v>
      </c>
      <c r="D627" s="25" t="s">
        <v>13</v>
      </c>
      <c r="E627" s="25" t="s">
        <v>2923</v>
      </c>
      <c r="F627" s="25" t="s">
        <v>2936</v>
      </c>
      <c r="G627" s="25">
        <v>500</v>
      </c>
      <c r="H627" s="30"/>
    </row>
    <row r="628" spans="1:8" ht="14">
      <c r="A628" s="25" t="s">
        <v>2926</v>
      </c>
      <c r="B628" s="26" t="s">
        <v>2922</v>
      </c>
      <c r="C628" s="25" t="str">
        <f t="shared" si="9"/>
        <v>cmvcre</v>
      </c>
      <c r="D628" s="25" t="s">
        <v>13</v>
      </c>
      <c r="E628" s="25" t="s">
        <v>2925</v>
      </c>
      <c r="F628" s="25" t="s">
        <v>2935</v>
      </c>
      <c r="G628" s="25">
        <v>500</v>
      </c>
      <c r="H628" s="25"/>
    </row>
    <row r="629" spans="1:8" ht="14">
      <c r="A629" s="25" t="s">
        <v>2929</v>
      </c>
      <c r="B629" s="26" t="s">
        <v>2922</v>
      </c>
      <c r="C629" s="25" t="str">
        <f t="shared" ref="C629:C693" si="10">A629</f>
        <v>myh6cre</v>
      </c>
      <c r="D629" s="25" t="s">
        <v>13</v>
      </c>
      <c r="E629" s="25" t="s">
        <v>2928</v>
      </c>
      <c r="F629" s="25" t="s">
        <v>2927</v>
      </c>
      <c r="G629" s="25">
        <v>500</v>
      </c>
      <c r="H629" s="25"/>
    </row>
    <row r="630" spans="1:8" ht="14">
      <c r="A630" s="25" t="s">
        <v>2397</v>
      </c>
      <c r="B630" s="26" t="s">
        <v>2922</v>
      </c>
      <c r="C630" s="25" t="str">
        <f t="shared" si="10"/>
        <v>albcre</v>
      </c>
      <c r="D630" s="25" t="s">
        <v>13</v>
      </c>
      <c r="E630" s="25" t="s">
        <v>2930</v>
      </c>
      <c r="F630" s="25" t="s">
        <v>2934</v>
      </c>
      <c r="G630" s="25">
        <v>500</v>
      </c>
      <c r="H630" s="25"/>
    </row>
    <row r="631" spans="1:8" ht="14">
      <c r="A631" s="25" t="s">
        <v>2931</v>
      </c>
      <c r="B631" s="26" t="s">
        <v>2922</v>
      </c>
      <c r="C631" s="25" t="str">
        <f t="shared" si="10"/>
        <v>ucpcre</v>
      </c>
      <c r="D631" s="25" t="s">
        <v>13</v>
      </c>
      <c r="E631" s="25" t="s">
        <v>2932</v>
      </c>
      <c r="F631" s="25" t="s">
        <v>2933</v>
      </c>
      <c r="G631" s="25">
        <v>500</v>
      </c>
      <c r="H631" s="25"/>
    </row>
    <row r="632" spans="1:8" ht="14">
      <c r="A632" s="25" t="s">
        <v>2394</v>
      </c>
      <c r="B632" s="26" t="s">
        <v>2922</v>
      </c>
      <c r="C632" s="25" t="str">
        <f t="shared" si="10"/>
        <v>adipoqcre</v>
      </c>
      <c r="D632" s="25" t="s">
        <v>13</v>
      </c>
      <c r="E632" s="25" t="s">
        <v>2937</v>
      </c>
      <c r="F632" s="25" t="s">
        <v>2938</v>
      </c>
      <c r="G632" s="25">
        <v>500</v>
      </c>
      <c r="H632" s="25"/>
    </row>
    <row r="633" spans="1:8" ht="14">
      <c r="A633" s="25" t="s">
        <v>2939</v>
      </c>
      <c r="B633" s="26" t="s">
        <v>2922</v>
      </c>
      <c r="C633" s="25" t="str">
        <f t="shared" si="10"/>
        <v>ckmmcre</v>
      </c>
      <c r="D633" s="25" t="s">
        <v>13</v>
      </c>
      <c r="E633" s="25" t="s">
        <v>2940</v>
      </c>
      <c r="F633" s="25" t="s">
        <v>2941</v>
      </c>
      <c r="G633" s="25">
        <v>500</v>
      </c>
      <c r="H633" s="25"/>
    </row>
    <row r="634" spans="1:8" ht="14">
      <c r="A634" s="25" t="s">
        <v>1721</v>
      </c>
      <c r="B634" s="26" t="s">
        <v>3779</v>
      </c>
      <c r="C634" s="25" t="str">
        <f t="shared" si="10"/>
        <v>eclips</v>
      </c>
      <c r="D634" s="27" t="s">
        <v>13</v>
      </c>
      <c r="E634" s="25" t="s">
        <v>1722</v>
      </c>
      <c r="F634" s="25" t="s">
        <v>1722</v>
      </c>
      <c r="G634" s="25">
        <v>500</v>
      </c>
      <c r="H634" s="25"/>
    </row>
    <row r="635" spans="1:8" ht="14">
      <c r="A635" s="25" t="s">
        <v>1723</v>
      </c>
      <c r="B635" s="26" t="s">
        <v>3779</v>
      </c>
      <c r="C635" s="25" t="str">
        <f t="shared" si="10"/>
        <v>exploris240</v>
      </c>
      <c r="D635" s="27" t="s">
        <v>13</v>
      </c>
      <c r="E635" s="25" t="s">
        <v>1724</v>
      </c>
      <c r="F635" s="25" t="s">
        <v>1725</v>
      </c>
      <c r="G635" s="25">
        <v>500</v>
      </c>
      <c r="H635" s="25"/>
    </row>
    <row r="636" spans="1:8" ht="14">
      <c r="A636" s="25" t="s">
        <v>1726</v>
      </c>
      <c r="B636" s="26" t="s">
        <v>3779</v>
      </c>
      <c r="C636" s="25" t="str">
        <f t="shared" si="10"/>
        <v>exploris480</v>
      </c>
      <c r="D636" s="27" t="s">
        <v>13</v>
      </c>
      <c r="E636" s="25" t="s">
        <v>1727</v>
      </c>
      <c r="F636" s="25" t="s">
        <v>1728</v>
      </c>
      <c r="G636" s="25">
        <v>500</v>
      </c>
      <c r="H636" s="25"/>
    </row>
    <row r="637" spans="1:8" ht="14">
      <c r="A637" s="25" t="s">
        <v>1729</v>
      </c>
      <c r="B637" s="26" t="s">
        <v>3779</v>
      </c>
      <c r="C637" s="25" t="str">
        <f t="shared" si="10"/>
        <v>qex</v>
      </c>
      <c r="D637" s="27" t="s">
        <v>13</v>
      </c>
      <c r="E637" s="25" t="s">
        <v>1730</v>
      </c>
      <c r="F637" s="25" t="s">
        <v>1731</v>
      </c>
      <c r="G637" s="25">
        <v>500</v>
      </c>
      <c r="H637" s="25"/>
    </row>
    <row r="638" spans="1:8" ht="14">
      <c r="A638" s="25" t="s">
        <v>1732</v>
      </c>
      <c r="B638" s="26" t="s">
        <v>3779</v>
      </c>
      <c r="C638" s="25" t="str">
        <f t="shared" si="10"/>
        <v>qexplus</v>
      </c>
      <c r="D638" s="27" t="s">
        <v>13</v>
      </c>
      <c r="E638" s="25" t="s">
        <v>1733</v>
      </c>
      <c r="F638" s="25" t="s">
        <v>1734</v>
      </c>
      <c r="G638" s="25">
        <v>500</v>
      </c>
      <c r="H638" s="25"/>
    </row>
    <row r="639" spans="1:8" ht="14">
      <c r="A639" s="25" t="s">
        <v>3011</v>
      </c>
      <c r="B639" s="26" t="s">
        <v>3779</v>
      </c>
      <c r="C639" s="25" t="str">
        <f t="shared" si="10"/>
        <v>tofpro2</v>
      </c>
      <c r="D639" s="27" t="s">
        <v>13</v>
      </c>
      <c r="E639" s="25" t="s">
        <v>3012</v>
      </c>
      <c r="F639" s="25" t="s">
        <v>3013</v>
      </c>
      <c r="G639" s="25">
        <v>500</v>
      </c>
      <c r="H639" s="25"/>
    </row>
    <row r="640" spans="1:8" ht="14">
      <c r="A640" s="25" t="s">
        <v>1735</v>
      </c>
      <c r="B640" s="26" t="s">
        <v>3779</v>
      </c>
      <c r="C640" s="25" t="str">
        <f t="shared" si="10"/>
        <v>ttofhct</v>
      </c>
      <c r="D640" s="27" t="s">
        <v>13</v>
      </c>
      <c r="E640" s="25" t="s">
        <v>1736</v>
      </c>
      <c r="F640" s="25" t="s">
        <v>3014</v>
      </c>
      <c r="G640" s="25">
        <v>500</v>
      </c>
      <c r="H640" s="25"/>
    </row>
    <row r="641" spans="1:8" ht="14">
      <c r="A641" s="25" t="s">
        <v>1737</v>
      </c>
      <c r="B641" s="26" t="s">
        <v>3779</v>
      </c>
      <c r="C641" s="25" t="str">
        <f t="shared" si="10"/>
        <v>ttofscp</v>
      </c>
      <c r="D641" s="27" t="s">
        <v>13</v>
      </c>
      <c r="E641" s="25" t="s">
        <v>1738</v>
      </c>
      <c r="F641" s="25" t="s">
        <v>3015</v>
      </c>
      <c r="G641" s="25">
        <v>500</v>
      </c>
      <c r="H641" s="25"/>
    </row>
    <row r="642" spans="1:8" ht="14">
      <c r="A642" s="25" t="s">
        <v>1739</v>
      </c>
      <c r="B642" s="26" t="s">
        <v>81</v>
      </c>
      <c r="C642" s="25" t="str">
        <f t="shared" si="10"/>
        <v>faims</v>
      </c>
      <c r="D642" s="27" t="s">
        <v>13</v>
      </c>
      <c r="E642" s="25" t="s">
        <v>4445</v>
      </c>
      <c r="F642" s="25" t="s">
        <v>1741</v>
      </c>
      <c r="G642" s="25">
        <v>500</v>
      </c>
      <c r="H642" s="25"/>
    </row>
    <row r="643" spans="1:8" ht="14">
      <c r="A643" s="25" t="s">
        <v>3100</v>
      </c>
      <c r="B643" s="26" t="s">
        <v>81</v>
      </c>
      <c r="C643" s="25" t="str">
        <f t="shared" si="10"/>
        <v>no_interface</v>
      </c>
      <c r="D643" s="27" t="s">
        <v>13</v>
      </c>
      <c r="E643" s="25" t="s">
        <v>4410</v>
      </c>
      <c r="F643" s="25" t="s">
        <v>1743</v>
      </c>
      <c r="G643" s="25">
        <v>500</v>
      </c>
      <c r="H643" s="25"/>
    </row>
    <row r="644" spans="1:8" ht="14">
      <c r="A644" s="25" t="s">
        <v>262</v>
      </c>
      <c r="B644" s="26" t="s">
        <v>81</v>
      </c>
      <c r="C644" s="25" t="str">
        <f t="shared" si="10"/>
        <v>none</v>
      </c>
      <c r="D644" s="27" t="s">
        <v>13</v>
      </c>
      <c r="E644" s="25" t="s">
        <v>1742</v>
      </c>
      <c r="F644" s="25" t="s">
        <v>4411</v>
      </c>
      <c r="G644" s="25">
        <v>500</v>
      </c>
      <c r="H644" s="25"/>
    </row>
    <row r="645" spans="1:8" ht="14">
      <c r="A645" s="25" t="s">
        <v>1744</v>
      </c>
      <c r="B645" s="26" t="s">
        <v>34</v>
      </c>
      <c r="C645" s="25" t="str">
        <f t="shared" si="10"/>
        <v>easy_spray</v>
      </c>
      <c r="D645" s="27" t="s">
        <v>13</v>
      </c>
      <c r="E645" s="25" t="s">
        <v>1745</v>
      </c>
      <c r="F645" s="25" t="s">
        <v>1746</v>
      </c>
      <c r="G645" s="25">
        <v>500</v>
      </c>
      <c r="H645" s="25"/>
    </row>
    <row r="646" spans="1:8" ht="14">
      <c r="A646" s="25" t="s">
        <v>1747</v>
      </c>
      <c r="B646" s="26" t="s">
        <v>34</v>
      </c>
      <c r="C646" s="25" t="str">
        <f t="shared" si="10"/>
        <v>flex</v>
      </c>
      <c r="D646" s="27" t="s">
        <v>13</v>
      </c>
      <c r="E646" s="25" t="s">
        <v>1748</v>
      </c>
      <c r="F646" s="25" t="s">
        <v>1749</v>
      </c>
      <c r="G646" s="25">
        <v>500</v>
      </c>
      <c r="H646" s="25"/>
    </row>
    <row r="647" spans="1:8" ht="14">
      <c r="A647" s="25" t="s">
        <v>1750</v>
      </c>
      <c r="B647" s="26" t="s">
        <v>34</v>
      </c>
      <c r="C647" s="25" t="str">
        <f t="shared" si="10"/>
        <v>ion_max</v>
      </c>
      <c r="D647" s="27" t="s">
        <v>13</v>
      </c>
      <c r="E647" s="25" t="s">
        <v>1751</v>
      </c>
      <c r="F647" s="25" t="s">
        <v>1752</v>
      </c>
      <c r="G647" s="25">
        <v>500</v>
      </c>
      <c r="H647" s="25"/>
    </row>
    <row r="648" spans="1:8" ht="14">
      <c r="A648" s="25" t="s">
        <v>2997</v>
      </c>
      <c r="B648" s="26" t="s">
        <v>34</v>
      </c>
      <c r="C648" s="25" t="str">
        <f t="shared" si="10"/>
        <v>captivespray</v>
      </c>
      <c r="D648" s="27" t="s">
        <v>2996</v>
      </c>
      <c r="E648" s="25" t="s">
        <v>3001</v>
      </c>
      <c r="F648" s="25" t="s">
        <v>3003</v>
      </c>
      <c r="G648" s="25">
        <v>500</v>
      </c>
      <c r="H648" s="25"/>
    </row>
    <row r="649" spans="1:8" ht="14">
      <c r="A649" s="25" t="s">
        <v>2998</v>
      </c>
      <c r="B649" s="26" t="s">
        <v>34</v>
      </c>
      <c r="C649" s="25" t="str">
        <f t="shared" si="10"/>
        <v>captivespraytwo</v>
      </c>
      <c r="D649" s="27" t="s">
        <v>2999</v>
      </c>
      <c r="E649" s="25" t="s">
        <v>3000</v>
      </c>
      <c r="F649" s="25" t="s">
        <v>3002</v>
      </c>
      <c r="G649" s="25">
        <v>500</v>
      </c>
      <c r="H649" s="25"/>
    </row>
    <row r="650" spans="1:8" ht="14">
      <c r="A650" s="25" t="s">
        <v>3004</v>
      </c>
      <c r="B650" s="26" t="s">
        <v>34</v>
      </c>
      <c r="C650" s="25" t="str">
        <f t="shared" si="10"/>
        <v>captiivespraypro</v>
      </c>
      <c r="D650" s="27" t="s">
        <v>3005</v>
      </c>
      <c r="E650" s="25" t="s">
        <v>3006</v>
      </c>
      <c r="F650" s="25" t="s">
        <v>3007</v>
      </c>
      <c r="G650" s="25">
        <v>500</v>
      </c>
      <c r="H650" s="25"/>
    </row>
    <row r="651" spans="1:8" ht="14">
      <c r="A651" s="25" t="s">
        <v>1753</v>
      </c>
      <c r="B651" s="26" t="s">
        <v>19</v>
      </c>
      <c r="C651" s="25" t="str">
        <f t="shared" si="10"/>
        <v>e1</v>
      </c>
      <c r="D651" s="25" t="s">
        <v>1753</v>
      </c>
      <c r="E651" s="25" t="s">
        <v>1754</v>
      </c>
      <c r="F651" s="25" t="s">
        <v>1755</v>
      </c>
      <c r="G651" s="25">
        <v>500</v>
      </c>
      <c r="H651" s="25"/>
    </row>
    <row r="652" spans="1:8" ht="14">
      <c r="A652" s="25" t="s">
        <v>1756</v>
      </c>
      <c r="B652" s="26" t="s">
        <v>19</v>
      </c>
      <c r="C652" s="25" t="str">
        <f t="shared" si="10"/>
        <v>e2</v>
      </c>
      <c r="D652" s="25" t="s">
        <v>1756</v>
      </c>
      <c r="E652" s="25" t="s">
        <v>1757</v>
      </c>
      <c r="F652" s="25" t="s">
        <v>1758</v>
      </c>
      <c r="G652" s="25">
        <v>500</v>
      </c>
      <c r="H652" s="25"/>
    </row>
    <row r="653" spans="1:8" ht="14">
      <c r="A653" s="25" t="s">
        <v>1759</v>
      </c>
      <c r="B653" s="26" t="s">
        <v>19</v>
      </c>
      <c r="C653" s="25" t="str">
        <f t="shared" si="10"/>
        <v>expl480</v>
      </c>
      <c r="D653" s="25" t="s">
        <v>1759</v>
      </c>
      <c r="E653" s="25" t="s">
        <v>1760</v>
      </c>
      <c r="F653" s="25" t="s">
        <v>2874</v>
      </c>
      <c r="G653" s="25">
        <v>500</v>
      </c>
      <c r="H653" s="25"/>
    </row>
    <row r="654" spans="1:8" ht="14">
      <c r="A654" s="25" t="s">
        <v>2871</v>
      </c>
      <c r="B654" s="26" t="s">
        <v>19</v>
      </c>
      <c r="C654" s="25" t="str">
        <f t="shared" si="10"/>
        <v>hfxage</v>
      </c>
      <c r="D654" s="25" t="s">
        <v>13</v>
      </c>
      <c r="E654" s="25" t="s">
        <v>2872</v>
      </c>
      <c r="F654" s="25" t="s">
        <v>2873</v>
      </c>
      <c r="G654" s="25">
        <v>500</v>
      </c>
      <c r="H654" s="25"/>
    </row>
    <row r="655" spans="1:8" ht="14">
      <c r="A655" s="25" t="s">
        <v>1761</v>
      </c>
      <c r="B655" s="26" t="s">
        <v>19</v>
      </c>
      <c r="C655" s="25" t="str">
        <f t="shared" si="10"/>
        <v>ignarius</v>
      </c>
      <c r="D655" s="25" t="s">
        <v>1761</v>
      </c>
      <c r="E655" s="25" t="s">
        <v>1762</v>
      </c>
      <c r="F655" s="25" t="s">
        <v>1763</v>
      </c>
      <c r="G655" s="25">
        <v>500</v>
      </c>
      <c r="H655" s="25"/>
    </row>
    <row r="656" spans="1:8" ht="14">
      <c r="A656" s="25" t="s">
        <v>1764</v>
      </c>
      <c r="B656" s="26" t="s">
        <v>19</v>
      </c>
      <c r="C656" s="25" t="str">
        <f t="shared" si="10"/>
        <v>timstof</v>
      </c>
      <c r="D656" s="25" t="s">
        <v>1764</v>
      </c>
      <c r="E656" s="25" t="s">
        <v>1765</v>
      </c>
      <c r="F656" s="25" t="s">
        <v>1766</v>
      </c>
      <c r="G656" s="25">
        <v>500</v>
      </c>
      <c r="H656" s="25"/>
    </row>
    <row r="657" spans="1:8" ht="14">
      <c r="A657" s="25" t="s">
        <v>1767</v>
      </c>
      <c r="B657" s="26" t="s">
        <v>124</v>
      </c>
      <c r="C657" s="25" t="str">
        <f t="shared" si="10"/>
        <v>120000res</v>
      </c>
      <c r="D657" s="27" t="s">
        <v>13</v>
      </c>
      <c r="E657" s="25">
        <v>120000</v>
      </c>
      <c r="F657" s="25" t="s">
        <v>1768</v>
      </c>
      <c r="G657" s="25">
        <v>500</v>
      </c>
      <c r="H657" s="25"/>
    </row>
    <row r="658" spans="1:8" ht="14">
      <c r="A658" s="25" t="s">
        <v>1769</v>
      </c>
      <c r="B658" s="26" t="s">
        <v>124</v>
      </c>
      <c r="C658" s="25" t="str">
        <f t="shared" si="10"/>
        <v>15000res</v>
      </c>
      <c r="D658" s="27" t="s">
        <v>13</v>
      </c>
      <c r="E658" s="25">
        <v>15000</v>
      </c>
      <c r="F658" s="25" t="s">
        <v>1768</v>
      </c>
      <c r="G658" s="25">
        <v>500</v>
      </c>
      <c r="H658" s="25"/>
    </row>
    <row r="659" spans="1:8" ht="14">
      <c r="A659" s="25" t="s">
        <v>1770</v>
      </c>
      <c r="B659" s="26" t="s">
        <v>124</v>
      </c>
      <c r="C659" s="25" t="str">
        <f t="shared" si="10"/>
        <v>17500res</v>
      </c>
      <c r="D659" s="27" t="s">
        <v>13</v>
      </c>
      <c r="E659" s="25">
        <v>17500</v>
      </c>
      <c r="F659" s="25" t="s">
        <v>1771</v>
      </c>
      <c r="G659" s="25">
        <v>500</v>
      </c>
      <c r="H659" s="25"/>
    </row>
    <row r="660" spans="1:8" ht="14">
      <c r="A660" s="25" t="s">
        <v>1772</v>
      </c>
      <c r="B660" s="26" t="s">
        <v>124</v>
      </c>
      <c r="C660" s="25" t="str">
        <f t="shared" si="10"/>
        <v>30000res</v>
      </c>
      <c r="D660" s="27" t="s">
        <v>13</v>
      </c>
      <c r="E660" s="25">
        <v>30000</v>
      </c>
      <c r="F660" s="25" t="s">
        <v>1768</v>
      </c>
      <c r="G660" s="25">
        <v>500</v>
      </c>
      <c r="H660" s="25"/>
    </row>
    <row r="661" spans="1:8" ht="14">
      <c r="A661" s="25" t="s">
        <v>1773</v>
      </c>
      <c r="B661" s="26" t="s">
        <v>124</v>
      </c>
      <c r="C661" s="25" t="str">
        <f t="shared" si="10"/>
        <v>35000res</v>
      </c>
      <c r="D661" s="27" t="s">
        <v>13</v>
      </c>
      <c r="E661" s="25">
        <v>35000</v>
      </c>
      <c r="F661" s="25" t="s">
        <v>1771</v>
      </c>
      <c r="G661" s="25">
        <v>500</v>
      </c>
      <c r="H661" s="25"/>
    </row>
    <row r="662" spans="1:8" ht="14">
      <c r="A662" s="25" t="s">
        <v>1774</v>
      </c>
      <c r="B662" s="26" t="s">
        <v>124</v>
      </c>
      <c r="C662" s="25" t="str">
        <f t="shared" si="10"/>
        <v>45000res</v>
      </c>
      <c r="D662" s="27" t="s">
        <v>13</v>
      </c>
      <c r="E662" s="25">
        <v>45000</v>
      </c>
      <c r="F662" s="25" t="s">
        <v>1768</v>
      </c>
      <c r="G662" s="25">
        <v>500</v>
      </c>
      <c r="H662" s="25"/>
    </row>
    <row r="663" spans="1:8" ht="14">
      <c r="A663" s="25" t="s">
        <v>1775</v>
      </c>
      <c r="B663" s="26" t="s">
        <v>124</v>
      </c>
      <c r="C663" s="25" t="str">
        <f t="shared" si="10"/>
        <v>60000res</v>
      </c>
      <c r="D663" s="27" t="s">
        <v>13</v>
      </c>
      <c r="E663" s="25">
        <v>60000</v>
      </c>
      <c r="F663" s="25" t="s">
        <v>1768</v>
      </c>
      <c r="G663" s="25">
        <v>500</v>
      </c>
      <c r="H663" s="25"/>
    </row>
    <row r="664" spans="1:8" ht="14">
      <c r="A664" s="25" t="s">
        <v>1776</v>
      </c>
      <c r="B664" s="26" t="s">
        <v>124</v>
      </c>
      <c r="C664" s="25" t="str">
        <f t="shared" si="10"/>
        <v>7500res</v>
      </c>
      <c r="D664" s="27" t="s">
        <v>13</v>
      </c>
      <c r="E664" s="25">
        <v>7500</v>
      </c>
      <c r="F664" s="25" t="s">
        <v>1768</v>
      </c>
      <c r="G664" s="25">
        <v>500</v>
      </c>
      <c r="H664" s="25"/>
    </row>
    <row r="665" spans="1:8" ht="14">
      <c r="A665" s="25" t="s">
        <v>1777</v>
      </c>
      <c r="B665" s="26" t="s">
        <v>126</v>
      </c>
      <c r="C665" s="25" t="str">
        <f t="shared" si="10"/>
        <v>ab</v>
      </c>
      <c r="D665" s="27" t="s">
        <v>13</v>
      </c>
      <c r="E665" s="25" t="s">
        <v>1779</v>
      </c>
      <c r="F665" s="25" t="s">
        <v>1778</v>
      </c>
      <c r="G665" s="25">
        <v>500</v>
      </c>
      <c r="H665" s="25"/>
    </row>
    <row r="666" spans="1:8" ht="14">
      <c r="A666" s="25" t="s">
        <v>1780</v>
      </c>
      <c r="B666" s="26" t="s">
        <v>126</v>
      </c>
      <c r="C666" s="25" t="str">
        <f t="shared" si="10"/>
        <v>al</v>
      </c>
      <c r="D666" s="27" t="s">
        <v>13</v>
      </c>
      <c r="E666" s="25" t="s">
        <v>1782</v>
      </c>
      <c r="F666" s="25" t="s">
        <v>1781</v>
      </c>
      <c r="G666" s="25">
        <v>500</v>
      </c>
      <c r="H666" s="25"/>
    </row>
    <row r="667" spans="1:8" ht="14">
      <c r="A667" s="25" t="s">
        <v>1783</v>
      </c>
      <c r="B667" s="26" t="s">
        <v>126</v>
      </c>
      <c r="C667" s="25" t="str">
        <f t="shared" si="10"/>
        <v>am</v>
      </c>
      <c r="D667" s="27" t="s">
        <v>13</v>
      </c>
      <c r="E667" s="25" t="s">
        <v>1785</v>
      </c>
      <c r="F667" s="25" t="s">
        <v>1784</v>
      </c>
      <c r="G667" s="25">
        <v>500</v>
      </c>
      <c r="H667" s="25"/>
    </row>
    <row r="668" spans="1:8" ht="14">
      <c r="A668" s="25" t="s">
        <v>1786</v>
      </c>
      <c r="B668" s="26" t="s">
        <v>126</v>
      </c>
      <c r="C668" s="25" t="str">
        <f t="shared" si="10"/>
        <v>an</v>
      </c>
      <c r="D668" s="27" t="s">
        <v>13</v>
      </c>
      <c r="E668" s="25" t="s">
        <v>1788</v>
      </c>
      <c r="F668" s="25" t="s">
        <v>1787</v>
      </c>
      <c r="G668" s="25">
        <v>500</v>
      </c>
      <c r="H668" s="25"/>
    </row>
    <row r="669" spans="1:8" ht="14">
      <c r="A669" s="25" t="s">
        <v>1789</v>
      </c>
      <c r="B669" s="26" t="s">
        <v>126</v>
      </c>
      <c r="C669" s="25" t="str">
        <f t="shared" si="10"/>
        <v>bbl</v>
      </c>
      <c r="D669" s="27" t="s">
        <v>13</v>
      </c>
      <c r="E669" s="25" t="s">
        <v>1791</v>
      </c>
      <c r="F669" s="25" t="s">
        <v>1790</v>
      </c>
      <c r="G669" s="25">
        <v>500</v>
      </c>
      <c r="H669" s="25"/>
    </row>
    <row r="670" spans="1:8" ht="14">
      <c r="A670" s="25" t="s">
        <v>1792</v>
      </c>
      <c r="B670" s="26" t="s">
        <v>126</v>
      </c>
      <c r="C670" s="25" t="str">
        <f t="shared" si="10"/>
        <v>bbs</v>
      </c>
      <c r="D670" s="27" t="s">
        <v>13</v>
      </c>
      <c r="E670" s="25" t="s">
        <v>1794</v>
      </c>
      <c r="F670" s="25" t="s">
        <v>1793</v>
      </c>
      <c r="G670" s="25">
        <v>500</v>
      </c>
      <c r="H670" s="25"/>
    </row>
    <row r="671" spans="1:8" ht="14">
      <c r="A671" s="25" t="s">
        <v>1795</v>
      </c>
      <c r="B671" s="26" t="s">
        <v>126</v>
      </c>
      <c r="C671" s="25" t="str">
        <f t="shared" si="10"/>
        <v>bfa</v>
      </c>
      <c r="D671" s="27" t="s">
        <v>13</v>
      </c>
      <c r="E671" s="25" t="s">
        <v>1797</v>
      </c>
      <c r="F671" s="25" t="s">
        <v>1796</v>
      </c>
      <c r="G671" s="25">
        <v>500</v>
      </c>
      <c r="H671" s="25"/>
    </row>
    <row r="672" spans="1:8" ht="14">
      <c r="A672" s="25" t="s">
        <v>1798</v>
      </c>
      <c r="B672" s="26" t="s">
        <v>126</v>
      </c>
      <c r="C672" s="25" t="str">
        <f t="shared" si="10"/>
        <v>bfp_ca</v>
      </c>
      <c r="D672" s="27" t="s">
        <v>13</v>
      </c>
      <c r="E672" s="25" t="s">
        <v>1800</v>
      </c>
      <c r="F672" s="25" t="s">
        <v>1799</v>
      </c>
      <c r="G672" s="25">
        <v>500</v>
      </c>
      <c r="H672" s="25"/>
    </row>
    <row r="673" spans="1:8" ht="14">
      <c r="A673" s="25" t="s">
        <v>1801</v>
      </c>
      <c r="B673" s="26" t="s">
        <v>126</v>
      </c>
      <c r="C673" s="25" t="str">
        <f t="shared" si="10"/>
        <v>bfp_cr</v>
      </c>
      <c r="D673" s="27" t="s">
        <v>13</v>
      </c>
      <c r="E673" s="25" t="s">
        <v>1803</v>
      </c>
      <c r="F673" s="25" t="s">
        <v>1802</v>
      </c>
      <c r="G673" s="25">
        <v>500</v>
      </c>
      <c r="H673" s="25"/>
    </row>
    <row r="674" spans="1:8" ht="14">
      <c r="A674" s="25" t="s">
        <v>1804</v>
      </c>
      <c r="B674" s="26" t="s">
        <v>126</v>
      </c>
      <c r="C674" s="25" t="str">
        <f t="shared" si="10"/>
        <v>bfp_mi</v>
      </c>
      <c r="D674" s="27" t="s">
        <v>13</v>
      </c>
      <c r="E674" s="25" t="s">
        <v>1806</v>
      </c>
      <c r="F674" s="25" t="s">
        <v>1805</v>
      </c>
      <c r="G674" s="25">
        <v>500</v>
      </c>
      <c r="H674" s="25"/>
    </row>
    <row r="675" spans="1:8" ht="14">
      <c r="A675" s="25" t="s">
        <v>1807</v>
      </c>
      <c r="B675" s="26" t="s">
        <v>126</v>
      </c>
      <c r="C675" s="25" t="str">
        <f t="shared" si="10"/>
        <v>bra</v>
      </c>
      <c r="D675" s="27" t="s">
        <v>13</v>
      </c>
      <c r="E675" s="25" t="s">
        <v>1809</v>
      </c>
      <c r="F675" s="25" t="s">
        <v>1808</v>
      </c>
      <c r="G675" s="25">
        <v>500</v>
      </c>
      <c r="H675" s="25"/>
    </row>
    <row r="676" spans="1:8" ht="14">
      <c r="A676" s="25" t="s">
        <v>1810</v>
      </c>
      <c r="B676" s="26" t="s">
        <v>126</v>
      </c>
      <c r="C676" s="25" t="str">
        <f t="shared" si="10"/>
        <v>cf</v>
      </c>
      <c r="D676" s="27" t="s">
        <v>13</v>
      </c>
      <c r="E676" s="25" t="s">
        <v>1812</v>
      </c>
      <c r="F676" s="25" t="s">
        <v>1811</v>
      </c>
      <c r="G676" s="25">
        <v>500</v>
      </c>
      <c r="H676" s="25"/>
    </row>
    <row r="677" spans="1:8" ht="14">
      <c r="A677" s="25" t="s">
        <v>1813</v>
      </c>
      <c r="B677" s="26" t="s">
        <v>126</v>
      </c>
      <c r="C677" s="25" t="str">
        <f t="shared" si="10"/>
        <v>cor</v>
      </c>
      <c r="D677" s="27" t="s">
        <v>13</v>
      </c>
      <c r="E677" s="25" t="s">
        <v>1815</v>
      </c>
      <c r="F677" s="25" t="s">
        <v>1814</v>
      </c>
      <c r="G677" s="25">
        <v>500</v>
      </c>
      <c r="H677" s="25"/>
    </row>
    <row r="678" spans="1:8" ht="14">
      <c r="A678" s="25" t="s">
        <v>1816</v>
      </c>
      <c r="B678" s="26" t="s">
        <v>126</v>
      </c>
      <c r="C678" s="25" t="str">
        <f t="shared" si="10"/>
        <v>ecrb</v>
      </c>
      <c r="D678" s="27" t="s">
        <v>13</v>
      </c>
      <c r="E678" s="25" t="s">
        <v>1818</v>
      </c>
      <c r="F678" s="25" t="s">
        <v>1817</v>
      </c>
      <c r="G678" s="25">
        <v>500</v>
      </c>
      <c r="H678" s="25"/>
    </row>
    <row r="679" spans="1:8" ht="14">
      <c r="A679" s="25" t="s">
        <v>1819</v>
      </c>
      <c r="B679" s="26" t="s">
        <v>126</v>
      </c>
      <c r="C679" s="25" t="str">
        <f t="shared" si="10"/>
        <v>ecrl</v>
      </c>
      <c r="D679" s="27" t="s">
        <v>13</v>
      </c>
      <c r="E679" s="25" t="s">
        <v>1821</v>
      </c>
      <c r="F679" s="25" t="s">
        <v>1820</v>
      </c>
      <c r="G679" s="25">
        <v>500</v>
      </c>
      <c r="H679" s="25"/>
    </row>
    <row r="680" spans="1:8" ht="14">
      <c r="A680" s="25" t="s">
        <v>1822</v>
      </c>
      <c r="B680" s="26" t="s">
        <v>126</v>
      </c>
      <c r="C680" s="25" t="str">
        <f t="shared" si="10"/>
        <v>ecu</v>
      </c>
      <c r="D680" s="27" t="s">
        <v>13</v>
      </c>
      <c r="E680" s="25" t="s">
        <v>1824</v>
      </c>
      <c r="F680" s="25" t="s">
        <v>1823</v>
      </c>
      <c r="G680" s="25">
        <v>500</v>
      </c>
      <c r="H680" s="25"/>
    </row>
    <row r="681" spans="1:8" ht="14">
      <c r="A681" s="25" t="s">
        <v>1825</v>
      </c>
      <c r="B681" s="26" t="s">
        <v>126</v>
      </c>
      <c r="C681" s="25" t="str">
        <f t="shared" si="10"/>
        <v>edl</v>
      </c>
      <c r="D681" s="27" t="s">
        <v>13</v>
      </c>
      <c r="E681" s="25" t="s">
        <v>1827</v>
      </c>
      <c r="F681" s="25" t="s">
        <v>1826</v>
      </c>
      <c r="G681" s="25">
        <v>500</v>
      </c>
      <c r="H681" s="25"/>
    </row>
    <row r="682" spans="1:8" ht="14">
      <c r="A682" s="25" t="s">
        <v>1828</v>
      </c>
      <c r="B682" s="26" t="s">
        <v>126</v>
      </c>
      <c r="C682" s="25" t="str">
        <f t="shared" si="10"/>
        <v>ehl</v>
      </c>
      <c r="D682" s="27" t="s">
        <v>13</v>
      </c>
      <c r="E682" s="25" t="s">
        <v>1830</v>
      </c>
      <c r="F682" s="25" t="s">
        <v>1829</v>
      </c>
      <c r="G682" s="25">
        <v>500</v>
      </c>
      <c r="H682" s="25"/>
    </row>
    <row r="683" spans="1:8" ht="14">
      <c r="A683" s="25" t="s">
        <v>1831</v>
      </c>
      <c r="B683" s="26" t="s">
        <v>126</v>
      </c>
      <c r="C683" s="25" t="str">
        <f t="shared" si="10"/>
        <v>eip1</v>
      </c>
      <c r="D683" s="27" t="s">
        <v>13</v>
      </c>
      <c r="E683" s="25" t="s">
        <v>1833</v>
      </c>
      <c r="F683" s="25" t="s">
        <v>1832</v>
      </c>
      <c r="G683" s="25">
        <v>500</v>
      </c>
      <c r="H683" s="25"/>
    </row>
    <row r="684" spans="1:8" ht="14">
      <c r="A684" s="25" t="s">
        <v>1834</v>
      </c>
      <c r="B684" s="26" t="s">
        <v>126</v>
      </c>
      <c r="C684" s="25" t="str">
        <f t="shared" si="10"/>
        <v>eip2</v>
      </c>
      <c r="D684" s="27" t="s">
        <v>13</v>
      </c>
      <c r="E684" s="25" t="s">
        <v>1836</v>
      </c>
      <c r="F684" s="25" t="s">
        <v>1835</v>
      </c>
      <c r="G684" s="25">
        <v>500</v>
      </c>
      <c r="H684" s="25"/>
    </row>
    <row r="685" spans="1:8" ht="14">
      <c r="A685" s="25" t="s">
        <v>1837</v>
      </c>
      <c r="B685" s="26" t="s">
        <v>126</v>
      </c>
      <c r="C685" s="25" t="str">
        <f t="shared" si="10"/>
        <v>fcr</v>
      </c>
      <c r="D685" s="27" t="s">
        <v>13</v>
      </c>
      <c r="E685" s="25" t="s">
        <v>1839</v>
      </c>
      <c r="F685" s="25" t="s">
        <v>1838</v>
      </c>
      <c r="G685" s="25">
        <v>500</v>
      </c>
      <c r="H685" s="25"/>
    </row>
    <row r="686" spans="1:8" ht="14">
      <c r="A686" s="25" t="s">
        <v>1840</v>
      </c>
      <c r="B686" s="26" t="s">
        <v>126</v>
      </c>
      <c r="C686" s="25" t="str">
        <f t="shared" si="10"/>
        <v>fcu</v>
      </c>
      <c r="D686" s="27" t="s">
        <v>13</v>
      </c>
      <c r="E686" s="25" t="s">
        <v>1842</v>
      </c>
      <c r="F686" s="25" t="s">
        <v>1841</v>
      </c>
      <c r="G686" s="25">
        <v>500</v>
      </c>
      <c r="H686" s="25"/>
    </row>
    <row r="687" spans="1:8" ht="14">
      <c r="A687" s="25" t="s">
        <v>1843</v>
      </c>
      <c r="B687" s="26" t="s">
        <v>126</v>
      </c>
      <c r="C687" s="25" t="str">
        <f t="shared" si="10"/>
        <v>fdl</v>
      </c>
      <c r="D687" s="27" t="s">
        <v>13</v>
      </c>
      <c r="E687" s="25" t="s">
        <v>1845</v>
      </c>
      <c r="F687" s="25" t="s">
        <v>1844</v>
      </c>
      <c r="G687" s="25">
        <v>500</v>
      </c>
      <c r="H687" s="25"/>
    </row>
    <row r="688" spans="1:8" ht="14">
      <c r="A688" s="25" t="s">
        <v>1846</v>
      </c>
      <c r="B688" s="26" t="s">
        <v>126</v>
      </c>
      <c r="C688" s="25" t="str">
        <f t="shared" si="10"/>
        <v>ga</v>
      </c>
      <c r="D688" s="27" t="s">
        <v>13</v>
      </c>
      <c r="E688" s="25" t="s">
        <v>1848</v>
      </c>
      <c r="F688" s="25" t="s">
        <v>1847</v>
      </c>
      <c r="G688" s="25">
        <v>500</v>
      </c>
      <c r="H688" s="25"/>
    </row>
    <row r="689" spans="1:8" ht="14">
      <c r="A689" s="25" t="s">
        <v>1849</v>
      </c>
      <c r="B689" s="26" t="s">
        <v>126</v>
      </c>
      <c r="C689" s="25" t="str">
        <f t="shared" si="10"/>
        <v>gem</v>
      </c>
      <c r="D689" s="27" t="s">
        <v>13</v>
      </c>
      <c r="E689" s="25" t="s">
        <v>1851</v>
      </c>
      <c r="F689" s="25" t="s">
        <v>1850</v>
      </c>
      <c r="G689" s="25">
        <v>500</v>
      </c>
      <c r="H689" s="25"/>
    </row>
    <row r="690" spans="1:8" ht="14">
      <c r="A690" s="25" t="s">
        <v>1852</v>
      </c>
      <c r="B690" s="26" t="s">
        <v>126</v>
      </c>
      <c r="C690" s="25" t="str">
        <f t="shared" si="10"/>
        <v>gm</v>
      </c>
      <c r="D690" s="27" t="s">
        <v>13</v>
      </c>
      <c r="E690" s="25" t="s">
        <v>1854</v>
      </c>
      <c r="F690" s="25" t="s">
        <v>1853</v>
      </c>
      <c r="G690" s="25">
        <v>500</v>
      </c>
      <c r="H690" s="25"/>
    </row>
    <row r="691" spans="1:8" ht="14">
      <c r="A691" s="25" t="s">
        <v>1855</v>
      </c>
      <c r="B691" s="26" t="s">
        <v>126</v>
      </c>
      <c r="C691" s="25" t="str">
        <f t="shared" si="10"/>
        <v>gm_dr</v>
      </c>
      <c r="D691" s="27" t="s">
        <v>13</v>
      </c>
      <c r="E691" s="25" t="s">
        <v>1857</v>
      </c>
      <c r="F691" s="25" t="s">
        <v>1856</v>
      </c>
      <c r="G691" s="25">
        <v>500</v>
      </c>
      <c r="H691" s="25"/>
    </row>
    <row r="692" spans="1:8" ht="14">
      <c r="A692" s="25" t="s">
        <v>1858</v>
      </c>
      <c r="B692" s="26" t="s">
        <v>126</v>
      </c>
      <c r="C692" s="25" t="str">
        <f t="shared" si="10"/>
        <v>gm_mi</v>
      </c>
      <c r="D692" s="27" t="s">
        <v>13</v>
      </c>
      <c r="E692" s="25" t="s">
        <v>1860</v>
      </c>
      <c r="F692" s="25" t="s">
        <v>1859</v>
      </c>
      <c r="G692" s="25">
        <v>500</v>
      </c>
      <c r="H692" s="25"/>
    </row>
    <row r="693" spans="1:8" ht="14">
      <c r="A693" s="25" t="s">
        <v>1861</v>
      </c>
      <c r="B693" s="26" t="s">
        <v>126</v>
      </c>
      <c r="C693" s="25" t="str">
        <f t="shared" si="10"/>
        <v>gm_ve</v>
      </c>
      <c r="D693" s="27" t="s">
        <v>13</v>
      </c>
      <c r="E693" s="25" t="s">
        <v>1863</v>
      </c>
      <c r="F693" s="25" t="s">
        <v>1862</v>
      </c>
      <c r="G693" s="25">
        <v>500</v>
      </c>
      <c r="H693" s="25"/>
    </row>
    <row r="694" spans="1:8" ht="14">
      <c r="A694" s="25" t="s">
        <v>1864</v>
      </c>
      <c r="B694" s="26" t="s">
        <v>126</v>
      </c>
      <c r="C694" s="25" t="str">
        <f t="shared" ref="C694:C753" si="11">A694</f>
        <v>gp</v>
      </c>
      <c r="D694" s="27" t="s">
        <v>13</v>
      </c>
      <c r="E694" s="25" t="s">
        <v>1866</v>
      </c>
      <c r="F694" s="25" t="s">
        <v>1865</v>
      </c>
      <c r="G694" s="25">
        <v>500</v>
      </c>
      <c r="H694" s="25"/>
    </row>
    <row r="695" spans="1:8" ht="14">
      <c r="A695" s="25" t="s">
        <v>1867</v>
      </c>
      <c r="B695" s="26" t="s">
        <v>126</v>
      </c>
      <c r="C695" s="25" t="str">
        <f t="shared" si="11"/>
        <v>ili</v>
      </c>
      <c r="D695" s="27" t="s">
        <v>13</v>
      </c>
      <c r="E695" s="25" t="s">
        <v>1869</v>
      </c>
      <c r="F695" s="25" t="s">
        <v>1868</v>
      </c>
      <c r="G695" s="25">
        <v>500</v>
      </c>
      <c r="H695" s="25"/>
    </row>
    <row r="696" spans="1:8" ht="14">
      <c r="A696" s="25" t="s">
        <v>1870</v>
      </c>
      <c r="B696" s="26" t="s">
        <v>126</v>
      </c>
      <c r="C696" s="25" t="str">
        <f t="shared" si="11"/>
        <v>lg</v>
      </c>
      <c r="D696" s="27" t="s">
        <v>13</v>
      </c>
      <c r="E696" s="25" t="s">
        <v>1872</v>
      </c>
      <c r="F696" s="25" t="s">
        <v>1871</v>
      </c>
      <c r="G696" s="25">
        <v>500</v>
      </c>
      <c r="H696" s="25"/>
    </row>
    <row r="697" spans="1:8" ht="14">
      <c r="A697" s="25" t="s">
        <v>1873</v>
      </c>
      <c r="B697" s="26" t="s">
        <v>126</v>
      </c>
      <c r="C697" s="25" t="str">
        <f t="shared" si="11"/>
        <v>mg</v>
      </c>
      <c r="D697" s="27" t="s">
        <v>13</v>
      </c>
      <c r="E697" s="25" t="s">
        <v>1875</v>
      </c>
      <c r="F697" s="25" t="s">
        <v>1874</v>
      </c>
      <c r="G697" s="25">
        <v>500</v>
      </c>
      <c r="H697" s="25"/>
    </row>
    <row r="698" spans="1:8" ht="14">
      <c r="A698" s="25" t="s">
        <v>1876</v>
      </c>
      <c r="B698" s="26" t="s">
        <v>126</v>
      </c>
      <c r="C698" s="25" t="str">
        <f t="shared" si="11"/>
        <v>oe</v>
      </c>
      <c r="D698" s="27" t="s">
        <v>13</v>
      </c>
      <c r="E698" s="25" t="s">
        <v>1878</v>
      </c>
      <c r="F698" s="25" t="s">
        <v>1877</v>
      </c>
      <c r="G698" s="25">
        <v>500</v>
      </c>
      <c r="H698" s="25"/>
    </row>
    <row r="699" spans="1:8" ht="14">
      <c r="A699" s="25" t="s">
        <v>1879</v>
      </c>
      <c r="B699" s="26" t="s">
        <v>126</v>
      </c>
      <c r="C699" s="25" t="str">
        <f t="shared" si="11"/>
        <v>oi</v>
      </c>
      <c r="D699" s="27" t="s">
        <v>13</v>
      </c>
      <c r="E699" s="25" t="s">
        <v>1881</v>
      </c>
      <c r="F699" s="25" t="s">
        <v>1880</v>
      </c>
      <c r="G699" s="25">
        <v>500</v>
      </c>
      <c r="H699" s="25"/>
    </row>
    <row r="700" spans="1:8" ht="14">
      <c r="A700" s="25" t="s">
        <v>1882</v>
      </c>
      <c r="B700" s="26" t="s">
        <v>126</v>
      </c>
      <c r="C700" s="25" t="str">
        <f t="shared" si="11"/>
        <v>pb</v>
      </c>
      <c r="D700" s="27" t="s">
        <v>13</v>
      </c>
      <c r="E700" s="25" t="s">
        <v>1884</v>
      </c>
      <c r="F700" s="25" t="s">
        <v>1883</v>
      </c>
      <c r="G700" s="25">
        <v>500</v>
      </c>
      <c r="H700" s="25"/>
    </row>
    <row r="701" spans="1:8" ht="14">
      <c r="A701" s="25" t="s">
        <v>1885</v>
      </c>
      <c r="B701" s="26" t="s">
        <v>126</v>
      </c>
      <c r="C701" s="25" t="str">
        <f t="shared" si="11"/>
        <v>pdqa</v>
      </c>
      <c r="D701" s="27" t="s">
        <v>13</v>
      </c>
      <c r="E701" s="25" t="s">
        <v>1887</v>
      </c>
      <c r="F701" s="25" t="s">
        <v>1886</v>
      </c>
      <c r="G701" s="25">
        <v>500</v>
      </c>
      <c r="H701" s="25"/>
    </row>
    <row r="702" spans="1:8" ht="14">
      <c r="A702" s="25" t="s">
        <v>1888</v>
      </c>
      <c r="B702" s="26" t="s">
        <v>126</v>
      </c>
      <c r="C702" s="25" t="str">
        <f t="shared" si="11"/>
        <v>pdqi</v>
      </c>
      <c r="D702" s="27" t="s">
        <v>13</v>
      </c>
      <c r="E702" s="25" t="s">
        <v>1890</v>
      </c>
      <c r="F702" s="25" t="s">
        <v>1889</v>
      </c>
      <c r="G702" s="25">
        <v>500</v>
      </c>
      <c r="H702" s="25"/>
    </row>
    <row r="703" spans="1:8" ht="14">
      <c r="A703" s="25" t="s">
        <v>1891</v>
      </c>
      <c r="B703" s="26" t="s">
        <v>126</v>
      </c>
      <c r="C703" s="25" t="str">
        <f t="shared" si="11"/>
        <v>pect</v>
      </c>
      <c r="D703" s="27" t="s">
        <v>13</v>
      </c>
      <c r="E703" s="25" t="s">
        <v>1893</v>
      </c>
      <c r="F703" s="25" t="s">
        <v>1892</v>
      </c>
      <c r="G703" s="25">
        <v>500</v>
      </c>
      <c r="H703" s="25"/>
    </row>
    <row r="704" spans="1:8" ht="14">
      <c r="A704" s="25" t="s">
        <v>1894</v>
      </c>
      <c r="B704" s="26" t="s">
        <v>126</v>
      </c>
      <c r="C704" s="25" t="str">
        <f t="shared" si="11"/>
        <v>pl</v>
      </c>
      <c r="D704" s="27" t="s">
        <v>13</v>
      </c>
      <c r="E704" s="25" t="s">
        <v>1896</v>
      </c>
      <c r="F704" s="25" t="s">
        <v>1895</v>
      </c>
      <c r="G704" s="25">
        <v>500</v>
      </c>
      <c r="H704" s="25"/>
    </row>
    <row r="705" spans="1:8" ht="14">
      <c r="A705" s="25" t="s">
        <v>1897</v>
      </c>
      <c r="B705" s="26" t="s">
        <v>126</v>
      </c>
      <c r="C705" s="25" t="str">
        <f t="shared" si="11"/>
        <v>plant</v>
      </c>
      <c r="D705" s="27" t="s">
        <v>13</v>
      </c>
      <c r="E705" s="25" t="s">
        <v>1899</v>
      </c>
      <c r="F705" s="25" t="s">
        <v>1898</v>
      </c>
      <c r="G705" s="25">
        <v>500</v>
      </c>
      <c r="H705" s="25"/>
    </row>
    <row r="706" spans="1:8" ht="14">
      <c r="A706" s="25" t="s">
        <v>1900</v>
      </c>
      <c r="B706" s="26" t="s">
        <v>126</v>
      </c>
      <c r="C706" s="25" t="str">
        <f t="shared" si="11"/>
        <v>plo</v>
      </c>
      <c r="D706" s="27" t="s">
        <v>13</v>
      </c>
      <c r="E706" s="25" t="s">
        <v>1902</v>
      </c>
      <c r="F706" s="25" t="s">
        <v>1901</v>
      </c>
      <c r="G706" s="25">
        <v>500</v>
      </c>
      <c r="H706" s="25"/>
    </row>
    <row r="707" spans="1:8" ht="14">
      <c r="A707" s="25" t="s">
        <v>1903</v>
      </c>
      <c r="B707" s="26" t="s">
        <v>126</v>
      </c>
      <c r="C707" s="25" t="str">
        <f t="shared" si="11"/>
        <v>pma</v>
      </c>
      <c r="D707" s="27" t="s">
        <v>13</v>
      </c>
      <c r="E707" s="25" t="s">
        <v>1905</v>
      </c>
      <c r="F707" s="25" t="s">
        <v>1904</v>
      </c>
      <c r="G707" s="25">
        <v>500</v>
      </c>
      <c r="H707" s="25"/>
    </row>
    <row r="708" spans="1:8" ht="14">
      <c r="A708" s="25" t="s">
        <v>1906</v>
      </c>
      <c r="B708" s="26" t="s">
        <v>126</v>
      </c>
      <c r="C708" s="25" t="str">
        <f t="shared" si="11"/>
        <v>pmi</v>
      </c>
      <c r="D708" s="27" t="s">
        <v>13</v>
      </c>
      <c r="E708" s="25" t="s">
        <v>1908</v>
      </c>
      <c r="F708" s="25" t="s">
        <v>1907</v>
      </c>
      <c r="G708" s="25">
        <v>500</v>
      </c>
      <c r="H708" s="25"/>
    </row>
    <row r="709" spans="1:8" ht="14">
      <c r="A709" s="25" t="s">
        <v>1909</v>
      </c>
      <c r="B709" s="26" t="s">
        <v>126</v>
      </c>
      <c r="C709" s="25" t="str">
        <f t="shared" si="11"/>
        <v>pop</v>
      </c>
      <c r="D709" s="27" t="s">
        <v>13</v>
      </c>
      <c r="E709" s="25" t="s">
        <v>1911</v>
      </c>
      <c r="F709" s="25" t="s">
        <v>1910</v>
      </c>
      <c r="G709" s="25">
        <v>500</v>
      </c>
      <c r="H709" s="25"/>
    </row>
    <row r="710" spans="1:8" ht="14">
      <c r="A710" s="25" t="s">
        <v>1912</v>
      </c>
      <c r="B710" s="26" t="s">
        <v>126</v>
      </c>
      <c r="C710" s="25" t="str">
        <f t="shared" si="11"/>
        <v>pt</v>
      </c>
      <c r="D710" s="27" t="s">
        <v>13</v>
      </c>
      <c r="E710" s="25" t="s">
        <v>1914</v>
      </c>
      <c r="F710" s="25" t="s">
        <v>1913</v>
      </c>
      <c r="G710" s="25">
        <v>500</v>
      </c>
      <c r="H710" s="25"/>
    </row>
    <row r="711" spans="1:8" ht="14">
      <c r="A711" s="25" t="s">
        <v>1915</v>
      </c>
      <c r="B711" s="26" t="s">
        <v>126</v>
      </c>
      <c r="C711" s="25" t="str">
        <f t="shared" si="11"/>
        <v>pte</v>
      </c>
      <c r="D711" s="27" t="s">
        <v>13</v>
      </c>
      <c r="E711" s="25" t="s">
        <v>1917</v>
      </c>
      <c r="F711" s="25" t="s">
        <v>1916</v>
      </c>
      <c r="G711" s="25">
        <v>500</v>
      </c>
      <c r="H711" s="25"/>
    </row>
    <row r="712" spans="1:8" ht="14">
      <c r="A712" s="25" t="s">
        <v>1918</v>
      </c>
      <c r="B712" s="26" t="s">
        <v>126</v>
      </c>
      <c r="C712" s="25" t="str">
        <f t="shared" si="11"/>
        <v>qf</v>
      </c>
      <c r="D712" s="27" t="s">
        <v>13</v>
      </c>
      <c r="E712" s="25" t="s">
        <v>1920</v>
      </c>
      <c r="F712" s="25" t="s">
        <v>1919</v>
      </c>
      <c r="G712" s="25">
        <v>500</v>
      </c>
      <c r="H712" s="25"/>
    </row>
    <row r="713" spans="1:8" ht="14">
      <c r="A713" s="25" t="s">
        <v>1921</v>
      </c>
      <c r="B713" s="26" t="s">
        <v>126</v>
      </c>
      <c r="C713" s="25" t="str">
        <f t="shared" si="11"/>
        <v>rf</v>
      </c>
      <c r="D713" s="27" t="s">
        <v>13</v>
      </c>
      <c r="E713" s="25" t="s">
        <v>1923</v>
      </c>
      <c r="F713" s="25" t="s">
        <v>1922</v>
      </c>
      <c r="G713" s="25">
        <v>500</v>
      </c>
      <c r="H713" s="25"/>
    </row>
    <row r="714" spans="1:8" ht="14">
      <c r="A714" s="25" t="s">
        <v>1924</v>
      </c>
      <c r="B714" s="26" t="s">
        <v>126</v>
      </c>
      <c r="C714" s="25" t="str">
        <f t="shared" si="11"/>
        <v>sm</v>
      </c>
      <c r="D714" s="27" t="s">
        <v>13</v>
      </c>
      <c r="E714" s="25" t="s">
        <v>1926</v>
      </c>
      <c r="F714" s="25" t="s">
        <v>1925</v>
      </c>
      <c r="G714" s="25">
        <v>500</v>
      </c>
      <c r="H714" s="25"/>
    </row>
    <row r="715" spans="1:8" ht="14">
      <c r="A715" s="25" t="s">
        <v>1927</v>
      </c>
      <c r="B715" s="26" t="s">
        <v>126</v>
      </c>
      <c r="C715" s="25" t="str">
        <f t="shared" si="11"/>
        <v>sol</v>
      </c>
      <c r="D715" s="27" t="s">
        <v>13</v>
      </c>
      <c r="E715" s="25" t="s">
        <v>1929</v>
      </c>
      <c r="F715" s="25" t="s">
        <v>1928</v>
      </c>
      <c r="G715" s="25">
        <v>500</v>
      </c>
      <c r="H715" s="25"/>
    </row>
    <row r="716" spans="1:8" ht="14">
      <c r="A716" s="25" t="s">
        <v>1930</v>
      </c>
      <c r="B716" s="26" t="s">
        <v>126</v>
      </c>
      <c r="C716" s="25" t="str">
        <f t="shared" si="11"/>
        <v>st</v>
      </c>
      <c r="D716" s="27" t="s">
        <v>13</v>
      </c>
      <c r="E716" s="25" t="s">
        <v>1932</v>
      </c>
      <c r="F716" s="25" t="s">
        <v>1931</v>
      </c>
      <c r="G716" s="25">
        <v>500</v>
      </c>
      <c r="H716" s="25"/>
    </row>
    <row r="717" spans="1:8" ht="14">
      <c r="A717" s="25" t="s">
        <v>1933</v>
      </c>
      <c r="B717" s="26" t="s">
        <v>126</v>
      </c>
      <c r="C717" s="25" t="str">
        <f t="shared" si="11"/>
        <v>ta</v>
      </c>
      <c r="D717" s="27" t="s">
        <v>13</v>
      </c>
      <c r="E717" s="25" t="s">
        <v>1935</v>
      </c>
      <c r="F717" s="25" t="s">
        <v>1934</v>
      </c>
      <c r="G717" s="25">
        <v>500</v>
      </c>
      <c r="H717" s="25"/>
    </row>
    <row r="718" spans="1:8" ht="14">
      <c r="A718" s="25" t="s">
        <v>1936</v>
      </c>
      <c r="B718" s="26" t="s">
        <v>126</v>
      </c>
      <c r="C718" s="25" t="str">
        <f t="shared" si="11"/>
        <v>tbl</v>
      </c>
      <c r="D718" s="27" t="s">
        <v>13</v>
      </c>
      <c r="E718" s="25" t="s">
        <v>1938</v>
      </c>
      <c r="F718" s="25" t="s">
        <v>1937</v>
      </c>
      <c r="G718" s="25">
        <v>500</v>
      </c>
      <c r="H718" s="25"/>
    </row>
    <row r="719" spans="1:8" ht="14">
      <c r="A719" s="25" t="s">
        <v>1939</v>
      </c>
      <c r="B719" s="26" t="s">
        <v>126</v>
      </c>
      <c r="C719" s="25" t="str">
        <f t="shared" si="11"/>
        <v>tbm</v>
      </c>
      <c r="D719" s="27" t="s">
        <v>13</v>
      </c>
      <c r="E719" s="25" t="s">
        <v>1941</v>
      </c>
      <c r="F719" s="25" t="s">
        <v>1940</v>
      </c>
      <c r="G719" s="25">
        <v>500</v>
      </c>
      <c r="H719" s="25"/>
    </row>
    <row r="720" spans="1:8" ht="14">
      <c r="A720" s="25" t="s">
        <v>1942</v>
      </c>
      <c r="B720" s="26" t="s">
        <v>126</v>
      </c>
      <c r="C720" s="25" t="str">
        <f t="shared" si="11"/>
        <v>tbo</v>
      </c>
      <c r="D720" s="27" t="s">
        <v>13</v>
      </c>
      <c r="E720" s="25" t="s">
        <v>1944</v>
      </c>
      <c r="F720" s="25" t="s">
        <v>1943</v>
      </c>
      <c r="G720" s="25">
        <v>500</v>
      </c>
      <c r="H720" s="25"/>
    </row>
    <row r="721" spans="1:8" ht="14">
      <c r="A721" s="25" t="s">
        <v>1945</v>
      </c>
      <c r="B721" s="26" t="s">
        <v>126</v>
      </c>
      <c r="C721" s="25" t="str">
        <f t="shared" si="11"/>
        <v>tp</v>
      </c>
      <c r="D721" s="27" t="s">
        <v>13</v>
      </c>
      <c r="E721" s="25" t="s">
        <v>1947</v>
      </c>
      <c r="F721" s="25" t="s">
        <v>1946</v>
      </c>
      <c r="G721" s="25">
        <v>500</v>
      </c>
      <c r="H721" s="25"/>
    </row>
    <row r="722" spans="1:8" ht="14">
      <c r="A722" s="25" t="s">
        <v>1948</v>
      </c>
      <c r="B722" s="26" t="s">
        <v>126</v>
      </c>
      <c r="C722" s="25" t="str">
        <f t="shared" si="11"/>
        <v>vi</v>
      </c>
      <c r="D722" s="27" t="s">
        <v>13</v>
      </c>
      <c r="E722" s="25" t="s">
        <v>1950</v>
      </c>
      <c r="F722" s="25" t="s">
        <v>1949</v>
      </c>
      <c r="G722" s="25">
        <v>500</v>
      </c>
      <c r="H722" s="25"/>
    </row>
    <row r="723" spans="1:8" ht="14">
      <c r="A723" s="25" t="s">
        <v>1951</v>
      </c>
      <c r="B723" s="26" t="s">
        <v>126</v>
      </c>
      <c r="C723" s="25" t="str">
        <f t="shared" si="11"/>
        <v>vl</v>
      </c>
      <c r="D723" s="27" t="s">
        <v>13</v>
      </c>
      <c r="E723" s="25" t="s">
        <v>1953</v>
      </c>
      <c r="F723" s="25" t="s">
        <v>1952</v>
      </c>
      <c r="G723" s="25">
        <v>500</v>
      </c>
      <c r="H723" s="25"/>
    </row>
    <row r="724" spans="1:8" ht="14">
      <c r="A724" s="25" t="s">
        <v>1954</v>
      </c>
      <c r="B724" s="26" t="s">
        <v>126</v>
      </c>
      <c r="C724" s="25" t="str">
        <f t="shared" si="11"/>
        <v>vm</v>
      </c>
      <c r="D724" s="27" t="s">
        <v>13</v>
      </c>
      <c r="E724" s="25" t="s">
        <v>1956</v>
      </c>
      <c r="F724" s="25" t="s">
        <v>1955</v>
      </c>
      <c r="G724" s="25">
        <v>500</v>
      </c>
      <c r="H724" s="25"/>
    </row>
    <row r="725" spans="1:8" ht="14">
      <c r="A725" s="25" t="s">
        <v>2678</v>
      </c>
      <c r="B725" s="26" t="s">
        <v>126</v>
      </c>
      <c r="C725" s="25" t="str">
        <f t="shared" si="11"/>
        <v>quad</v>
      </c>
      <c r="D725" s="27" t="s">
        <v>13</v>
      </c>
      <c r="E725" s="25" t="s">
        <v>2680</v>
      </c>
      <c r="F725" s="25" t="s">
        <v>2679</v>
      </c>
      <c r="G725" s="25">
        <v>500</v>
      </c>
      <c r="H725" s="25"/>
    </row>
    <row r="726" spans="1:8" ht="14">
      <c r="A726" s="25" t="s">
        <v>1957</v>
      </c>
      <c r="B726" s="26" t="s">
        <v>129</v>
      </c>
      <c r="C726" s="25" t="str">
        <f t="shared" si="11"/>
        <v>zirconium</v>
      </c>
      <c r="D726" s="27" t="s">
        <v>13</v>
      </c>
      <c r="E726" s="25" t="s">
        <v>1958</v>
      </c>
      <c r="F726" s="25" t="s">
        <v>1959</v>
      </c>
      <c r="G726" s="25">
        <v>500</v>
      </c>
      <c r="H726" s="25"/>
    </row>
    <row r="727" spans="1:8" ht="14">
      <c r="A727" s="25" t="s">
        <v>1960</v>
      </c>
      <c r="B727" s="26" t="s">
        <v>130</v>
      </c>
      <c r="C727" s="25" t="str">
        <f t="shared" si="11"/>
        <v>bgpage</v>
      </c>
      <c r="D727" s="27" t="s">
        <v>13</v>
      </c>
      <c r="E727" s="25" t="s">
        <v>1961</v>
      </c>
      <c r="F727" s="25" t="s">
        <v>1962</v>
      </c>
      <c r="G727" s="25">
        <v>500</v>
      </c>
      <c r="H727" s="25"/>
    </row>
    <row r="728" spans="1:8" ht="14">
      <c r="A728" s="25" t="s">
        <v>1963</v>
      </c>
      <c r="B728" s="26" t="s">
        <v>130</v>
      </c>
      <c r="C728" s="25" t="str">
        <f t="shared" si="11"/>
        <v>highph_hplc</v>
      </c>
      <c r="D728" s="27" t="s">
        <v>13</v>
      </c>
      <c r="E728" s="25" t="s">
        <v>1964</v>
      </c>
      <c r="F728" s="25" t="s">
        <v>1965</v>
      </c>
      <c r="G728" s="25">
        <v>500</v>
      </c>
      <c r="H728" s="25"/>
    </row>
    <row r="729" spans="1:8" ht="14">
      <c r="A729" s="25" t="s">
        <v>1966</v>
      </c>
      <c r="B729" s="26" t="s">
        <v>130</v>
      </c>
      <c r="C729" s="25" t="str">
        <f t="shared" si="11"/>
        <v>highph_tip</v>
      </c>
      <c r="D729" s="27" t="s">
        <v>13</v>
      </c>
      <c r="E729" s="25" t="s">
        <v>1967</v>
      </c>
      <c r="F729" s="25" t="s">
        <v>1968</v>
      </c>
      <c r="G729" s="25">
        <v>500</v>
      </c>
      <c r="H729" s="25"/>
    </row>
    <row r="730" spans="1:8" ht="14">
      <c r="A730" s="25" t="s">
        <v>1969</v>
      </c>
      <c r="B730" s="26" t="s">
        <v>130</v>
      </c>
      <c r="C730" s="25" t="str">
        <f t="shared" si="11"/>
        <v>sax</v>
      </c>
      <c r="D730" s="27" t="s">
        <v>13</v>
      </c>
      <c r="E730" s="25" t="s">
        <v>1970</v>
      </c>
      <c r="F730" s="25" t="s">
        <v>1971</v>
      </c>
      <c r="G730" s="25">
        <v>500</v>
      </c>
      <c r="H730" s="25"/>
    </row>
    <row r="731" spans="1:8" ht="14">
      <c r="A731" s="25" t="s">
        <v>1972</v>
      </c>
      <c r="B731" s="26" t="s">
        <v>130</v>
      </c>
      <c r="C731" s="25" t="str">
        <f t="shared" si="11"/>
        <v>scx</v>
      </c>
      <c r="D731" s="27" t="s">
        <v>13</v>
      </c>
      <c r="E731" s="25" t="s">
        <v>1973</v>
      </c>
      <c r="F731" s="25" t="s">
        <v>1974</v>
      </c>
      <c r="G731" s="25">
        <v>500</v>
      </c>
      <c r="H731" s="25"/>
    </row>
    <row r="732" spans="1:8" ht="14">
      <c r="A732" s="25" t="s">
        <v>1975</v>
      </c>
      <c r="B732" s="26" t="s">
        <v>130</v>
      </c>
      <c r="C732" s="25" t="str">
        <f t="shared" si="11"/>
        <v>sdspage</v>
      </c>
      <c r="D732" s="27" t="s">
        <v>13</v>
      </c>
      <c r="E732" s="25" t="s">
        <v>1976</v>
      </c>
      <c r="F732" s="25" t="s">
        <v>1977</v>
      </c>
      <c r="G732" s="25">
        <v>500</v>
      </c>
      <c r="H732" s="25"/>
    </row>
    <row r="733" spans="1:8" ht="14">
      <c r="A733" s="25" t="s">
        <v>1978</v>
      </c>
      <c r="B733" s="26" t="s">
        <v>136</v>
      </c>
      <c r="C733" s="25" t="str">
        <f t="shared" si="11"/>
        <v>proteomics</v>
      </c>
      <c r="D733" s="27" t="s">
        <v>13</v>
      </c>
      <c r="E733" s="25" t="s">
        <v>1979</v>
      </c>
      <c r="F733" s="25" t="s">
        <v>1980</v>
      </c>
      <c r="G733" s="25">
        <v>500</v>
      </c>
      <c r="H733" s="25"/>
    </row>
    <row r="734" spans="1:8" ht="14">
      <c r="A734" s="25" t="s">
        <v>1981</v>
      </c>
      <c r="B734" s="26" t="s">
        <v>127</v>
      </c>
      <c r="C734" s="25" t="str">
        <f t="shared" si="11"/>
        <v>appendix</v>
      </c>
      <c r="D734" s="25" t="s">
        <v>1981</v>
      </c>
      <c r="E734" s="25" t="s">
        <v>1982</v>
      </c>
      <c r="F734" s="25" t="s">
        <v>1982</v>
      </c>
      <c r="G734" s="25">
        <v>500</v>
      </c>
      <c r="H734" s="25"/>
    </row>
    <row r="735" spans="1:8" ht="14">
      <c r="A735" s="25" t="s">
        <v>1983</v>
      </c>
      <c r="B735" s="26" t="s">
        <v>127</v>
      </c>
      <c r="C735" s="25" t="str">
        <f t="shared" si="11"/>
        <v>arteries</v>
      </c>
      <c r="D735" s="25" t="s">
        <v>1983</v>
      </c>
      <c r="E735" s="25" t="s">
        <v>1984</v>
      </c>
      <c r="F735" s="25" t="s">
        <v>1984</v>
      </c>
      <c r="G735" s="25">
        <v>500</v>
      </c>
      <c r="H735" s="25"/>
    </row>
    <row r="736" spans="1:8" ht="14">
      <c r="A736" s="25" t="s">
        <v>1985</v>
      </c>
      <c r="B736" s="26" t="s">
        <v>127</v>
      </c>
      <c r="C736" s="25" t="str">
        <f t="shared" si="11"/>
        <v>bladder</v>
      </c>
      <c r="D736" s="25" t="s">
        <v>1985</v>
      </c>
      <c r="E736" s="25" t="s">
        <v>1986</v>
      </c>
      <c r="F736" s="25" t="s">
        <v>1986</v>
      </c>
      <c r="G736" s="25">
        <v>500</v>
      </c>
      <c r="H736" s="25"/>
    </row>
    <row r="737" spans="1:8" ht="14">
      <c r="A737" s="25" t="s">
        <v>1987</v>
      </c>
      <c r="B737" s="26" t="s">
        <v>127</v>
      </c>
      <c r="C737" s="25" t="str">
        <f t="shared" si="11"/>
        <v>bone_marrow</v>
      </c>
      <c r="D737" s="25" t="s">
        <v>1987</v>
      </c>
      <c r="E737" s="25" t="s">
        <v>1988</v>
      </c>
      <c r="F737" s="25" t="s">
        <v>1988</v>
      </c>
      <c r="G737" s="25">
        <v>500</v>
      </c>
      <c r="H737" s="25"/>
    </row>
    <row r="738" spans="1:8" ht="14">
      <c r="A738" s="25" t="s">
        <v>1989</v>
      </c>
      <c r="B738" s="26" t="s">
        <v>127</v>
      </c>
      <c r="C738" s="25" t="str">
        <f t="shared" si="11"/>
        <v>brain</v>
      </c>
      <c r="D738" s="25" t="s">
        <v>1989</v>
      </c>
      <c r="E738" s="25" t="s">
        <v>1990</v>
      </c>
      <c r="F738" s="25" t="s">
        <v>1990</v>
      </c>
      <c r="G738" s="25">
        <v>500</v>
      </c>
      <c r="H738" s="25"/>
    </row>
    <row r="739" spans="1:8" ht="14">
      <c r="A739" s="25" t="s">
        <v>1991</v>
      </c>
      <c r="B739" s="26" t="s">
        <v>127</v>
      </c>
      <c r="C739" s="25" t="str">
        <f t="shared" si="11"/>
        <v>bronchi</v>
      </c>
      <c r="D739" s="25" t="s">
        <v>1991</v>
      </c>
      <c r="E739" s="25" t="s">
        <v>1992</v>
      </c>
      <c r="F739" s="25" t="s">
        <v>1992</v>
      </c>
      <c r="G739" s="25">
        <v>500</v>
      </c>
      <c r="H739" s="25"/>
    </row>
    <row r="740" spans="1:8" ht="14">
      <c r="A740" s="25" t="s">
        <v>1993</v>
      </c>
      <c r="B740" s="26" t="s">
        <v>127</v>
      </c>
      <c r="C740" s="25" t="str">
        <f t="shared" si="11"/>
        <v>cecum</v>
      </c>
      <c r="D740" s="25" t="s">
        <v>1993</v>
      </c>
      <c r="E740" s="25" t="s">
        <v>1994</v>
      </c>
      <c r="F740" s="25" t="s">
        <v>1994</v>
      </c>
      <c r="G740" s="25">
        <v>500</v>
      </c>
      <c r="H740" s="25"/>
    </row>
    <row r="741" spans="1:8" ht="14">
      <c r="A741" s="25" t="s">
        <v>1999</v>
      </c>
      <c r="B741" s="26" t="s">
        <v>127</v>
      </c>
      <c r="C741" s="25" t="str">
        <f t="shared" si="11"/>
        <v>ear</v>
      </c>
      <c r="D741" s="25" t="s">
        <v>1999</v>
      </c>
      <c r="E741" s="25" t="s">
        <v>2000</v>
      </c>
      <c r="F741" s="25" t="s">
        <v>2000</v>
      </c>
      <c r="G741" s="25">
        <v>500</v>
      </c>
      <c r="H741" s="25"/>
    </row>
    <row r="742" spans="1:8" ht="14">
      <c r="A742" s="25" t="s">
        <v>2001</v>
      </c>
      <c r="B742" s="26" t="s">
        <v>127</v>
      </c>
      <c r="C742" s="25" t="str">
        <f t="shared" si="11"/>
        <v>esophagus</v>
      </c>
      <c r="D742" s="25" t="s">
        <v>2001</v>
      </c>
      <c r="E742" s="25" t="s">
        <v>2002</v>
      </c>
      <c r="F742" s="25" t="s">
        <v>2002</v>
      </c>
      <c r="G742" s="25">
        <v>500</v>
      </c>
      <c r="H742" s="25"/>
    </row>
    <row r="743" spans="1:8" ht="14">
      <c r="A743" s="25" t="s">
        <v>2003</v>
      </c>
      <c r="B743" s="26" t="s">
        <v>127</v>
      </c>
      <c r="C743" s="25" t="str">
        <f t="shared" si="11"/>
        <v>eye</v>
      </c>
      <c r="D743" s="25" t="s">
        <v>2003</v>
      </c>
      <c r="E743" s="25" t="s">
        <v>2004</v>
      </c>
      <c r="F743" s="25" t="s">
        <v>2004</v>
      </c>
      <c r="G743" s="25">
        <v>500</v>
      </c>
      <c r="H743" s="25"/>
    </row>
    <row r="744" spans="1:8" ht="14">
      <c r="A744" s="25" t="s">
        <v>2005</v>
      </c>
      <c r="B744" s="26" t="s">
        <v>127</v>
      </c>
      <c r="C744" s="25" t="str">
        <f t="shared" si="11"/>
        <v>gallbladder</v>
      </c>
      <c r="D744" s="25" t="s">
        <v>2005</v>
      </c>
      <c r="E744" s="25" t="s">
        <v>2006</v>
      </c>
      <c r="F744" s="25" t="s">
        <v>2006</v>
      </c>
      <c r="G744" s="25">
        <v>500</v>
      </c>
      <c r="H744" s="25"/>
    </row>
    <row r="745" spans="1:8" ht="14">
      <c r="A745" s="25" t="s">
        <v>2007</v>
      </c>
      <c r="B745" s="26" t="s">
        <v>127</v>
      </c>
      <c r="C745" s="25" t="str">
        <f t="shared" si="11"/>
        <v>ganglia</v>
      </c>
      <c r="D745" s="25" t="s">
        <v>2007</v>
      </c>
      <c r="E745" s="25" t="s">
        <v>2008</v>
      </c>
      <c r="F745" s="25" t="s">
        <v>2008</v>
      </c>
      <c r="G745" s="25">
        <v>500</v>
      </c>
      <c r="H745" s="25"/>
    </row>
    <row r="746" spans="1:8" ht="14">
      <c r="A746" s="25" t="s">
        <v>2009</v>
      </c>
      <c r="B746" s="26" t="s">
        <v>127</v>
      </c>
      <c r="C746" s="25" t="str">
        <f t="shared" si="11"/>
        <v>heart</v>
      </c>
      <c r="D746" s="25" t="s">
        <v>2009</v>
      </c>
      <c r="E746" s="25" t="s">
        <v>2010</v>
      </c>
      <c r="F746" s="25" t="s">
        <v>2010</v>
      </c>
      <c r="G746" s="25">
        <v>500</v>
      </c>
      <c r="H746" s="25"/>
    </row>
    <row r="747" spans="1:8" ht="14">
      <c r="A747" s="25" t="s">
        <v>2013</v>
      </c>
      <c r="B747" s="26" t="s">
        <v>127</v>
      </c>
      <c r="C747" s="25" t="str">
        <f t="shared" si="11"/>
        <v>kidney</v>
      </c>
      <c r="D747" s="25" t="s">
        <v>2013</v>
      </c>
      <c r="E747" s="25" t="s">
        <v>2014</v>
      </c>
      <c r="F747" s="25" t="s">
        <v>2014</v>
      </c>
      <c r="G747" s="25">
        <v>500</v>
      </c>
      <c r="H747" s="25"/>
    </row>
    <row r="748" spans="1:8" ht="14">
      <c r="A748" s="25" t="s">
        <v>2015</v>
      </c>
      <c r="B748" s="26" t="s">
        <v>127</v>
      </c>
      <c r="C748" s="25" t="str">
        <f t="shared" si="11"/>
        <v>large_intestine</v>
      </c>
      <c r="D748" s="25" t="s">
        <v>2016</v>
      </c>
      <c r="E748" s="25" t="s">
        <v>2017</v>
      </c>
      <c r="F748" s="25" t="s">
        <v>2018</v>
      </c>
      <c r="G748" s="25">
        <v>500</v>
      </c>
      <c r="H748" s="25"/>
    </row>
    <row r="749" spans="1:8" ht="14">
      <c r="A749" s="25" t="s">
        <v>2019</v>
      </c>
      <c r="B749" s="26" t="s">
        <v>127</v>
      </c>
      <c r="C749" s="25" t="str">
        <f t="shared" si="11"/>
        <v>liver</v>
      </c>
      <c r="D749" s="25" t="s">
        <v>2019</v>
      </c>
      <c r="E749" s="25" t="s">
        <v>2020</v>
      </c>
      <c r="F749" s="25" t="s">
        <v>2020</v>
      </c>
      <c r="G749" s="25">
        <v>500</v>
      </c>
      <c r="H749" s="25"/>
    </row>
    <row r="750" spans="1:8" ht="14">
      <c r="A750" s="25" t="s">
        <v>2021</v>
      </c>
      <c r="B750" s="26" t="s">
        <v>127</v>
      </c>
      <c r="C750" s="25" t="str">
        <f t="shared" si="11"/>
        <v>lung</v>
      </c>
      <c r="D750" s="25" t="s">
        <v>2021</v>
      </c>
      <c r="E750" s="25" t="s">
        <v>2022</v>
      </c>
      <c r="F750" s="25" t="s">
        <v>2022</v>
      </c>
      <c r="G750" s="25">
        <v>500</v>
      </c>
      <c r="H750" s="25"/>
    </row>
    <row r="751" spans="1:8" ht="14">
      <c r="A751" s="25" t="s">
        <v>2023</v>
      </c>
      <c r="B751" s="26" t="s">
        <v>127</v>
      </c>
      <c r="C751" s="25" t="str">
        <f t="shared" si="11"/>
        <v>lymph_node</v>
      </c>
      <c r="D751" s="25" t="s">
        <v>1091</v>
      </c>
      <c r="E751" s="25" t="s">
        <v>2024</v>
      </c>
      <c r="F751" s="25" t="s">
        <v>2024</v>
      </c>
      <c r="G751" s="25">
        <v>500</v>
      </c>
      <c r="H751" s="25"/>
    </row>
    <row r="752" spans="1:8" ht="14">
      <c r="A752" s="25" t="s">
        <v>2025</v>
      </c>
      <c r="B752" s="26" t="s">
        <v>127</v>
      </c>
      <c r="C752" s="25" t="str">
        <f t="shared" si="11"/>
        <v>medulla</v>
      </c>
      <c r="D752" s="25" t="s">
        <v>2025</v>
      </c>
      <c r="E752" s="25" t="s">
        <v>2026</v>
      </c>
      <c r="F752" s="25" t="s">
        <v>2026</v>
      </c>
      <c r="G752" s="25">
        <v>500</v>
      </c>
      <c r="H752" s="25"/>
    </row>
    <row r="753" spans="1:8" ht="14">
      <c r="A753" s="25" t="s">
        <v>2027</v>
      </c>
      <c r="B753" s="26" t="s">
        <v>127</v>
      </c>
      <c r="C753" s="25" t="str">
        <f t="shared" si="11"/>
        <v>mesentery</v>
      </c>
      <c r="D753" s="25" t="s">
        <v>2027</v>
      </c>
      <c r="E753" s="25" t="s">
        <v>2028</v>
      </c>
      <c r="F753" s="25" t="s">
        <v>2028</v>
      </c>
      <c r="G753" s="25">
        <v>500</v>
      </c>
      <c r="H753" s="25"/>
    </row>
    <row r="754" spans="1:8" ht="14">
      <c r="A754" s="25" t="s">
        <v>2031</v>
      </c>
      <c r="B754" s="26" t="s">
        <v>127</v>
      </c>
      <c r="C754" s="25" t="str">
        <f t="shared" ref="C754:C820" si="12">A754</f>
        <v>ovaries</v>
      </c>
      <c r="D754" s="25" t="s">
        <v>2031</v>
      </c>
      <c r="E754" s="25" t="s">
        <v>2032</v>
      </c>
      <c r="F754" s="25" t="s">
        <v>2032</v>
      </c>
      <c r="G754" s="25">
        <v>500</v>
      </c>
      <c r="H754" s="25"/>
    </row>
    <row r="755" spans="1:8" ht="14">
      <c r="A755" s="25" t="s">
        <v>2033</v>
      </c>
      <c r="B755" s="26" t="s">
        <v>127</v>
      </c>
      <c r="C755" s="25" t="str">
        <f t="shared" si="12"/>
        <v>pancreas</v>
      </c>
      <c r="D755" s="25" t="s">
        <v>2033</v>
      </c>
      <c r="E755" s="25" t="s">
        <v>2034</v>
      </c>
      <c r="F755" s="25" t="s">
        <v>2034</v>
      </c>
      <c r="G755" s="25">
        <v>500</v>
      </c>
      <c r="H755" s="25"/>
    </row>
    <row r="756" spans="1:8" ht="14">
      <c r="A756" s="25" t="s">
        <v>2035</v>
      </c>
      <c r="B756" s="26" t="s">
        <v>127</v>
      </c>
      <c r="C756" s="25" t="str">
        <f t="shared" si="12"/>
        <v>pons</v>
      </c>
      <c r="D756" s="25" t="s">
        <v>2035</v>
      </c>
      <c r="E756" s="25" t="s">
        <v>2036</v>
      </c>
      <c r="F756" s="25" t="s">
        <v>2036</v>
      </c>
      <c r="G756" s="25">
        <v>500</v>
      </c>
      <c r="H756" s="25"/>
    </row>
    <row r="757" spans="1:8" ht="14">
      <c r="A757" s="25" t="s">
        <v>2037</v>
      </c>
      <c r="B757" s="26" t="s">
        <v>127</v>
      </c>
      <c r="C757" s="25" t="str">
        <f t="shared" si="12"/>
        <v>prostate</v>
      </c>
      <c r="D757" s="25" t="s">
        <v>2037</v>
      </c>
      <c r="E757" s="25" t="s">
        <v>2038</v>
      </c>
      <c r="F757" s="25" t="s">
        <v>2038</v>
      </c>
      <c r="G757" s="25">
        <v>500</v>
      </c>
      <c r="H757" s="25"/>
    </row>
    <row r="758" spans="1:8" ht="14">
      <c r="A758" s="25" t="s">
        <v>2039</v>
      </c>
      <c r="B758" s="26" t="s">
        <v>127</v>
      </c>
      <c r="C758" s="25" t="str">
        <f t="shared" si="12"/>
        <v>rectum</v>
      </c>
      <c r="D758" s="25" t="s">
        <v>2039</v>
      </c>
      <c r="E758" s="25" t="s">
        <v>2040</v>
      </c>
      <c r="F758" s="25" t="s">
        <v>2040</v>
      </c>
      <c r="G758" s="25">
        <v>500</v>
      </c>
      <c r="H758" s="25"/>
    </row>
    <row r="759" spans="1:8" ht="14">
      <c r="A759" s="25" t="s">
        <v>2041</v>
      </c>
      <c r="B759" s="26" t="s">
        <v>127</v>
      </c>
      <c r="C759" s="25" t="str">
        <f t="shared" si="12"/>
        <v>small_intestine</v>
      </c>
      <c r="D759" s="25" t="s">
        <v>2042</v>
      </c>
      <c r="E759" s="25" t="s">
        <v>2043</v>
      </c>
      <c r="F759" s="25" t="s">
        <v>2044</v>
      </c>
      <c r="G759" s="25">
        <v>500</v>
      </c>
      <c r="H759" s="25"/>
    </row>
    <row r="760" spans="1:8" ht="14">
      <c r="A760" s="25" t="s">
        <v>2045</v>
      </c>
      <c r="B760" s="26" t="s">
        <v>127</v>
      </c>
      <c r="C760" s="25" t="str">
        <f t="shared" si="12"/>
        <v>spinal_cord</v>
      </c>
      <c r="D760" s="25" t="s">
        <v>2045</v>
      </c>
      <c r="E760" s="25" t="s">
        <v>2046</v>
      </c>
      <c r="F760" s="25" t="s">
        <v>2047</v>
      </c>
      <c r="G760" s="25">
        <v>500</v>
      </c>
      <c r="H760" s="25"/>
    </row>
    <row r="761" spans="1:8" ht="14">
      <c r="A761" s="25" t="s">
        <v>2048</v>
      </c>
      <c r="B761" s="26" t="s">
        <v>127</v>
      </c>
      <c r="C761" s="25" t="str">
        <f t="shared" si="12"/>
        <v>spleen</v>
      </c>
      <c r="D761" s="25" t="s">
        <v>2048</v>
      </c>
      <c r="E761" s="25" t="s">
        <v>2049</v>
      </c>
      <c r="F761" s="25" t="s">
        <v>2049</v>
      </c>
      <c r="G761" s="25">
        <v>500</v>
      </c>
      <c r="H761" s="25"/>
    </row>
    <row r="762" spans="1:8" ht="14">
      <c r="A762" s="25" t="s">
        <v>2050</v>
      </c>
      <c r="B762" s="26" t="s">
        <v>127</v>
      </c>
      <c r="C762" s="25" t="str">
        <f t="shared" si="12"/>
        <v>stomach</v>
      </c>
      <c r="D762" s="25" t="s">
        <v>2050</v>
      </c>
      <c r="E762" s="25" t="s">
        <v>2051</v>
      </c>
      <c r="F762" s="25" t="s">
        <v>2051</v>
      </c>
      <c r="G762" s="25">
        <v>500</v>
      </c>
      <c r="H762" s="25"/>
    </row>
    <row r="763" spans="1:8" ht="14">
      <c r="A763" s="25" t="s">
        <v>2052</v>
      </c>
      <c r="B763" s="26" t="s">
        <v>127</v>
      </c>
      <c r="C763" s="25" t="str">
        <f t="shared" si="12"/>
        <v>testicles</v>
      </c>
      <c r="D763" s="25" t="s">
        <v>2052</v>
      </c>
      <c r="E763" s="25" t="s">
        <v>2053</v>
      </c>
      <c r="F763" s="25" t="s">
        <v>2053</v>
      </c>
      <c r="G763" s="25">
        <v>500</v>
      </c>
      <c r="H763" s="25"/>
    </row>
    <row r="764" spans="1:8" ht="14">
      <c r="A764" s="25" t="s">
        <v>2054</v>
      </c>
      <c r="B764" s="26" t="s">
        <v>127</v>
      </c>
      <c r="C764" s="25" t="str">
        <f t="shared" si="12"/>
        <v>thalamus</v>
      </c>
      <c r="D764" s="25" t="s">
        <v>2054</v>
      </c>
      <c r="E764" s="25" t="s">
        <v>2055</v>
      </c>
      <c r="F764" s="25" t="s">
        <v>2055</v>
      </c>
      <c r="G764" s="25">
        <v>500</v>
      </c>
      <c r="H764" s="25"/>
    </row>
    <row r="765" spans="1:8" ht="14">
      <c r="A765" s="25" t="s">
        <v>2056</v>
      </c>
      <c r="B765" s="26" t="s">
        <v>127</v>
      </c>
      <c r="C765" s="25" t="str">
        <f t="shared" si="12"/>
        <v>thymus</v>
      </c>
      <c r="D765" s="25" t="s">
        <v>2056</v>
      </c>
      <c r="E765" s="25" t="s">
        <v>2057</v>
      </c>
      <c r="F765" s="25" t="s">
        <v>2057</v>
      </c>
      <c r="G765" s="25">
        <v>500</v>
      </c>
      <c r="H765" s="25"/>
    </row>
    <row r="766" spans="1:8" ht="14">
      <c r="A766" s="25" t="s">
        <v>2058</v>
      </c>
      <c r="B766" s="26" t="s">
        <v>127</v>
      </c>
      <c r="C766" s="25" t="str">
        <f t="shared" si="12"/>
        <v>tongue</v>
      </c>
      <c r="D766" s="25" t="s">
        <v>2058</v>
      </c>
      <c r="E766" s="25" t="s">
        <v>2059</v>
      </c>
      <c r="F766" s="25" t="s">
        <v>2059</v>
      </c>
      <c r="G766" s="25">
        <v>500</v>
      </c>
      <c r="H766" s="25"/>
    </row>
    <row r="767" spans="1:8" ht="14">
      <c r="A767" s="25" t="s">
        <v>2060</v>
      </c>
      <c r="B767" s="26" t="s">
        <v>127</v>
      </c>
      <c r="C767" s="25" t="str">
        <f t="shared" si="12"/>
        <v>tonsils</v>
      </c>
      <c r="D767" s="25" t="s">
        <v>2060</v>
      </c>
      <c r="E767" s="25" t="s">
        <v>2061</v>
      </c>
      <c r="F767" s="25" t="s">
        <v>2061</v>
      </c>
      <c r="G767" s="25">
        <v>500</v>
      </c>
      <c r="H767" s="25"/>
    </row>
    <row r="768" spans="1:8" ht="14">
      <c r="A768" s="25" t="s">
        <v>2062</v>
      </c>
      <c r="B768" s="26" t="s">
        <v>127</v>
      </c>
      <c r="C768" s="25" t="str">
        <f t="shared" si="12"/>
        <v>uterus</v>
      </c>
      <c r="D768" s="25" t="s">
        <v>2062</v>
      </c>
      <c r="E768" s="25" t="s">
        <v>2063</v>
      </c>
      <c r="F768" s="25" t="s">
        <v>2063</v>
      </c>
      <c r="G768" s="25">
        <v>500</v>
      </c>
      <c r="H768" s="25"/>
    </row>
    <row r="769" spans="1:8" ht="14">
      <c r="A769" s="25" t="s">
        <v>2064</v>
      </c>
      <c r="B769" s="26" t="s">
        <v>127</v>
      </c>
      <c r="C769" s="25" t="str">
        <f t="shared" si="12"/>
        <v>veins</v>
      </c>
      <c r="D769" s="25" t="s">
        <v>2064</v>
      </c>
      <c r="E769" s="25" t="s">
        <v>2065</v>
      </c>
      <c r="F769" s="25" t="s">
        <v>2065</v>
      </c>
      <c r="G769" s="25">
        <v>500</v>
      </c>
      <c r="H769" s="25"/>
    </row>
    <row r="770" spans="1:8" ht="14">
      <c r="A770" s="25" t="s">
        <v>4017</v>
      </c>
      <c r="B770" s="26" t="s">
        <v>127</v>
      </c>
      <c r="C770" s="25" t="str">
        <f>A770</f>
        <v>skmuscle</v>
      </c>
      <c r="D770" s="25" t="s">
        <v>4018</v>
      </c>
      <c r="E770" s="25" t="s">
        <v>2681</v>
      </c>
      <c r="F770" s="25" t="s">
        <v>2681</v>
      </c>
      <c r="G770" s="25"/>
      <c r="H770" s="25"/>
    </row>
    <row r="771" spans="1:8" ht="14">
      <c r="A771" s="25" t="s">
        <v>2779</v>
      </c>
      <c r="B771" s="26" t="s">
        <v>139</v>
      </c>
      <c r="C771" s="25" t="str">
        <f t="shared" si="12"/>
        <v>controls</v>
      </c>
      <c r="D771" s="25" t="s">
        <v>2776</v>
      </c>
      <c r="E771" s="25" t="s">
        <v>2777</v>
      </c>
      <c r="F771" s="25" t="s">
        <v>2778</v>
      </c>
      <c r="G771" s="25">
        <v>500</v>
      </c>
      <c r="H771" s="25"/>
    </row>
    <row r="772" spans="1:8" ht="14">
      <c r="A772" s="25" t="s">
        <v>2086</v>
      </c>
      <c r="B772" s="26" t="s">
        <v>2087</v>
      </c>
      <c r="C772" s="25" t="str">
        <f t="shared" si="12"/>
        <v>cardiovascular</v>
      </c>
      <c r="D772" s="27" t="s">
        <v>13</v>
      </c>
      <c r="E772" s="25" t="s">
        <v>2088</v>
      </c>
      <c r="F772" s="25" t="s">
        <v>2089</v>
      </c>
      <c r="G772" s="25">
        <v>500</v>
      </c>
      <c r="H772" s="25"/>
    </row>
    <row r="773" spans="1:8" ht="14">
      <c r="A773" s="25" t="s">
        <v>2090</v>
      </c>
      <c r="B773" s="26" t="s">
        <v>2087</v>
      </c>
      <c r="C773" s="25" t="str">
        <f t="shared" si="12"/>
        <v>digestive</v>
      </c>
      <c r="D773" s="27" t="s">
        <v>13</v>
      </c>
      <c r="E773" s="25" t="s">
        <v>2091</v>
      </c>
      <c r="F773" s="25" t="s">
        <v>2092</v>
      </c>
      <c r="G773" s="25">
        <v>500</v>
      </c>
      <c r="H773" s="25"/>
    </row>
    <row r="774" spans="1:8" ht="14">
      <c r="A774" s="25" t="s">
        <v>2093</v>
      </c>
      <c r="B774" s="26" t="s">
        <v>2087</v>
      </c>
      <c r="C774" s="25" t="str">
        <f t="shared" si="12"/>
        <v>endocrine</v>
      </c>
      <c r="D774" s="27" t="s">
        <v>13</v>
      </c>
      <c r="E774" s="25" t="s">
        <v>2094</v>
      </c>
      <c r="F774" s="25" t="s">
        <v>2095</v>
      </c>
      <c r="G774" s="25">
        <v>500</v>
      </c>
      <c r="H774" s="25"/>
    </row>
    <row r="775" spans="1:8" ht="14">
      <c r="A775" s="25" t="s">
        <v>2096</v>
      </c>
      <c r="B775" s="26" t="s">
        <v>2087</v>
      </c>
      <c r="C775" s="25" t="str">
        <f t="shared" si="12"/>
        <v>excretory</v>
      </c>
      <c r="D775" s="27" t="s">
        <v>13</v>
      </c>
      <c r="E775" s="25" t="s">
        <v>2097</v>
      </c>
      <c r="F775" s="25" t="s">
        <v>2098</v>
      </c>
      <c r="G775" s="25">
        <v>500</v>
      </c>
      <c r="H775" s="25"/>
    </row>
    <row r="776" spans="1:8" ht="14">
      <c r="A776" s="25" t="s">
        <v>2099</v>
      </c>
      <c r="B776" s="26" t="s">
        <v>2087</v>
      </c>
      <c r="C776" s="25" t="str">
        <f t="shared" si="12"/>
        <v>integumentary</v>
      </c>
      <c r="D776" s="27" t="s">
        <v>13</v>
      </c>
      <c r="E776" s="25" t="s">
        <v>2100</v>
      </c>
      <c r="F776" s="25" t="s">
        <v>2101</v>
      </c>
      <c r="G776" s="25">
        <v>500</v>
      </c>
      <c r="H776" s="25"/>
    </row>
    <row r="777" spans="1:8" ht="14">
      <c r="A777" s="25" t="s">
        <v>2102</v>
      </c>
      <c r="B777" s="26" t="s">
        <v>2087</v>
      </c>
      <c r="C777" s="25" t="str">
        <f t="shared" si="12"/>
        <v>lymphatic</v>
      </c>
      <c r="D777" s="27" t="s">
        <v>13</v>
      </c>
      <c r="E777" s="25" t="s">
        <v>2103</v>
      </c>
      <c r="F777" s="25" t="s">
        <v>2104</v>
      </c>
      <c r="G777" s="25">
        <v>500</v>
      </c>
      <c r="H777" s="25"/>
    </row>
    <row r="778" spans="1:8" ht="14">
      <c r="A778" s="25" t="s">
        <v>2105</v>
      </c>
      <c r="B778" s="26" t="s">
        <v>2087</v>
      </c>
      <c r="C778" s="25" t="str">
        <f t="shared" si="12"/>
        <v>muscular</v>
      </c>
      <c r="D778" s="27" t="s">
        <v>13</v>
      </c>
      <c r="E778" s="25" t="s">
        <v>2106</v>
      </c>
      <c r="F778" s="25" t="s">
        <v>2107</v>
      </c>
      <c r="G778" s="25">
        <v>500</v>
      </c>
      <c r="H778" s="25"/>
    </row>
    <row r="779" spans="1:8" ht="14">
      <c r="A779" s="25" t="s">
        <v>2108</v>
      </c>
      <c r="B779" s="26" t="s">
        <v>2087</v>
      </c>
      <c r="C779" s="25" t="str">
        <f t="shared" si="12"/>
        <v>nervous_system</v>
      </c>
      <c r="D779" s="27" t="s">
        <v>13</v>
      </c>
      <c r="E779" s="25" t="s">
        <v>2109</v>
      </c>
      <c r="F779" s="25" t="s">
        <v>2110</v>
      </c>
      <c r="G779" s="25">
        <v>500</v>
      </c>
      <c r="H779" s="25"/>
    </row>
    <row r="780" spans="1:8" ht="14">
      <c r="A780" s="25" t="s">
        <v>2111</v>
      </c>
      <c r="B780" s="26" t="s">
        <v>2087</v>
      </c>
      <c r="C780" s="25" t="str">
        <f t="shared" si="12"/>
        <v>reproductive</v>
      </c>
      <c r="D780" s="27" t="s">
        <v>13</v>
      </c>
      <c r="E780" s="25" t="s">
        <v>2112</v>
      </c>
      <c r="F780" s="25" t="s">
        <v>2113</v>
      </c>
      <c r="G780" s="25">
        <v>500</v>
      </c>
      <c r="H780" s="25"/>
    </row>
    <row r="781" spans="1:8" ht="14">
      <c r="A781" s="25" t="s">
        <v>2114</v>
      </c>
      <c r="B781" s="26" t="s">
        <v>2087</v>
      </c>
      <c r="C781" s="25" t="str">
        <f t="shared" si="12"/>
        <v>respiratory</v>
      </c>
      <c r="D781" s="27" t="s">
        <v>13</v>
      </c>
      <c r="E781" s="25" t="s">
        <v>2115</v>
      </c>
      <c r="F781" s="25" t="s">
        <v>2116</v>
      </c>
      <c r="G781" s="25">
        <v>500</v>
      </c>
      <c r="H781" s="25"/>
    </row>
    <row r="782" spans="1:8" ht="14">
      <c r="A782" s="25" t="s">
        <v>2117</v>
      </c>
      <c r="B782" s="26" t="s">
        <v>2087</v>
      </c>
      <c r="C782" s="25" t="str">
        <f t="shared" si="12"/>
        <v>skeletal</v>
      </c>
      <c r="D782" s="27" t="s">
        <v>13</v>
      </c>
      <c r="E782" s="25" t="s">
        <v>2118</v>
      </c>
      <c r="F782" s="25" t="s">
        <v>2119</v>
      </c>
      <c r="G782" s="25">
        <v>500</v>
      </c>
      <c r="H782" s="25"/>
    </row>
    <row r="783" spans="1:8" ht="14">
      <c r="A783" s="25" t="s">
        <v>2120</v>
      </c>
      <c r="B783" s="26" t="s">
        <v>2087</v>
      </c>
      <c r="C783" s="25" t="str">
        <f t="shared" si="12"/>
        <v>urinary</v>
      </c>
      <c r="D783" s="27" t="s">
        <v>13</v>
      </c>
      <c r="E783" s="25" t="s">
        <v>2121</v>
      </c>
      <c r="F783" s="25" t="s">
        <v>2122</v>
      </c>
      <c r="G783" s="25">
        <v>500</v>
      </c>
      <c r="H783" s="25"/>
    </row>
    <row r="784" spans="1:8" ht="14">
      <c r="A784" s="25" t="s">
        <v>2123</v>
      </c>
      <c r="B784" s="26" t="s">
        <v>141</v>
      </c>
      <c r="C784" s="25" t="str">
        <f t="shared" si="12"/>
        <v>intervalcardio</v>
      </c>
      <c r="D784" s="27" t="s">
        <v>13</v>
      </c>
      <c r="E784" s="25" t="s">
        <v>2124</v>
      </c>
      <c r="F784" s="25" t="s">
        <v>2125</v>
      </c>
      <c r="G784" s="25">
        <v>500</v>
      </c>
      <c r="H784" s="25"/>
    </row>
    <row r="785" spans="1:8" ht="14">
      <c r="A785" s="25" t="s">
        <v>2126</v>
      </c>
      <c r="B785" s="26" t="s">
        <v>141</v>
      </c>
      <c r="C785" s="25" t="str">
        <f t="shared" si="12"/>
        <v>steadycardio</v>
      </c>
      <c r="D785" s="27" t="s">
        <v>13</v>
      </c>
      <c r="E785" s="25" t="s">
        <v>2698</v>
      </c>
      <c r="F785" s="25" t="s">
        <v>2127</v>
      </c>
      <c r="G785" s="25">
        <v>500</v>
      </c>
      <c r="H785" s="25"/>
    </row>
    <row r="786" spans="1:8" ht="14">
      <c r="A786" s="25" t="s">
        <v>2128</v>
      </c>
      <c r="B786" s="26" t="s">
        <v>141</v>
      </c>
      <c r="C786" s="25" t="str">
        <f t="shared" si="12"/>
        <v>strength</v>
      </c>
      <c r="D786" s="27" t="s">
        <v>13</v>
      </c>
      <c r="E786" s="25" t="s">
        <v>2129</v>
      </c>
      <c r="F786" s="25" t="s">
        <v>2130</v>
      </c>
      <c r="G786" s="25">
        <v>500</v>
      </c>
      <c r="H786" s="25"/>
    </row>
    <row r="787" spans="1:8" ht="14">
      <c r="A787" s="25" t="s">
        <v>2699</v>
      </c>
      <c r="B787" s="26" t="s">
        <v>141</v>
      </c>
      <c r="C787" s="25" t="str">
        <f t="shared" si="12"/>
        <v>hiit</v>
      </c>
      <c r="D787" s="27" t="s">
        <v>13</v>
      </c>
      <c r="E787" s="25" t="s">
        <v>2700</v>
      </c>
      <c r="F787" s="25" t="s">
        <v>2701</v>
      </c>
      <c r="G787" s="25">
        <v>500</v>
      </c>
      <c r="H787" s="25"/>
    </row>
    <row r="788" spans="1:8" ht="14">
      <c r="A788" s="25" t="s">
        <v>2131</v>
      </c>
      <c r="B788" s="26" t="s">
        <v>143</v>
      </c>
      <c r="C788" s="25" t="str">
        <f t="shared" si="12"/>
        <v>argc</v>
      </c>
      <c r="D788" s="27" t="s">
        <v>13</v>
      </c>
      <c r="E788" s="25" t="s">
        <v>2132</v>
      </c>
      <c r="F788" s="25" t="s">
        <v>2133</v>
      </c>
      <c r="G788" s="25">
        <v>500</v>
      </c>
      <c r="H788" s="25"/>
    </row>
    <row r="789" spans="1:8" ht="14">
      <c r="A789" s="25" t="s">
        <v>2134</v>
      </c>
      <c r="B789" s="26" t="s">
        <v>143</v>
      </c>
      <c r="C789" s="25" t="str">
        <f t="shared" si="12"/>
        <v>aspn</v>
      </c>
      <c r="D789" s="27" t="s">
        <v>13</v>
      </c>
      <c r="E789" s="25" t="s">
        <v>2135</v>
      </c>
      <c r="F789" s="25" t="s">
        <v>2136</v>
      </c>
      <c r="G789" s="25">
        <v>500</v>
      </c>
      <c r="H789" s="25"/>
    </row>
    <row r="790" spans="1:8" ht="14">
      <c r="A790" s="25" t="s">
        <v>2137</v>
      </c>
      <c r="B790" s="26" t="s">
        <v>143</v>
      </c>
      <c r="C790" s="25" t="str">
        <f t="shared" si="12"/>
        <v>chymotrypsin</v>
      </c>
      <c r="D790" s="27" t="s">
        <v>13</v>
      </c>
      <c r="E790" s="25" t="s">
        <v>2138</v>
      </c>
      <c r="F790" s="25" t="s">
        <v>2139</v>
      </c>
      <c r="G790" s="25">
        <v>500</v>
      </c>
      <c r="H790" s="25"/>
    </row>
    <row r="791" spans="1:8" ht="14">
      <c r="A791" s="25" t="s">
        <v>2140</v>
      </c>
      <c r="B791" s="26" t="s">
        <v>143</v>
      </c>
      <c r="C791" s="25" t="str">
        <f t="shared" si="12"/>
        <v>elastase</v>
      </c>
      <c r="D791" s="27" t="s">
        <v>13</v>
      </c>
      <c r="E791" s="25" t="s">
        <v>2141</v>
      </c>
      <c r="F791" s="25" t="s">
        <v>2142</v>
      </c>
      <c r="G791" s="25">
        <v>500</v>
      </c>
      <c r="H791" s="25"/>
    </row>
    <row r="792" spans="1:8" ht="14">
      <c r="A792" s="25" t="s">
        <v>2143</v>
      </c>
      <c r="B792" s="26" t="s">
        <v>143</v>
      </c>
      <c r="C792" s="25" t="str">
        <f t="shared" si="12"/>
        <v>gluc</v>
      </c>
      <c r="D792" s="27" t="s">
        <v>13</v>
      </c>
      <c r="E792" s="25" t="s">
        <v>2144</v>
      </c>
      <c r="F792" s="25" t="s">
        <v>2145</v>
      </c>
      <c r="G792" s="25">
        <v>500</v>
      </c>
      <c r="H792" s="25"/>
    </row>
    <row r="793" spans="1:8" ht="14">
      <c r="A793" s="25" t="s">
        <v>2146</v>
      </c>
      <c r="B793" s="26" t="s">
        <v>143</v>
      </c>
      <c r="C793" s="25" t="str">
        <f t="shared" si="12"/>
        <v>lysc</v>
      </c>
      <c r="D793" s="27" t="s">
        <v>13</v>
      </c>
      <c r="E793" s="25" t="s">
        <v>2147</v>
      </c>
      <c r="F793" s="25" t="s">
        <v>2148</v>
      </c>
      <c r="G793" s="25">
        <v>500</v>
      </c>
      <c r="H793" s="25"/>
    </row>
    <row r="794" spans="1:8" ht="14">
      <c r="A794" s="25" t="s">
        <v>2149</v>
      </c>
      <c r="B794" s="26" t="s">
        <v>143</v>
      </c>
      <c r="C794" s="25" t="str">
        <f t="shared" si="12"/>
        <v>raspn</v>
      </c>
      <c r="D794" s="27" t="s">
        <v>13</v>
      </c>
      <c r="E794" s="25" t="s">
        <v>2150</v>
      </c>
      <c r="F794" s="25" t="s">
        <v>2151</v>
      </c>
      <c r="G794" s="25">
        <v>500</v>
      </c>
      <c r="H794" s="25"/>
    </row>
    <row r="795" spans="1:8" ht="14">
      <c r="A795" s="25" t="s">
        <v>2152</v>
      </c>
      <c r="B795" s="26" t="s">
        <v>143</v>
      </c>
      <c r="C795" s="25" t="str">
        <f t="shared" si="12"/>
        <v>trypsin</v>
      </c>
      <c r="D795" s="27" t="s">
        <v>13</v>
      </c>
      <c r="E795" s="25" t="s">
        <v>2153</v>
      </c>
      <c r="F795" s="25" t="s">
        <v>2154</v>
      </c>
      <c r="G795" s="25">
        <v>500</v>
      </c>
      <c r="H795" s="25"/>
    </row>
    <row r="796" spans="1:8" ht="14">
      <c r="A796" s="25" t="s">
        <v>2702</v>
      </c>
      <c r="B796" s="26" t="s">
        <v>145</v>
      </c>
      <c r="C796" s="25" t="str">
        <f t="shared" si="12"/>
        <v>apex</v>
      </c>
      <c r="D796" s="27" t="s">
        <v>13</v>
      </c>
      <c r="E796" s="25" t="s">
        <v>2703</v>
      </c>
      <c r="F796" s="25" t="s">
        <v>2704</v>
      </c>
      <c r="G796" s="25">
        <v>500</v>
      </c>
      <c r="H796" s="25"/>
    </row>
    <row r="797" spans="1:8" ht="14">
      <c r="A797" s="25" t="s">
        <v>2705</v>
      </c>
      <c r="B797" s="26" t="s">
        <v>145</v>
      </c>
      <c r="C797" s="25" t="str">
        <f t="shared" si="12"/>
        <v>bioid</v>
      </c>
      <c r="D797" s="27" t="s">
        <v>13</v>
      </c>
      <c r="E797" s="25" t="s">
        <v>2706</v>
      </c>
      <c r="F797" s="25" t="s">
        <v>2707</v>
      </c>
      <c r="G797" s="25">
        <v>500</v>
      </c>
      <c r="H797" s="25"/>
    </row>
    <row r="798" spans="1:8" ht="14">
      <c r="A798" s="25" t="s">
        <v>2708</v>
      </c>
      <c r="B798" s="26" t="s">
        <v>145</v>
      </c>
      <c r="C798" s="25" t="str">
        <f t="shared" si="12"/>
        <v>turboid</v>
      </c>
      <c r="D798" s="27" t="s">
        <v>13</v>
      </c>
      <c r="E798" s="25" t="s">
        <v>2709</v>
      </c>
      <c r="F798" s="25" t="s">
        <v>2710</v>
      </c>
      <c r="G798" s="25">
        <v>500</v>
      </c>
      <c r="H798" s="25"/>
    </row>
    <row r="799" spans="1:8" ht="14">
      <c r="A799" s="25" t="s">
        <v>1154</v>
      </c>
      <c r="B799" s="26" t="s">
        <v>145</v>
      </c>
      <c r="C799" s="25" t="str">
        <f t="shared" si="12"/>
        <v>deletion</v>
      </c>
      <c r="D799" s="27" t="s">
        <v>13</v>
      </c>
      <c r="E799" s="25" t="s">
        <v>2155</v>
      </c>
      <c r="F799" s="25" t="s">
        <v>2156</v>
      </c>
      <c r="G799" s="25">
        <v>500</v>
      </c>
      <c r="H799" s="25"/>
    </row>
    <row r="800" spans="1:8" ht="14">
      <c r="A800" s="25" t="s">
        <v>2157</v>
      </c>
      <c r="B800" s="26" t="s">
        <v>145</v>
      </c>
      <c r="C800" s="25" t="str">
        <f t="shared" si="12"/>
        <v>flag</v>
      </c>
      <c r="D800" s="27" t="s">
        <v>13</v>
      </c>
      <c r="E800" s="25" t="s">
        <v>2158</v>
      </c>
      <c r="F800" s="25" t="s">
        <v>2159</v>
      </c>
      <c r="G800" s="25">
        <v>500</v>
      </c>
      <c r="H800" s="25"/>
    </row>
    <row r="801" spans="1:1008" ht="14">
      <c r="A801" s="25" t="s">
        <v>2160</v>
      </c>
      <c r="B801" s="26" t="s">
        <v>4197</v>
      </c>
      <c r="C801" s="25" t="str">
        <f t="shared" si="12"/>
        <v>frameshift</v>
      </c>
      <c r="D801" s="27" t="s">
        <v>13</v>
      </c>
      <c r="E801" s="25" t="s">
        <v>2161</v>
      </c>
      <c r="F801" s="25" t="s">
        <v>2162</v>
      </c>
      <c r="G801" s="25">
        <v>500</v>
      </c>
      <c r="H801" s="25"/>
    </row>
    <row r="802" spans="1:1008" ht="14">
      <c r="A802" s="25" t="s">
        <v>4193</v>
      </c>
      <c r="B802" s="26" t="s">
        <v>4197</v>
      </c>
      <c r="C802" s="25" t="str">
        <f t="shared" ref="C802" si="13">A802</f>
        <v>premstop</v>
      </c>
      <c r="D802" s="27" t="s">
        <v>13</v>
      </c>
      <c r="E802" s="25" t="s">
        <v>4194</v>
      </c>
      <c r="F802" s="25" t="s">
        <v>4195</v>
      </c>
      <c r="G802" s="25">
        <v>500</v>
      </c>
      <c r="H802" s="25"/>
    </row>
    <row r="803" spans="1:1008" ht="14">
      <c r="A803" s="25" t="s">
        <v>2163</v>
      </c>
      <c r="B803" s="26" t="s">
        <v>145</v>
      </c>
      <c r="C803" s="25" t="str">
        <f t="shared" si="12"/>
        <v>gfp</v>
      </c>
      <c r="D803" s="27" t="s">
        <v>13</v>
      </c>
      <c r="E803" s="25" t="s">
        <v>2164</v>
      </c>
      <c r="F803" s="25" t="s">
        <v>2165</v>
      </c>
      <c r="G803" s="25">
        <v>500</v>
      </c>
      <c r="H803" s="25"/>
    </row>
    <row r="804" spans="1:1008" ht="14">
      <c r="A804" s="25" t="s">
        <v>2166</v>
      </c>
      <c r="B804" s="26" t="s">
        <v>145</v>
      </c>
      <c r="C804" s="25" t="str">
        <f t="shared" si="12"/>
        <v>ha</v>
      </c>
      <c r="D804" s="27" t="s">
        <v>13</v>
      </c>
      <c r="E804" s="25" t="s">
        <v>2167</v>
      </c>
      <c r="F804" s="25" t="s">
        <v>2168</v>
      </c>
      <c r="G804" s="25">
        <v>500</v>
      </c>
      <c r="H804" s="25"/>
    </row>
    <row r="805" spans="1:1008" ht="14">
      <c r="A805" s="25" t="s">
        <v>2169</v>
      </c>
      <c r="B805" s="26" t="s">
        <v>145</v>
      </c>
      <c r="C805" s="25" t="str">
        <f t="shared" si="12"/>
        <v>his</v>
      </c>
      <c r="D805" s="27" t="s">
        <v>13</v>
      </c>
      <c r="E805" s="25" t="s">
        <v>2170</v>
      </c>
      <c r="F805" s="25" t="s">
        <v>2171</v>
      </c>
      <c r="G805" s="25">
        <v>500</v>
      </c>
      <c r="H805" s="25"/>
    </row>
    <row r="806" spans="1:1008" ht="14">
      <c r="A806" s="25" t="s">
        <v>2172</v>
      </c>
      <c r="B806" s="26" t="s">
        <v>145</v>
      </c>
      <c r="C806" s="25" t="str">
        <f t="shared" si="12"/>
        <v>insertion</v>
      </c>
      <c r="D806" s="27" t="s">
        <v>13</v>
      </c>
      <c r="E806" s="25" t="s">
        <v>2173</v>
      </c>
      <c r="F806" s="25" t="s">
        <v>2174</v>
      </c>
      <c r="G806" s="25">
        <v>500</v>
      </c>
      <c r="H806" s="25"/>
    </row>
    <row r="807" spans="1:1008" ht="14">
      <c r="A807" s="25" t="s">
        <v>2175</v>
      </c>
      <c r="B807" s="26" t="s">
        <v>145</v>
      </c>
      <c r="C807" s="25" t="str">
        <f t="shared" si="12"/>
        <v>myc</v>
      </c>
      <c r="D807" s="27" t="s">
        <v>13</v>
      </c>
      <c r="E807" s="25" t="s">
        <v>2176</v>
      </c>
      <c r="F807" s="25" t="s">
        <v>2177</v>
      </c>
      <c r="G807" s="25">
        <v>500</v>
      </c>
      <c r="H807" s="25"/>
    </row>
    <row r="808" spans="1:1008" ht="14">
      <c r="A808" s="25" t="s">
        <v>2178</v>
      </c>
      <c r="B808" s="26" t="s">
        <v>145</v>
      </c>
      <c r="C808" s="25" t="str">
        <f t="shared" si="12"/>
        <v>pep86</v>
      </c>
      <c r="D808" s="27" t="s">
        <v>13</v>
      </c>
      <c r="E808" s="25" t="s">
        <v>2674</v>
      </c>
      <c r="F808" s="25" t="s">
        <v>2179</v>
      </c>
      <c r="G808" s="25">
        <v>500</v>
      </c>
      <c r="H808" s="25"/>
    </row>
    <row r="809" spans="1:1008" ht="14">
      <c r="A809" s="25" t="s">
        <v>2180</v>
      </c>
      <c r="B809" s="26" t="s">
        <v>145</v>
      </c>
      <c r="C809" s="25" t="str">
        <f t="shared" si="12"/>
        <v>substitution</v>
      </c>
      <c r="D809" s="27" t="s">
        <v>13</v>
      </c>
      <c r="E809" s="25" t="s">
        <v>2181</v>
      </c>
      <c r="F809" s="25" t="s">
        <v>2182</v>
      </c>
      <c r="G809" s="25">
        <v>500</v>
      </c>
      <c r="H809" s="25"/>
    </row>
    <row r="810" spans="1:1008" ht="14">
      <c r="A810" s="25" t="s">
        <v>2183</v>
      </c>
      <c r="B810" s="26" t="s">
        <v>145</v>
      </c>
      <c r="C810" s="25" t="str">
        <f t="shared" si="12"/>
        <v>truncation</v>
      </c>
      <c r="D810" s="27" t="s">
        <v>13</v>
      </c>
      <c r="E810" s="25" t="s">
        <v>2184</v>
      </c>
      <c r="F810" s="25" t="s">
        <v>2185</v>
      </c>
      <c r="G810" s="25">
        <v>500</v>
      </c>
      <c r="H810" s="25"/>
    </row>
    <row r="811" spans="1:1008" ht="14">
      <c r="A811" s="25" t="s">
        <v>262</v>
      </c>
      <c r="B811" s="26" t="s">
        <v>145</v>
      </c>
      <c r="C811" s="25" t="str">
        <f t="shared" si="12"/>
        <v>none</v>
      </c>
      <c r="D811" s="27" t="s">
        <v>13</v>
      </c>
      <c r="E811" s="25" t="s">
        <v>1742</v>
      </c>
      <c r="F811" s="25" t="s">
        <v>2675</v>
      </c>
      <c r="G811" s="25">
        <v>500</v>
      </c>
      <c r="H811" s="25"/>
    </row>
    <row r="812" spans="1:1008" ht="14">
      <c r="A812" s="25" t="s">
        <v>2186</v>
      </c>
      <c r="B812" s="26" t="s">
        <v>147</v>
      </c>
      <c r="C812" s="25" t="str">
        <f t="shared" si="12"/>
        <v>aa</v>
      </c>
      <c r="D812" s="27" t="s">
        <v>13</v>
      </c>
      <c r="E812" s="25" t="s">
        <v>2187</v>
      </c>
      <c r="F812" s="25" t="s">
        <v>2188</v>
      </c>
      <c r="G812" s="25">
        <v>500</v>
      </c>
      <c r="H812" s="25"/>
    </row>
    <row r="813" spans="1:1008" ht="14">
      <c r="A813" s="25" t="s">
        <v>2189</v>
      </c>
      <c r="B813" s="26" t="s">
        <v>147</v>
      </c>
      <c r="C813" s="25" t="str">
        <f t="shared" si="12"/>
        <v>cterm</v>
      </c>
      <c r="D813" s="27" t="s">
        <v>13</v>
      </c>
      <c r="E813" s="25" t="s">
        <v>2190</v>
      </c>
      <c r="F813" s="25" t="s">
        <v>2191</v>
      </c>
      <c r="G813" s="25">
        <v>500</v>
      </c>
      <c r="H813" s="25"/>
    </row>
    <row r="814" spans="1:1008" ht="14">
      <c r="A814" s="25" t="s">
        <v>2192</v>
      </c>
      <c r="B814" s="26" t="s">
        <v>147</v>
      </c>
      <c r="C814" s="25" t="str">
        <f t="shared" si="12"/>
        <v>nterm</v>
      </c>
      <c r="D814" s="27" t="s">
        <v>13</v>
      </c>
      <c r="E814" s="25" t="s">
        <v>2193</v>
      </c>
      <c r="F814" s="25" t="s">
        <v>2194</v>
      </c>
      <c r="G814" s="25">
        <v>500</v>
      </c>
      <c r="H814" s="25"/>
    </row>
    <row r="815" spans="1:1008" ht="14">
      <c r="A815" s="25" t="s">
        <v>2195</v>
      </c>
      <c r="B815" s="26" t="s">
        <v>147</v>
      </c>
      <c r="C815" s="25" t="str">
        <f t="shared" si="12"/>
        <v>region</v>
      </c>
      <c r="D815" s="27" t="s">
        <v>13</v>
      </c>
      <c r="E815" s="25" t="s">
        <v>2196</v>
      </c>
      <c r="F815" s="25" t="s">
        <v>2197</v>
      </c>
      <c r="G815" s="25">
        <v>500</v>
      </c>
      <c r="H815" s="28"/>
      <c r="I815"/>
      <c r="J815"/>
      <c r="K815"/>
      <c r="L815"/>
      <c r="M815"/>
      <c r="N815"/>
      <c r="O815"/>
      <c r="P815"/>
      <c r="Q815"/>
      <c r="R815"/>
      <c r="S815"/>
      <c r="T815"/>
      <c r="U815"/>
      <c r="V815"/>
      <c r="W815"/>
      <c r="X815"/>
      <c r="Y815"/>
      <c r="Z815"/>
      <c r="AA815"/>
      <c r="AB815"/>
      <c r="AC815"/>
      <c r="AD815"/>
      <c r="AE815"/>
      <c r="AF815"/>
      <c r="AG815"/>
      <c r="AH815"/>
      <c r="AI815"/>
      <c r="AJ815"/>
      <c r="AK815"/>
      <c r="AL815"/>
      <c r="AM815"/>
      <c r="AN815"/>
      <c r="AO815"/>
      <c r="AP815"/>
      <c r="AQ815"/>
      <c r="AR815"/>
      <c r="AS815"/>
      <c r="AT815"/>
      <c r="AU815"/>
      <c r="AV815"/>
      <c r="AW815"/>
      <c r="AX815"/>
      <c r="AY815"/>
      <c r="AZ815"/>
      <c r="BA815"/>
      <c r="BB815"/>
      <c r="BC815"/>
      <c r="BD815"/>
      <c r="BE815"/>
      <c r="BF815"/>
      <c r="BG815"/>
      <c r="BH815"/>
      <c r="BI815"/>
      <c r="BJ815"/>
      <c r="BK815"/>
      <c r="BL815"/>
      <c r="BM815"/>
      <c r="BN815"/>
      <c r="BO815"/>
      <c r="BP815"/>
      <c r="BQ815"/>
      <c r="BR815"/>
      <c r="BS815"/>
      <c r="BT815"/>
      <c r="BU815"/>
      <c r="BV815"/>
      <c r="BW815"/>
      <c r="BX815"/>
      <c r="BY815"/>
      <c r="BZ815"/>
      <c r="CA815"/>
      <c r="CB815"/>
      <c r="CC815"/>
      <c r="CD815"/>
      <c r="CE815"/>
      <c r="CF815"/>
      <c r="CG815"/>
      <c r="CH815"/>
      <c r="CI815"/>
      <c r="CJ815"/>
      <c r="CK815"/>
      <c r="CL815"/>
      <c r="CM815"/>
      <c r="CN815"/>
      <c r="CO815"/>
      <c r="CP815"/>
      <c r="CQ815"/>
      <c r="CR815"/>
      <c r="CS815"/>
      <c r="CT815"/>
      <c r="CU815"/>
      <c r="CV815"/>
      <c r="CW815"/>
      <c r="CX815"/>
      <c r="CY815"/>
      <c r="CZ815"/>
      <c r="DA815"/>
      <c r="DB815"/>
      <c r="DC815"/>
      <c r="DD815"/>
      <c r="DE815"/>
      <c r="DF815"/>
      <c r="DG815"/>
      <c r="DH815"/>
      <c r="DI815"/>
      <c r="DJ815"/>
      <c r="DK815"/>
      <c r="DL815"/>
      <c r="DM815"/>
      <c r="DN815"/>
      <c r="DO815"/>
      <c r="DP815"/>
      <c r="DQ815"/>
      <c r="DR815"/>
      <c r="DS815"/>
      <c r="DT815"/>
      <c r="DU815"/>
      <c r="DV815"/>
      <c r="DW815"/>
      <c r="DX815"/>
      <c r="DY815"/>
      <c r="DZ815"/>
      <c r="EA815"/>
      <c r="EB815"/>
      <c r="EC815"/>
      <c r="ED815"/>
      <c r="EE815"/>
      <c r="EF815"/>
      <c r="EG815"/>
      <c r="EH815"/>
      <c r="EI815"/>
      <c r="EJ815"/>
      <c r="EK815"/>
      <c r="EL815"/>
      <c r="EM815"/>
      <c r="EN815"/>
      <c r="EO815"/>
      <c r="EP815"/>
      <c r="EQ815"/>
      <c r="ER815"/>
      <c r="ES815"/>
      <c r="ET815"/>
      <c r="EU815"/>
      <c r="EV815"/>
      <c r="EW815"/>
      <c r="EX815"/>
      <c r="EY815"/>
      <c r="EZ815"/>
      <c r="FA815"/>
      <c r="FB815"/>
      <c r="FC815"/>
      <c r="FD815"/>
      <c r="FE815"/>
      <c r="FF815"/>
      <c r="FG815"/>
      <c r="FH815"/>
      <c r="FI815"/>
      <c r="FJ815"/>
      <c r="FK815"/>
      <c r="FL815"/>
      <c r="FM815"/>
      <c r="FN815"/>
      <c r="FO815"/>
      <c r="FP815"/>
      <c r="FQ815"/>
      <c r="FR815"/>
      <c r="FS815"/>
      <c r="FT815"/>
      <c r="FU815"/>
      <c r="FV815"/>
      <c r="FW815"/>
      <c r="FX815"/>
      <c r="FY815"/>
      <c r="FZ815"/>
      <c r="GA815"/>
      <c r="GB815"/>
      <c r="GC815"/>
      <c r="GD815"/>
      <c r="GE815"/>
      <c r="GF815"/>
      <c r="GG815"/>
      <c r="GH815"/>
      <c r="GI815"/>
      <c r="GJ815"/>
      <c r="GK815"/>
      <c r="GL815"/>
      <c r="GM815"/>
      <c r="GN815"/>
      <c r="GO815"/>
      <c r="GP815"/>
      <c r="GQ815"/>
      <c r="GR815"/>
      <c r="GS815"/>
      <c r="GT815"/>
      <c r="GU815"/>
      <c r="GV815"/>
      <c r="GW815"/>
      <c r="GX815"/>
      <c r="GY815"/>
      <c r="GZ815"/>
      <c r="HA815"/>
      <c r="HB815"/>
      <c r="HC815"/>
      <c r="HD815"/>
      <c r="HE815"/>
      <c r="HF815"/>
      <c r="HG815"/>
      <c r="HH815"/>
      <c r="HI815"/>
      <c r="HJ815"/>
      <c r="HK815"/>
      <c r="HL815"/>
      <c r="HM815"/>
      <c r="HN815"/>
      <c r="HO815"/>
      <c r="HP815"/>
      <c r="HQ815"/>
      <c r="HR815"/>
      <c r="HS815"/>
      <c r="HT815"/>
      <c r="HU815"/>
      <c r="HV815"/>
      <c r="HW815"/>
      <c r="HX815"/>
      <c r="HY815"/>
      <c r="HZ815"/>
      <c r="IA815"/>
      <c r="IB815"/>
      <c r="IC815"/>
      <c r="ID815"/>
      <c r="IE815"/>
      <c r="IF815"/>
      <c r="IG815"/>
      <c r="IH815"/>
      <c r="II815"/>
      <c r="IJ815"/>
      <c r="IK815"/>
      <c r="IL815"/>
      <c r="IM815"/>
      <c r="IN815"/>
      <c r="IO815"/>
      <c r="IP815"/>
      <c r="IQ815"/>
      <c r="IR815"/>
      <c r="IS815"/>
      <c r="IT815"/>
      <c r="IU815"/>
      <c r="IV815"/>
      <c r="IW815"/>
      <c r="IX815"/>
      <c r="IY815"/>
      <c r="IZ815"/>
      <c r="JA815"/>
      <c r="JB815"/>
      <c r="JC815"/>
      <c r="JD815"/>
      <c r="JE815"/>
      <c r="JF815"/>
      <c r="JG815"/>
      <c r="JH815"/>
      <c r="JI815"/>
      <c r="JJ815"/>
      <c r="JK815"/>
      <c r="JL815"/>
      <c r="JM815"/>
      <c r="JN815"/>
      <c r="JO815"/>
      <c r="JP815"/>
      <c r="JQ815"/>
      <c r="JR815"/>
      <c r="JS815"/>
      <c r="JT815"/>
      <c r="JU815"/>
      <c r="JV815"/>
      <c r="JW815"/>
      <c r="JX815"/>
      <c r="JY815"/>
      <c r="JZ815"/>
      <c r="KA815"/>
      <c r="KB815"/>
      <c r="KC815"/>
      <c r="KD815"/>
      <c r="KE815"/>
      <c r="KF815"/>
      <c r="KG815"/>
      <c r="KH815"/>
      <c r="KI815"/>
      <c r="KJ815"/>
      <c r="KK815"/>
      <c r="KL815"/>
      <c r="KM815"/>
      <c r="KN815"/>
      <c r="KO815"/>
      <c r="KP815"/>
      <c r="KQ815"/>
      <c r="KR815"/>
      <c r="KS815"/>
      <c r="KT815"/>
      <c r="KU815"/>
      <c r="KV815"/>
      <c r="KW815"/>
      <c r="KX815"/>
      <c r="KY815"/>
      <c r="KZ815"/>
      <c r="LA815"/>
      <c r="LB815"/>
      <c r="LC815"/>
      <c r="LD815"/>
      <c r="LE815"/>
      <c r="LF815"/>
      <c r="LG815"/>
      <c r="LH815"/>
      <c r="LI815"/>
      <c r="LJ815"/>
      <c r="LK815"/>
      <c r="LL815"/>
      <c r="LM815"/>
      <c r="LN815"/>
      <c r="LO815"/>
      <c r="LP815"/>
      <c r="LQ815"/>
      <c r="LR815"/>
      <c r="LS815"/>
      <c r="LT815"/>
      <c r="LU815"/>
      <c r="LV815"/>
      <c r="LW815"/>
      <c r="LX815"/>
      <c r="LY815"/>
      <c r="LZ815"/>
      <c r="MA815"/>
      <c r="MB815"/>
      <c r="MC815"/>
      <c r="MD815"/>
      <c r="ME815"/>
      <c r="MF815"/>
      <c r="MG815"/>
      <c r="MH815"/>
      <c r="MI815"/>
      <c r="MJ815"/>
      <c r="MK815"/>
      <c r="ML815"/>
      <c r="MM815"/>
      <c r="MN815"/>
      <c r="MO815"/>
      <c r="MP815"/>
      <c r="MQ815"/>
      <c r="MR815"/>
      <c r="MS815"/>
      <c r="MT815"/>
      <c r="MU815"/>
      <c r="MV815"/>
      <c r="MW815"/>
      <c r="MX815"/>
      <c r="MY815"/>
      <c r="MZ815"/>
      <c r="NA815"/>
      <c r="NB815"/>
      <c r="NC815"/>
      <c r="ND815"/>
      <c r="NE815"/>
      <c r="NF815"/>
      <c r="NG815"/>
      <c r="NH815"/>
      <c r="NI815"/>
      <c r="NJ815"/>
      <c r="NK815"/>
      <c r="NL815"/>
      <c r="NM815"/>
      <c r="NN815"/>
      <c r="NO815"/>
      <c r="NP815"/>
      <c r="NQ815"/>
      <c r="NR815"/>
      <c r="NS815"/>
      <c r="NT815"/>
      <c r="NU815"/>
      <c r="NV815"/>
      <c r="NW815"/>
      <c r="NX815"/>
      <c r="NY815"/>
      <c r="NZ815"/>
      <c r="OA815"/>
      <c r="OB815"/>
      <c r="OC815"/>
      <c r="OD815"/>
      <c r="OE815"/>
      <c r="OF815"/>
      <c r="OG815"/>
      <c r="OH815"/>
      <c r="OI815"/>
      <c r="OJ815"/>
      <c r="OK815"/>
      <c r="OL815"/>
      <c r="OM815"/>
      <c r="ON815"/>
      <c r="OO815"/>
      <c r="OP815"/>
      <c r="OQ815"/>
      <c r="OR815"/>
      <c r="OS815"/>
      <c r="OT815"/>
      <c r="OU815"/>
      <c r="OV815"/>
      <c r="OW815"/>
      <c r="OX815"/>
      <c r="OY815"/>
      <c r="OZ815"/>
      <c r="PA815"/>
      <c r="PB815"/>
      <c r="PC815"/>
      <c r="PD815"/>
      <c r="PE815"/>
      <c r="PF815"/>
      <c r="PG815"/>
      <c r="PH815"/>
      <c r="PI815"/>
      <c r="PJ815"/>
      <c r="PK815"/>
      <c r="PL815"/>
      <c r="PM815"/>
      <c r="PN815"/>
      <c r="PO815"/>
      <c r="PP815"/>
      <c r="PQ815"/>
      <c r="PR815"/>
      <c r="PS815"/>
      <c r="PT815"/>
      <c r="PU815"/>
      <c r="PV815"/>
      <c r="PW815"/>
      <c r="PX815"/>
      <c r="PY815"/>
      <c r="PZ815"/>
      <c r="QA815"/>
      <c r="QB815"/>
      <c r="QC815"/>
      <c r="QD815"/>
      <c r="QE815"/>
      <c r="QF815"/>
      <c r="QG815"/>
      <c r="QH815"/>
      <c r="QI815"/>
      <c r="QJ815"/>
      <c r="QK815"/>
      <c r="QL815"/>
      <c r="QM815"/>
      <c r="QN815"/>
      <c r="QO815"/>
      <c r="QP815"/>
      <c r="QQ815"/>
      <c r="QR815"/>
      <c r="QS815"/>
      <c r="QT815"/>
      <c r="QU815"/>
      <c r="QV815"/>
      <c r="QW815"/>
      <c r="QX815"/>
      <c r="QY815"/>
      <c r="QZ815"/>
      <c r="RA815"/>
      <c r="RB815"/>
      <c r="RC815"/>
      <c r="RD815"/>
      <c r="RE815"/>
      <c r="RF815"/>
      <c r="RG815"/>
      <c r="RH815"/>
      <c r="RI815"/>
      <c r="RJ815"/>
      <c r="RK815"/>
      <c r="RL815"/>
      <c r="RM815"/>
      <c r="RN815"/>
      <c r="RO815"/>
      <c r="RP815"/>
      <c r="RQ815"/>
      <c r="RR815"/>
      <c r="RS815"/>
      <c r="RT815"/>
      <c r="RU815"/>
      <c r="RV815"/>
      <c r="RW815"/>
      <c r="RX815"/>
      <c r="RY815"/>
      <c r="RZ815"/>
      <c r="SA815"/>
      <c r="SB815"/>
      <c r="SC815"/>
      <c r="SD815"/>
      <c r="SE815"/>
      <c r="SF815"/>
      <c r="SG815"/>
      <c r="SH815"/>
      <c r="SI815"/>
      <c r="SJ815"/>
      <c r="SK815"/>
      <c r="SL815"/>
      <c r="SM815"/>
      <c r="SN815"/>
      <c r="SO815"/>
      <c r="SP815"/>
      <c r="SQ815"/>
      <c r="SR815"/>
      <c r="SS815"/>
      <c r="ST815"/>
      <c r="SU815"/>
      <c r="SV815"/>
      <c r="SW815"/>
      <c r="SX815"/>
      <c r="SY815"/>
      <c r="SZ815"/>
      <c r="TA815"/>
      <c r="TB815"/>
      <c r="TC815"/>
      <c r="TD815"/>
      <c r="TE815"/>
      <c r="TF815"/>
      <c r="TG815"/>
      <c r="TH815"/>
      <c r="TI815"/>
      <c r="TJ815"/>
      <c r="TK815"/>
      <c r="TL815"/>
      <c r="TM815"/>
      <c r="TN815"/>
      <c r="TO815"/>
      <c r="TP815"/>
      <c r="TQ815"/>
      <c r="TR815"/>
      <c r="TS815"/>
      <c r="TT815"/>
      <c r="TU815"/>
      <c r="TV815"/>
      <c r="TW815"/>
      <c r="TX815"/>
      <c r="TY815"/>
      <c r="TZ815"/>
      <c r="UA815"/>
      <c r="UB815"/>
      <c r="UC815"/>
      <c r="UD815"/>
      <c r="UE815"/>
      <c r="UF815"/>
      <c r="UG815"/>
      <c r="UH815"/>
      <c r="UI815"/>
      <c r="UJ815"/>
      <c r="UK815"/>
      <c r="UL815"/>
      <c r="UM815"/>
      <c r="UN815"/>
      <c r="UO815"/>
      <c r="UP815"/>
      <c r="UQ815"/>
      <c r="UR815"/>
      <c r="US815"/>
      <c r="UT815"/>
      <c r="UU815"/>
      <c r="UV815"/>
      <c r="UW815"/>
      <c r="UX815"/>
      <c r="UY815"/>
      <c r="UZ815"/>
      <c r="VA815"/>
      <c r="VB815"/>
      <c r="VC815"/>
      <c r="VD815"/>
      <c r="VE815"/>
      <c r="VF815"/>
      <c r="VG815"/>
      <c r="VH815"/>
      <c r="VI815"/>
      <c r="VJ815"/>
      <c r="VK815"/>
      <c r="VL815"/>
      <c r="VM815"/>
      <c r="VN815"/>
      <c r="VO815"/>
      <c r="VP815"/>
      <c r="VQ815"/>
      <c r="VR815"/>
      <c r="VS815"/>
      <c r="VT815"/>
      <c r="VU815"/>
      <c r="VV815"/>
      <c r="VW815"/>
      <c r="VX815"/>
      <c r="VY815"/>
      <c r="VZ815"/>
      <c r="WA815"/>
      <c r="WB815"/>
      <c r="WC815"/>
      <c r="WD815"/>
      <c r="WE815"/>
      <c r="WF815"/>
      <c r="WG815"/>
      <c r="WH815"/>
      <c r="WI815"/>
      <c r="WJ815"/>
      <c r="WK815"/>
      <c r="WL815"/>
      <c r="WM815"/>
      <c r="WN815"/>
      <c r="WO815"/>
      <c r="WP815"/>
      <c r="WQ815"/>
      <c r="WR815"/>
      <c r="WS815"/>
      <c r="WT815"/>
      <c r="WU815"/>
      <c r="WV815"/>
      <c r="WW815"/>
      <c r="WX815"/>
      <c r="WY815"/>
      <c r="WZ815"/>
      <c r="XA815"/>
      <c r="XB815"/>
      <c r="XC815"/>
      <c r="XD815"/>
      <c r="XE815"/>
      <c r="XF815"/>
      <c r="XG815"/>
      <c r="XH815"/>
      <c r="XI815"/>
      <c r="XJ815"/>
      <c r="XK815"/>
      <c r="XL815"/>
      <c r="XM815"/>
      <c r="XN815"/>
      <c r="XO815"/>
      <c r="XP815"/>
      <c r="XQ815"/>
      <c r="XR815"/>
      <c r="XS815"/>
      <c r="XT815"/>
      <c r="XU815"/>
      <c r="XV815"/>
      <c r="XW815"/>
      <c r="XX815"/>
      <c r="XY815"/>
      <c r="XZ815"/>
      <c r="YA815"/>
      <c r="YB815"/>
      <c r="YC815"/>
      <c r="YD815"/>
      <c r="YE815"/>
      <c r="YF815"/>
      <c r="YG815"/>
      <c r="YH815"/>
      <c r="YI815"/>
      <c r="YJ815"/>
      <c r="YK815"/>
      <c r="YL815"/>
      <c r="YM815"/>
      <c r="YN815"/>
      <c r="YO815"/>
      <c r="YP815"/>
      <c r="YQ815"/>
      <c r="YR815"/>
      <c r="YS815"/>
      <c r="YT815"/>
      <c r="YU815"/>
      <c r="YV815"/>
      <c r="YW815"/>
      <c r="YX815"/>
      <c r="YY815"/>
      <c r="YZ815"/>
      <c r="ZA815"/>
      <c r="ZB815"/>
      <c r="ZC815"/>
      <c r="ZD815"/>
      <c r="ZE815"/>
      <c r="ZF815"/>
      <c r="ZG815"/>
      <c r="ZH815"/>
      <c r="ZI815"/>
      <c r="ZJ815"/>
      <c r="ZK815"/>
      <c r="ZL815"/>
      <c r="ZM815"/>
      <c r="ZN815"/>
      <c r="ZO815"/>
      <c r="ZP815"/>
      <c r="ZQ815"/>
      <c r="ZR815"/>
      <c r="ZS815"/>
      <c r="ZT815"/>
      <c r="ZU815"/>
      <c r="ZV815"/>
      <c r="ZW815"/>
      <c r="ZX815"/>
      <c r="ZY815"/>
      <c r="ZZ815"/>
      <c r="AAA815"/>
      <c r="AAB815"/>
      <c r="AAC815"/>
      <c r="AAD815"/>
      <c r="AAE815"/>
      <c r="AAF815"/>
      <c r="AAG815"/>
      <c r="AAH815"/>
      <c r="AAI815"/>
      <c r="AAJ815"/>
      <c r="AAK815"/>
      <c r="AAL815"/>
      <c r="AAM815"/>
      <c r="AAN815"/>
      <c r="AAO815"/>
      <c r="AAP815"/>
      <c r="AAQ815"/>
      <c r="AAR815"/>
      <c r="AAS815"/>
      <c r="AAT815"/>
      <c r="AAU815"/>
      <c r="AAV815"/>
      <c r="AAW815"/>
      <c r="AAX815"/>
      <c r="AAY815"/>
      <c r="AAZ815"/>
      <c r="ABA815"/>
      <c r="ABB815"/>
      <c r="ABC815"/>
      <c r="ABD815"/>
      <c r="ABE815"/>
      <c r="ABF815"/>
      <c r="ABG815"/>
      <c r="ABH815"/>
      <c r="ABI815"/>
      <c r="ABJ815"/>
      <c r="ABK815"/>
      <c r="ABL815"/>
      <c r="ABM815"/>
      <c r="ABN815"/>
      <c r="ABO815"/>
      <c r="ABP815"/>
      <c r="ABQ815"/>
      <c r="ABR815"/>
      <c r="ABS815"/>
      <c r="ABT815"/>
      <c r="ABU815"/>
      <c r="ABV815"/>
      <c r="ABW815"/>
      <c r="ABX815"/>
      <c r="ABY815"/>
      <c r="ABZ815"/>
      <c r="ACA815"/>
      <c r="ACB815"/>
      <c r="ACC815"/>
      <c r="ACD815"/>
      <c r="ACE815"/>
      <c r="ACF815"/>
      <c r="ACG815"/>
      <c r="ACH815"/>
      <c r="ACI815"/>
      <c r="ACJ815"/>
      <c r="ACK815"/>
      <c r="ACL815"/>
      <c r="ACM815"/>
      <c r="ACN815"/>
      <c r="ACO815"/>
      <c r="ACP815"/>
      <c r="ACQ815"/>
      <c r="ACR815"/>
      <c r="ACS815"/>
      <c r="ACT815"/>
      <c r="ACU815"/>
      <c r="ACV815"/>
      <c r="ACW815"/>
      <c r="ACX815"/>
      <c r="ACY815"/>
      <c r="ACZ815"/>
      <c r="ADA815"/>
      <c r="ADB815"/>
      <c r="ADC815"/>
      <c r="ADD815"/>
      <c r="ADE815"/>
      <c r="ADF815"/>
      <c r="ADG815"/>
      <c r="ADH815"/>
      <c r="ADI815"/>
      <c r="ADJ815"/>
      <c r="ADK815"/>
      <c r="ADL815"/>
      <c r="ADM815"/>
      <c r="ADN815"/>
      <c r="ADO815"/>
      <c r="ADP815"/>
      <c r="ADQ815"/>
      <c r="ADR815"/>
      <c r="ADS815"/>
      <c r="ADT815"/>
      <c r="ADU815"/>
      <c r="ADV815"/>
      <c r="ADW815"/>
      <c r="ADX815"/>
      <c r="ADY815"/>
      <c r="ADZ815"/>
      <c r="AEA815"/>
      <c r="AEB815"/>
      <c r="AEC815"/>
      <c r="AED815"/>
      <c r="AEE815"/>
      <c r="AEF815"/>
      <c r="AEG815"/>
      <c r="AEH815"/>
      <c r="AEI815"/>
      <c r="AEJ815"/>
      <c r="AEK815"/>
      <c r="AEL815"/>
      <c r="AEM815"/>
      <c r="AEN815"/>
      <c r="AEO815"/>
      <c r="AEP815"/>
      <c r="AEQ815"/>
      <c r="AER815"/>
      <c r="AES815"/>
      <c r="AET815"/>
      <c r="AEU815"/>
      <c r="AEV815"/>
      <c r="AEW815"/>
      <c r="AEX815"/>
      <c r="AEY815"/>
      <c r="AEZ815"/>
      <c r="AFA815"/>
      <c r="AFB815"/>
      <c r="AFC815"/>
      <c r="AFD815"/>
      <c r="AFE815"/>
      <c r="AFF815"/>
      <c r="AFG815"/>
      <c r="AFH815"/>
      <c r="AFI815"/>
      <c r="AFJ815"/>
      <c r="AFK815"/>
      <c r="AFL815"/>
      <c r="AFM815"/>
      <c r="AFN815"/>
      <c r="AFO815"/>
      <c r="AFP815"/>
      <c r="AFQ815"/>
      <c r="AFR815"/>
      <c r="AFS815"/>
      <c r="AFT815"/>
      <c r="AFU815"/>
      <c r="AFV815"/>
      <c r="AFW815"/>
      <c r="AFX815"/>
      <c r="AFY815"/>
      <c r="AFZ815"/>
      <c r="AGA815"/>
      <c r="AGB815"/>
      <c r="AGC815"/>
      <c r="AGD815"/>
      <c r="AGE815"/>
      <c r="AGF815"/>
      <c r="AGG815"/>
      <c r="AGH815"/>
      <c r="AGI815"/>
      <c r="AGJ815"/>
      <c r="AGK815"/>
      <c r="AGL815"/>
      <c r="AGM815"/>
      <c r="AGN815"/>
      <c r="AGO815"/>
      <c r="AGP815"/>
      <c r="AGQ815"/>
      <c r="AGR815"/>
      <c r="AGS815"/>
      <c r="AGT815"/>
      <c r="AGU815"/>
      <c r="AGV815"/>
      <c r="AGW815"/>
      <c r="AGX815"/>
      <c r="AGY815"/>
      <c r="AGZ815"/>
      <c r="AHA815"/>
      <c r="AHB815"/>
      <c r="AHC815"/>
      <c r="AHD815"/>
      <c r="AHE815"/>
      <c r="AHF815"/>
      <c r="AHG815"/>
      <c r="AHH815"/>
      <c r="AHI815"/>
      <c r="AHJ815"/>
      <c r="AHK815"/>
      <c r="AHL815"/>
      <c r="AHM815"/>
      <c r="AHN815"/>
      <c r="AHO815"/>
      <c r="AHP815"/>
      <c r="AHQ815"/>
      <c r="AHR815"/>
      <c r="AHS815"/>
      <c r="AHT815"/>
      <c r="AHU815"/>
      <c r="AHV815"/>
      <c r="AHW815"/>
      <c r="AHX815"/>
      <c r="AHY815"/>
      <c r="AHZ815"/>
      <c r="AIA815"/>
      <c r="AIB815"/>
      <c r="AIC815"/>
      <c r="AID815"/>
      <c r="AIE815"/>
      <c r="AIF815"/>
      <c r="AIG815"/>
      <c r="AIH815"/>
      <c r="AII815"/>
      <c r="AIJ815"/>
      <c r="AIK815"/>
      <c r="AIL815"/>
      <c r="AIM815"/>
      <c r="AIN815"/>
      <c r="AIO815"/>
      <c r="AIP815"/>
      <c r="AIQ815"/>
      <c r="AIR815"/>
      <c r="AIS815"/>
      <c r="AIT815"/>
      <c r="AIU815"/>
      <c r="AIV815"/>
      <c r="AIW815"/>
      <c r="AIX815"/>
      <c r="AIY815"/>
      <c r="AIZ815"/>
      <c r="AJA815"/>
      <c r="AJB815"/>
      <c r="AJC815"/>
      <c r="AJD815"/>
      <c r="AJE815"/>
      <c r="AJF815"/>
      <c r="AJG815"/>
      <c r="AJH815"/>
      <c r="AJI815"/>
      <c r="AJJ815"/>
      <c r="AJK815"/>
      <c r="AJL815"/>
      <c r="AJM815"/>
      <c r="AJN815"/>
      <c r="AJO815"/>
      <c r="AJP815"/>
      <c r="AJQ815"/>
      <c r="AJR815"/>
      <c r="AJS815"/>
      <c r="AJT815"/>
      <c r="AJU815"/>
      <c r="AJV815"/>
      <c r="AJW815"/>
      <c r="AJX815"/>
      <c r="AJY815"/>
      <c r="AJZ815"/>
      <c r="AKA815"/>
      <c r="AKB815"/>
      <c r="AKC815"/>
      <c r="AKD815"/>
      <c r="AKE815"/>
      <c r="AKF815"/>
      <c r="AKG815"/>
      <c r="AKH815"/>
      <c r="AKI815"/>
      <c r="AKJ815"/>
      <c r="AKK815"/>
      <c r="AKL815"/>
      <c r="AKM815"/>
      <c r="AKN815"/>
      <c r="AKO815"/>
      <c r="AKP815"/>
      <c r="AKQ815"/>
      <c r="AKR815"/>
      <c r="AKS815"/>
      <c r="AKT815"/>
      <c r="AKU815"/>
      <c r="AKV815"/>
      <c r="AKW815"/>
      <c r="AKX815"/>
      <c r="AKY815"/>
      <c r="AKZ815"/>
      <c r="ALA815"/>
      <c r="ALB815"/>
      <c r="ALC815"/>
      <c r="ALD815"/>
      <c r="ALE815"/>
      <c r="ALF815"/>
      <c r="ALG815"/>
      <c r="ALH815"/>
      <c r="ALI815"/>
      <c r="ALJ815"/>
      <c r="ALK815"/>
      <c r="ALL815"/>
      <c r="ALM815"/>
      <c r="ALN815"/>
      <c r="ALO815"/>
      <c r="ALP815"/>
      <c r="ALQ815"/>
      <c r="ALR815"/>
      <c r="ALS815"/>
      <c r="ALT815"/>
    </row>
    <row r="816" spans="1:1008" ht="14">
      <c r="A816" s="25" t="s">
        <v>2826</v>
      </c>
      <c r="B816" s="26" t="s">
        <v>2824</v>
      </c>
      <c r="C816" s="25" t="str">
        <f t="shared" si="12"/>
        <v>antibody</v>
      </c>
      <c r="D816" s="27" t="s">
        <v>13</v>
      </c>
      <c r="E816" s="25" t="s">
        <v>2827</v>
      </c>
      <c r="F816" s="25" t="s">
        <v>2828</v>
      </c>
      <c r="G816" s="25">
        <v>500</v>
      </c>
      <c r="H816" s="28"/>
      <c r="I816"/>
      <c r="J816"/>
      <c r="K816"/>
      <c r="L816"/>
      <c r="M816"/>
      <c r="N816"/>
      <c r="O816"/>
      <c r="P816"/>
      <c r="Q816"/>
      <c r="R816"/>
      <c r="S816"/>
      <c r="T816"/>
      <c r="U816"/>
      <c r="V816"/>
      <c r="W816"/>
      <c r="X816"/>
      <c r="Y816"/>
      <c r="Z816"/>
      <c r="AA816"/>
      <c r="AB816"/>
      <c r="AC816"/>
      <c r="AD816"/>
      <c r="AE816"/>
      <c r="AF816"/>
      <c r="AG816"/>
      <c r="AH816"/>
      <c r="AI816"/>
      <c r="AJ816"/>
      <c r="AK816"/>
      <c r="AL816"/>
      <c r="AM816"/>
      <c r="AN816"/>
      <c r="AO816"/>
      <c r="AP816"/>
      <c r="AQ816"/>
      <c r="AR816"/>
      <c r="AS816"/>
      <c r="AT816"/>
      <c r="AU816"/>
      <c r="AV816"/>
      <c r="AW816"/>
      <c r="AX816"/>
      <c r="AY816"/>
      <c r="AZ816"/>
      <c r="BA816"/>
      <c r="BB816"/>
      <c r="BC816"/>
      <c r="BD816"/>
      <c r="BE816"/>
      <c r="BF816"/>
      <c r="BG816"/>
      <c r="BH816"/>
      <c r="BI816"/>
      <c r="BJ816"/>
      <c r="BK816"/>
      <c r="BL816"/>
      <c r="BM816"/>
      <c r="BN816"/>
      <c r="BO816"/>
      <c r="BP816"/>
      <c r="BQ816"/>
      <c r="BR816"/>
      <c r="BS816"/>
      <c r="BT816"/>
      <c r="BU816"/>
      <c r="BV816"/>
      <c r="BW816"/>
      <c r="BX816"/>
      <c r="BY816"/>
      <c r="BZ816"/>
      <c r="CA816"/>
      <c r="CB816"/>
      <c r="CC816"/>
      <c r="CD816"/>
      <c r="CE816"/>
      <c r="CF816"/>
      <c r="CG816"/>
      <c r="CH816"/>
      <c r="CI816"/>
      <c r="CJ816"/>
      <c r="CK816"/>
      <c r="CL816"/>
      <c r="CM816"/>
      <c r="CN816"/>
      <c r="CO816"/>
      <c r="CP816"/>
      <c r="CQ816"/>
      <c r="CR816"/>
      <c r="CS816"/>
      <c r="CT816"/>
      <c r="CU816"/>
      <c r="CV816"/>
      <c r="CW816"/>
      <c r="CX816"/>
      <c r="CY816"/>
      <c r="CZ816"/>
      <c r="DA816"/>
      <c r="DB816"/>
      <c r="DC816"/>
      <c r="DD816"/>
      <c r="DE816"/>
      <c r="DF816"/>
      <c r="DG816"/>
      <c r="DH816"/>
      <c r="DI816"/>
      <c r="DJ816"/>
      <c r="DK816"/>
      <c r="DL816"/>
      <c r="DM816"/>
      <c r="DN816"/>
      <c r="DO816"/>
      <c r="DP816"/>
      <c r="DQ816"/>
      <c r="DR816"/>
      <c r="DS816"/>
      <c r="DT816"/>
      <c r="DU816"/>
      <c r="DV816"/>
      <c r="DW816"/>
      <c r="DX816"/>
      <c r="DY816"/>
      <c r="DZ816"/>
      <c r="EA816"/>
      <c r="EB816"/>
      <c r="EC816"/>
      <c r="ED816"/>
      <c r="EE816"/>
      <c r="EF816"/>
      <c r="EG816"/>
      <c r="EH816"/>
      <c r="EI816"/>
      <c r="EJ816"/>
      <c r="EK816"/>
      <c r="EL816"/>
      <c r="EM816"/>
      <c r="EN816"/>
      <c r="EO816"/>
      <c r="EP816"/>
      <c r="EQ816"/>
      <c r="ER816"/>
      <c r="ES816"/>
      <c r="ET816"/>
      <c r="EU816"/>
      <c r="EV816"/>
      <c r="EW816"/>
      <c r="EX816"/>
      <c r="EY816"/>
      <c r="EZ816"/>
      <c r="FA816"/>
      <c r="FB816"/>
      <c r="FC816"/>
      <c r="FD816"/>
      <c r="FE816"/>
      <c r="FF816"/>
      <c r="FG816"/>
      <c r="FH816"/>
      <c r="FI816"/>
      <c r="FJ816"/>
      <c r="FK816"/>
      <c r="FL816"/>
      <c r="FM816"/>
      <c r="FN816"/>
      <c r="FO816"/>
      <c r="FP816"/>
      <c r="FQ816"/>
      <c r="FR816"/>
      <c r="FS816"/>
      <c r="FT816"/>
      <c r="FU816"/>
      <c r="FV816"/>
      <c r="FW816"/>
      <c r="FX816"/>
      <c r="FY816"/>
      <c r="FZ816"/>
      <c r="GA816"/>
      <c r="GB816"/>
      <c r="GC816"/>
      <c r="GD816"/>
      <c r="GE816"/>
      <c r="GF816"/>
      <c r="GG816"/>
      <c r="GH816"/>
      <c r="GI816"/>
      <c r="GJ816"/>
      <c r="GK816"/>
      <c r="GL816"/>
      <c r="GM816"/>
      <c r="GN816"/>
      <c r="GO816"/>
      <c r="GP816"/>
      <c r="GQ816"/>
      <c r="GR816"/>
      <c r="GS816"/>
      <c r="GT816"/>
      <c r="GU816"/>
      <c r="GV816"/>
      <c r="GW816"/>
      <c r="GX816"/>
      <c r="GY816"/>
      <c r="GZ816"/>
      <c r="HA816"/>
      <c r="HB816"/>
      <c r="HC816"/>
      <c r="HD816"/>
      <c r="HE816"/>
      <c r="HF816"/>
      <c r="HG816"/>
      <c r="HH816"/>
      <c r="HI816"/>
      <c r="HJ816"/>
      <c r="HK816"/>
      <c r="HL816"/>
      <c r="HM816"/>
      <c r="HN816"/>
      <c r="HO816"/>
      <c r="HP816"/>
      <c r="HQ816"/>
      <c r="HR816"/>
      <c r="HS816"/>
      <c r="HT816"/>
      <c r="HU816"/>
      <c r="HV816"/>
      <c r="HW816"/>
      <c r="HX816"/>
      <c r="HY816"/>
      <c r="HZ816"/>
      <c r="IA816"/>
      <c r="IB816"/>
      <c r="IC816"/>
      <c r="ID816"/>
      <c r="IE816"/>
      <c r="IF816"/>
      <c r="IG816"/>
      <c r="IH816"/>
      <c r="II816"/>
      <c r="IJ816"/>
      <c r="IK816"/>
      <c r="IL816"/>
      <c r="IM816"/>
      <c r="IN816"/>
      <c r="IO816"/>
      <c r="IP816"/>
      <c r="IQ816"/>
      <c r="IR816"/>
      <c r="IS816"/>
      <c r="IT816"/>
      <c r="IU816"/>
      <c r="IV816"/>
      <c r="IW816"/>
      <c r="IX816"/>
      <c r="IY816"/>
      <c r="IZ816"/>
      <c r="JA816"/>
      <c r="JB816"/>
      <c r="JC816"/>
      <c r="JD816"/>
      <c r="JE816"/>
      <c r="JF816"/>
      <c r="JG816"/>
      <c r="JH816"/>
      <c r="JI816"/>
      <c r="JJ816"/>
      <c r="JK816"/>
      <c r="JL816"/>
      <c r="JM816"/>
      <c r="JN816"/>
      <c r="JO816"/>
      <c r="JP816"/>
      <c r="JQ816"/>
      <c r="JR816"/>
      <c r="JS816"/>
      <c r="JT816"/>
      <c r="JU816"/>
      <c r="JV816"/>
      <c r="JW816"/>
      <c r="JX816"/>
      <c r="JY816"/>
      <c r="JZ816"/>
      <c r="KA816"/>
      <c r="KB816"/>
      <c r="KC816"/>
      <c r="KD816"/>
      <c r="KE816"/>
      <c r="KF816"/>
      <c r="KG816"/>
      <c r="KH816"/>
      <c r="KI816"/>
      <c r="KJ816"/>
      <c r="KK816"/>
      <c r="KL816"/>
      <c r="KM816"/>
      <c r="KN816"/>
      <c r="KO816"/>
      <c r="KP816"/>
      <c r="KQ816"/>
      <c r="KR816"/>
      <c r="KS816"/>
      <c r="KT816"/>
      <c r="KU816"/>
      <c r="KV816"/>
      <c r="KW816"/>
      <c r="KX816"/>
      <c r="KY816"/>
      <c r="KZ816"/>
      <c r="LA816"/>
      <c r="LB816"/>
      <c r="LC816"/>
      <c r="LD816"/>
      <c r="LE816"/>
      <c r="LF816"/>
      <c r="LG816"/>
      <c r="LH816"/>
      <c r="LI816"/>
      <c r="LJ816"/>
      <c r="LK816"/>
      <c r="LL816"/>
      <c r="LM816"/>
      <c r="LN816"/>
      <c r="LO816"/>
      <c r="LP816"/>
      <c r="LQ816"/>
      <c r="LR816"/>
      <c r="LS816"/>
      <c r="LT816"/>
      <c r="LU816"/>
      <c r="LV816"/>
      <c r="LW816"/>
      <c r="LX816"/>
      <c r="LY816"/>
      <c r="LZ816"/>
      <c r="MA816"/>
      <c r="MB816"/>
      <c r="MC816"/>
      <c r="MD816"/>
      <c r="ME816"/>
      <c r="MF816"/>
      <c r="MG816"/>
      <c r="MH816"/>
      <c r="MI816"/>
      <c r="MJ816"/>
      <c r="MK816"/>
      <c r="ML816"/>
      <c r="MM816"/>
      <c r="MN816"/>
      <c r="MO816"/>
      <c r="MP816"/>
      <c r="MQ816"/>
      <c r="MR816"/>
      <c r="MS816"/>
      <c r="MT816"/>
      <c r="MU816"/>
      <c r="MV816"/>
      <c r="MW816"/>
      <c r="MX816"/>
      <c r="MY816"/>
      <c r="MZ816"/>
      <c r="NA816"/>
      <c r="NB816"/>
      <c r="NC816"/>
      <c r="ND816"/>
      <c r="NE816"/>
      <c r="NF816"/>
      <c r="NG816"/>
      <c r="NH816"/>
      <c r="NI816"/>
      <c r="NJ816"/>
      <c r="NK816"/>
      <c r="NL816"/>
      <c r="NM816"/>
      <c r="NN816"/>
      <c r="NO816"/>
      <c r="NP816"/>
      <c r="NQ816"/>
      <c r="NR816"/>
      <c r="NS816"/>
      <c r="NT816"/>
      <c r="NU816"/>
      <c r="NV816"/>
      <c r="NW816"/>
      <c r="NX816"/>
      <c r="NY816"/>
      <c r="NZ816"/>
      <c r="OA816"/>
      <c r="OB816"/>
      <c r="OC816"/>
      <c r="OD816"/>
      <c r="OE816"/>
      <c r="OF816"/>
      <c r="OG816"/>
      <c r="OH816"/>
      <c r="OI816"/>
      <c r="OJ816"/>
      <c r="OK816"/>
      <c r="OL816"/>
      <c r="OM816"/>
      <c r="ON816"/>
      <c r="OO816"/>
      <c r="OP816"/>
      <c r="OQ816"/>
      <c r="OR816"/>
      <c r="OS816"/>
      <c r="OT816"/>
      <c r="OU816"/>
      <c r="OV816"/>
      <c r="OW816"/>
      <c r="OX816"/>
      <c r="OY816"/>
      <c r="OZ816"/>
      <c r="PA816"/>
      <c r="PB816"/>
      <c r="PC816"/>
      <c r="PD816"/>
      <c r="PE816"/>
      <c r="PF816"/>
      <c r="PG816"/>
      <c r="PH816"/>
      <c r="PI816"/>
      <c r="PJ816"/>
      <c r="PK816"/>
      <c r="PL816"/>
      <c r="PM816"/>
      <c r="PN816"/>
      <c r="PO816"/>
      <c r="PP816"/>
      <c r="PQ816"/>
      <c r="PR816"/>
      <c r="PS816"/>
      <c r="PT816"/>
      <c r="PU816"/>
      <c r="PV816"/>
      <c r="PW816"/>
      <c r="PX816"/>
      <c r="PY816"/>
      <c r="PZ816"/>
      <c r="QA816"/>
      <c r="QB816"/>
      <c r="QC816"/>
      <c r="QD816"/>
      <c r="QE816"/>
      <c r="QF816"/>
      <c r="QG816"/>
      <c r="QH816"/>
      <c r="QI816"/>
      <c r="QJ816"/>
      <c r="QK816"/>
      <c r="QL816"/>
      <c r="QM816"/>
      <c r="QN816"/>
      <c r="QO816"/>
      <c r="QP816"/>
      <c r="QQ816"/>
      <c r="QR816"/>
      <c r="QS816"/>
      <c r="QT816"/>
      <c r="QU816"/>
      <c r="QV816"/>
      <c r="QW816"/>
      <c r="QX816"/>
      <c r="QY816"/>
      <c r="QZ816"/>
      <c r="RA816"/>
      <c r="RB816"/>
      <c r="RC816"/>
      <c r="RD816"/>
      <c r="RE816"/>
      <c r="RF816"/>
      <c r="RG816"/>
      <c r="RH816"/>
      <c r="RI816"/>
      <c r="RJ816"/>
      <c r="RK816"/>
      <c r="RL816"/>
      <c r="RM816"/>
      <c r="RN816"/>
      <c r="RO816"/>
      <c r="RP816"/>
      <c r="RQ816"/>
      <c r="RR816"/>
      <c r="RS816"/>
      <c r="RT816"/>
      <c r="RU816"/>
      <c r="RV816"/>
      <c r="RW816"/>
      <c r="RX816"/>
      <c r="RY816"/>
      <c r="RZ816"/>
      <c r="SA816"/>
      <c r="SB816"/>
      <c r="SC816"/>
      <c r="SD816"/>
      <c r="SE816"/>
      <c r="SF816"/>
      <c r="SG816"/>
      <c r="SH816"/>
      <c r="SI816"/>
      <c r="SJ816"/>
      <c r="SK816"/>
      <c r="SL816"/>
      <c r="SM816"/>
      <c r="SN816"/>
      <c r="SO816"/>
      <c r="SP816"/>
      <c r="SQ816"/>
      <c r="SR816"/>
      <c r="SS816"/>
      <c r="ST816"/>
      <c r="SU816"/>
      <c r="SV816"/>
      <c r="SW816"/>
      <c r="SX816"/>
      <c r="SY816"/>
      <c r="SZ816"/>
      <c r="TA816"/>
      <c r="TB816"/>
      <c r="TC816"/>
      <c r="TD816"/>
      <c r="TE816"/>
      <c r="TF816"/>
      <c r="TG816"/>
      <c r="TH816"/>
      <c r="TI816"/>
      <c r="TJ816"/>
      <c r="TK816"/>
      <c r="TL816"/>
      <c r="TM816"/>
      <c r="TN816"/>
      <c r="TO816"/>
      <c r="TP816"/>
      <c r="TQ816"/>
      <c r="TR816"/>
      <c r="TS816"/>
      <c r="TT816"/>
      <c r="TU816"/>
      <c r="TV816"/>
      <c r="TW816"/>
      <c r="TX816"/>
      <c r="TY816"/>
      <c r="TZ816"/>
      <c r="UA816"/>
      <c r="UB816"/>
      <c r="UC816"/>
      <c r="UD816"/>
      <c r="UE816"/>
      <c r="UF816"/>
      <c r="UG816"/>
      <c r="UH816"/>
      <c r="UI816"/>
      <c r="UJ816"/>
      <c r="UK816"/>
      <c r="UL816"/>
      <c r="UM816"/>
      <c r="UN816"/>
      <c r="UO816"/>
      <c r="UP816"/>
      <c r="UQ816"/>
      <c r="UR816"/>
      <c r="US816"/>
      <c r="UT816"/>
      <c r="UU816"/>
      <c r="UV816"/>
      <c r="UW816"/>
      <c r="UX816"/>
      <c r="UY816"/>
      <c r="UZ816"/>
      <c r="VA816"/>
      <c r="VB816"/>
      <c r="VC816"/>
      <c r="VD816"/>
      <c r="VE816"/>
      <c r="VF816"/>
      <c r="VG816"/>
      <c r="VH816"/>
      <c r="VI816"/>
      <c r="VJ816"/>
      <c r="VK816"/>
      <c r="VL816"/>
      <c r="VM816"/>
      <c r="VN816"/>
      <c r="VO816"/>
      <c r="VP816"/>
      <c r="VQ816"/>
      <c r="VR816"/>
      <c r="VS816"/>
      <c r="VT816"/>
      <c r="VU816"/>
      <c r="VV816"/>
      <c r="VW816"/>
      <c r="VX816"/>
      <c r="VY816"/>
      <c r="VZ816"/>
      <c r="WA816"/>
      <c r="WB816"/>
      <c r="WC816"/>
      <c r="WD816"/>
      <c r="WE816"/>
      <c r="WF816"/>
      <c r="WG816"/>
      <c r="WH816"/>
      <c r="WI816"/>
      <c r="WJ816"/>
      <c r="WK816"/>
      <c r="WL816"/>
      <c r="WM816"/>
      <c r="WN816"/>
      <c r="WO816"/>
      <c r="WP816"/>
      <c r="WQ816"/>
      <c r="WR816"/>
      <c r="WS816"/>
      <c r="WT816"/>
      <c r="WU816"/>
      <c r="WV816"/>
      <c r="WW816"/>
      <c r="WX816"/>
      <c r="WY816"/>
      <c r="WZ816"/>
      <c r="XA816"/>
      <c r="XB816"/>
      <c r="XC816"/>
      <c r="XD816"/>
      <c r="XE816"/>
      <c r="XF816"/>
      <c r="XG816"/>
      <c r="XH816"/>
      <c r="XI816"/>
      <c r="XJ816"/>
      <c r="XK816"/>
      <c r="XL816"/>
      <c r="XM816"/>
      <c r="XN816"/>
      <c r="XO816"/>
      <c r="XP816"/>
      <c r="XQ816"/>
      <c r="XR816"/>
      <c r="XS816"/>
      <c r="XT816"/>
      <c r="XU816"/>
      <c r="XV816"/>
      <c r="XW816"/>
      <c r="XX816"/>
      <c r="XY816"/>
      <c r="XZ816"/>
      <c r="YA816"/>
      <c r="YB816"/>
      <c r="YC816"/>
      <c r="YD816"/>
      <c r="YE816"/>
      <c r="YF816"/>
      <c r="YG816"/>
      <c r="YH816"/>
      <c r="YI816"/>
      <c r="YJ816"/>
      <c r="YK816"/>
      <c r="YL816"/>
      <c r="YM816"/>
      <c r="YN816"/>
      <c r="YO816"/>
      <c r="YP816"/>
      <c r="YQ816"/>
      <c r="YR816"/>
      <c r="YS816"/>
      <c r="YT816"/>
      <c r="YU816"/>
      <c r="YV816"/>
      <c r="YW816"/>
      <c r="YX816"/>
      <c r="YY816"/>
      <c r="YZ816"/>
      <c r="ZA816"/>
      <c r="ZB816"/>
      <c r="ZC816"/>
      <c r="ZD816"/>
      <c r="ZE816"/>
      <c r="ZF816"/>
      <c r="ZG816"/>
      <c r="ZH816"/>
      <c r="ZI816"/>
      <c r="ZJ816"/>
      <c r="ZK816"/>
      <c r="ZL816"/>
      <c r="ZM816"/>
      <c r="ZN816"/>
      <c r="ZO816"/>
      <c r="ZP816"/>
      <c r="ZQ816"/>
      <c r="ZR816"/>
      <c r="ZS816"/>
      <c r="ZT816"/>
      <c r="ZU816"/>
      <c r="ZV816"/>
      <c r="ZW816"/>
      <c r="ZX816"/>
      <c r="ZY816"/>
      <c r="ZZ816"/>
      <c r="AAA816"/>
      <c r="AAB816"/>
      <c r="AAC816"/>
      <c r="AAD816"/>
      <c r="AAE816"/>
      <c r="AAF816"/>
      <c r="AAG816"/>
      <c r="AAH816"/>
      <c r="AAI816"/>
      <c r="AAJ816"/>
      <c r="AAK816"/>
      <c r="AAL816"/>
      <c r="AAM816"/>
      <c r="AAN816"/>
      <c r="AAO816"/>
      <c r="AAP816"/>
      <c r="AAQ816"/>
      <c r="AAR816"/>
      <c r="AAS816"/>
      <c r="AAT816"/>
      <c r="AAU816"/>
      <c r="AAV816"/>
      <c r="AAW816"/>
      <c r="AAX816"/>
      <c r="AAY816"/>
      <c r="AAZ816"/>
      <c r="ABA816"/>
      <c r="ABB816"/>
      <c r="ABC816"/>
      <c r="ABD816"/>
      <c r="ABE816"/>
      <c r="ABF816"/>
      <c r="ABG816"/>
      <c r="ABH816"/>
      <c r="ABI816"/>
      <c r="ABJ816"/>
      <c r="ABK816"/>
      <c r="ABL816"/>
      <c r="ABM816"/>
      <c r="ABN816"/>
      <c r="ABO816"/>
      <c r="ABP816"/>
      <c r="ABQ816"/>
      <c r="ABR816"/>
      <c r="ABS816"/>
      <c r="ABT816"/>
      <c r="ABU816"/>
      <c r="ABV816"/>
      <c r="ABW816"/>
      <c r="ABX816"/>
      <c r="ABY816"/>
      <c r="ABZ816"/>
      <c r="ACA816"/>
      <c r="ACB816"/>
      <c r="ACC816"/>
      <c r="ACD816"/>
      <c r="ACE816"/>
      <c r="ACF816"/>
      <c r="ACG816"/>
      <c r="ACH816"/>
      <c r="ACI816"/>
      <c r="ACJ816"/>
      <c r="ACK816"/>
      <c r="ACL816"/>
      <c r="ACM816"/>
      <c r="ACN816"/>
      <c r="ACO816"/>
      <c r="ACP816"/>
      <c r="ACQ816"/>
      <c r="ACR816"/>
      <c r="ACS816"/>
      <c r="ACT816"/>
      <c r="ACU816"/>
      <c r="ACV816"/>
      <c r="ACW816"/>
      <c r="ACX816"/>
      <c r="ACY816"/>
      <c r="ACZ816"/>
      <c r="ADA816"/>
      <c r="ADB816"/>
      <c r="ADC816"/>
      <c r="ADD816"/>
      <c r="ADE816"/>
      <c r="ADF816"/>
      <c r="ADG816"/>
      <c r="ADH816"/>
      <c r="ADI816"/>
      <c r="ADJ816"/>
      <c r="ADK816"/>
      <c r="ADL816"/>
      <c r="ADM816"/>
      <c r="ADN816"/>
      <c r="ADO816"/>
      <c r="ADP816"/>
      <c r="ADQ816"/>
      <c r="ADR816"/>
      <c r="ADS816"/>
      <c r="ADT816"/>
      <c r="ADU816"/>
      <c r="ADV816"/>
      <c r="ADW816"/>
      <c r="ADX816"/>
      <c r="ADY816"/>
      <c r="ADZ816"/>
      <c r="AEA816"/>
      <c r="AEB816"/>
      <c r="AEC816"/>
      <c r="AED816"/>
      <c r="AEE816"/>
      <c r="AEF816"/>
      <c r="AEG816"/>
      <c r="AEH816"/>
      <c r="AEI816"/>
      <c r="AEJ816"/>
      <c r="AEK816"/>
      <c r="AEL816"/>
      <c r="AEM816"/>
      <c r="AEN816"/>
      <c r="AEO816"/>
      <c r="AEP816"/>
      <c r="AEQ816"/>
      <c r="AER816"/>
      <c r="AES816"/>
      <c r="AET816"/>
      <c r="AEU816"/>
      <c r="AEV816"/>
      <c r="AEW816"/>
      <c r="AEX816"/>
      <c r="AEY816"/>
      <c r="AEZ816"/>
      <c r="AFA816"/>
      <c r="AFB816"/>
      <c r="AFC816"/>
      <c r="AFD816"/>
      <c r="AFE816"/>
      <c r="AFF816"/>
      <c r="AFG816"/>
      <c r="AFH816"/>
      <c r="AFI816"/>
      <c r="AFJ816"/>
      <c r="AFK816"/>
      <c r="AFL816"/>
      <c r="AFM816"/>
      <c r="AFN816"/>
      <c r="AFO816"/>
      <c r="AFP816"/>
      <c r="AFQ816"/>
      <c r="AFR816"/>
      <c r="AFS816"/>
      <c r="AFT816"/>
      <c r="AFU816"/>
      <c r="AFV816"/>
      <c r="AFW816"/>
      <c r="AFX816"/>
      <c r="AFY816"/>
      <c r="AFZ816"/>
      <c r="AGA816"/>
      <c r="AGB816"/>
      <c r="AGC816"/>
      <c r="AGD816"/>
      <c r="AGE816"/>
      <c r="AGF816"/>
      <c r="AGG816"/>
      <c r="AGH816"/>
      <c r="AGI816"/>
      <c r="AGJ816"/>
      <c r="AGK816"/>
      <c r="AGL816"/>
      <c r="AGM816"/>
      <c r="AGN816"/>
      <c r="AGO816"/>
      <c r="AGP816"/>
      <c r="AGQ816"/>
      <c r="AGR816"/>
      <c r="AGS816"/>
      <c r="AGT816"/>
      <c r="AGU816"/>
      <c r="AGV816"/>
      <c r="AGW816"/>
      <c r="AGX816"/>
      <c r="AGY816"/>
      <c r="AGZ816"/>
      <c r="AHA816"/>
      <c r="AHB816"/>
      <c r="AHC816"/>
      <c r="AHD816"/>
      <c r="AHE816"/>
      <c r="AHF816"/>
      <c r="AHG816"/>
      <c r="AHH816"/>
      <c r="AHI816"/>
      <c r="AHJ816"/>
      <c r="AHK816"/>
      <c r="AHL816"/>
      <c r="AHM816"/>
      <c r="AHN816"/>
      <c r="AHO816"/>
      <c r="AHP816"/>
      <c r="AHQ816"/>
      <c r="AHR816"/>
      <c r="AHS816"/>
      <c r="AHT816"/>
      <c r="AHU816"/>
      <c r="AHV816"/>
      <c r="AHW816"/>
      <c r="AHX816"/>
      <c r="AHY816"/>
      <c r="AHZ816"/>
      <c r="AIA816"/>
      <c r="AIB816"/>
      <c r="AIC816"/>
      <c r="AID816"/>
      <c r="AIE816"/>
      <c r="AIF816"/>
      <c r="AIG816"/>
      <c r="AIH816"/>
      <c r="AII816"/>
      <c r="AIJ816"/>
      <c r="AIK816"/>
      <c r="AIL816"/>
      <c r="AIM816"/>
      <c r="AIN816"/>
      <c r="AIO816"/>
      <c r="AIP816"/>
      <c r="AIQ816"/>
      <c r="AIR816"/>
      <c r="AIS816"/>
      <c r="AIT816"/>
      <c r="AIU816"/>
      <c r="AIV816"/>
      <c r="AIW816"/>
      <c r="AIX816"/>
      <c r="AIY816"/>
      <c r="AIZ816"/>
      <c r="AJA816"/>
      <c r="AJB816"/>
      <c r="AJC816"/>
      <c r="AJD816"/>
      <c r="AJE816"/>
      <c r="AJF816"/>
      <c r="AJG816"/>
      <c r="AJH816"/>
      <c r="AJI816"/>
      <c r="AJJ816"/>
      <c r="AJK816"/>
      <c r="AJL816"/>
      <c r="AJM816"/>
      <c r="AJN816"/>
      <c r="AJO816"/>
      <c r="AJP816"/>
      <c r="AJQ816"/>
      <c r="AJR816"/>
      <c r="AJS816"/>
      <c r="AJT816"/>
      <c r="AJU816"/>
      <c r="AJV816"/>
      <c r="AJW816"/>
      <c r="AJX816"/>
      <c r="AJY816"/>
      <c r="AJZ816"/>
      <c r="AKA816"/>
      <c r="AKB816"/>
      <c r="AKC816"/>
      <c r="AKD816"/>
      <c r="AKE816"/>
      <c r="AKF816"/>
      <c r="AKG816"/>
      <c r="AKH816"/>
      <c r="AKI816"/>
      <c r="AKJ816"/>
      <c r="AKK816"/>
      <c r="AKL816"/>
      <c r="AKM816"/>
      <c r="AKN816"/>
      <c r="AKO816"/>
      <c r="AKP816"/>
      <c r="AKQ816"/>
      <c r="AKR816"/>
      <c r="AKS816"/>
      <c r="AKT816"/>
      <c r="AKU816"/>
      <c r="AKV816"/>
      <c r="AKW816"/>
      <c r="AKX816"/>
      <c r="AKY816"/>
      <c r="AKZ816"/>
      <c r="ALA816"/>
      <c r="ALB816"/>
      <c r="ALC816"/>
      <c r="ALD816"/>
      <c r="ALE816"/>
      <c r="ALF816"/>
      <c r="ALG816"/>
      <c r="ALH816"/>
      <c r="ALI816"/>
      <c r="ALJ816"/>
      <c r="ALK816"/>
      <c r="ALL816"/>
      <c r="ALM816"/>
      <c r="ALN816"/>
      <c r="ALO816"/>
      <c r="ALP816"/>
      <c r="ALQ816"/>
      <c r="ALR816"/>
      <c r="ALS816"/>
      <c r="ALT816"/>
    </row>
    <row r="817" spans="1:1008" ht="14">
      <c r="A817" s="25" t="s">
        <v>2829</v>
      </c>
      <c r="B817" s="26" t="s">
        <v>2824</v>
      </c>
      <c r="C817" s="25" t="str">
        <f t="shared" si="12"/>
        <v>metal</v>
      </c>
      <c r="D817" s="27" t="s">
        <v>13</v>
      </c>
      <c r="E817" s="25" t="s">
        <v>2830</v>
      </c>
      <c r="F817" s="25" t="s">
        <v>2831</v>
      </c>
      <c r="G817" s="25">
        <v>500</v>
      </c>
      <c r="H817" s="28"/>
      <c r="I817"/>
      <c r="J817"/>
      <c r="K817"/>
      <c r="L817"/>
      <c r="M817"/>
      <c r="N817"/>
      <c r="O817"/>
      <c r="P817"/>
      <c r="Q817"/>
      <c r="R817"/>
      <c r="S817"/>
      <c r="T817"/>
      <c r="U817"/>
      <c r="V817"/>
      <c r="W817"/>
      <c r="X817"/>
      <c r="Y817"/>
      <c r="Z817"/>
      <c r="AA817"/>
      <c r="AB817"/>
      <c r="AC817"/>
      <c r="AD817"/>
      <c r="AE817"/>
      <c r="AF817"/>
      <c r="AG817"/>
      <c r="AH817"/>
      <c r="AI817"/>
      <c r="AJ817"/>
      <c r="AK817"/>
      <c r="AL817"/>
      <c r="AM817"/>
      <c r="AN817"/>
      <c r="AO817"/>
      <c r="AP817"/>
      <c r="AQ817"/>
      <c r="AR817"/>
      <c r="AS817"/>
      <c r="AT817"/>
      <c r="AU817"/>
      <c r="AV817"/>
      <c r="AW817"/>
      <c r="AX817"/>
      <c r="AY817"/>
      <c r="AZ817"/>
      <c r="BA817"/>
      <c r="BB817"/>
      <c r="BC817"/>
      <c r="BD817"/>
      <c r="BE817"/>
      <c r="BF817"/>
      <c r="BG817"/>
      <c r="BH817"/>
      <c r="BI817"/>
      <c r="BJ817"/>
      <c r="BK817"/>
      <c r="BL817"/>
      <c r="BM817"/>
      <c r="BN817"/>
      <c r="BO817"/>
      <c r="BP817"/>
      <c r="BQ817"/>
      <c r="BR817"/>
      <c r="BS817"/>
      <c r="BT817"/>
      <c r="BU817"/>
      <c r="BV817"/>
      <c r="BW817"/>
      <c r="BX817"/>
      <c r="BY817"/>
      <c r="BZ817"/>
      <c r="CA817"/>
      <c r="CB817"/>
      <c r="CC817"/>
      <c r="CD817"/>
      <c r="CE817"/>
      <c r="CF817"/>
      <c r="CG817"/>
      <c r="CH817"/>
      <c r="CI817"/>
      <c r="CJ817"/>
      <c r="CK817"/>
      <c r="CL817"/>
      <c r="CM817"/>
      <c r="CN817"/>
      <c r="CO817"/>
      <c r="CP817"/>
      <c r="CQ817"/>
      <c r="CR817"/>
      <c r="CS817"/>
      <c r="CT817"/>
      <c r="CU817"/>
      <c r="CV817"/>
      <c r="CW817"/>
      <c r="CX817"/>
      <c r="CY817"/>
      <c r="CZ817"/>
      <c r="DA817"/>
      <c r="DB817"/>
      <c r="DC817"/>
      <c r="DD817"/>
      <c r="DE817"/>
      <c r="DF817"/>
      <c r="DG817"/>
      <c r="DH817"/>
      <c r="DI817"/>
      <c r="DJ817"/>
      <c r="DK817"/>
      <c r="DL817"/>
      <c r="DM817"/>
      <c r="DN817"/>
      <c r="DO817"/>
      <c r="DP817"/>
      <c r="DQ817"/>
      <c r="DR817"/>
      <c r="DS817"/>
      <c r="DT817"/>
      <c r="DU817"/>
      <c r="DV817"/>
      <c r="DW817"/>
      <c r="DX817"/>
      <c r="DY817"/>
      <c r="DZ817"/>
      <c r="EA817"/>
      <c r="EB817"/>
      <c r="EC817"/>
      <c r="ED817"/>
      <c r="EE817"/>
      <c r="EF817"/>
      <c r="EG817"/>
      <c r="EH817"/>
      <c r="EI817"/>
      <c r="EJ817"/>
      <c r="EK817"/>
      <c r="EL817"/>
      <c r="EM817"/>
      <c r="EN817"/>
      <c r="EO817"/>
      <c r="EP817"/>
      <c r="EQ817"/>
      <c r="ER817"/>
      <c r="ES817"/>
      <c r="ET817"/>
      <c r="EU817"/>
      <c r="EV817"/>
      <c r="EW817"/>
      <c r="EX817"/>
      <c r="EY817"/>
      <c r="EZ817"/>
      <c r="FA817"/>
      <c r="FB817"/>
      <c r="FC817"/>
      <c r="FD817"/>
      <c r="FE817"/>
      <c r="FF817"/>
      <c r="FG817"/>
      <c r="FH817"/>
      <c r="FI817"/>
      <c r="FJ817"/>
      <c r="FK817"/>
      <c r="FL817"/>
      <c r="FM817"/>
      <c r="FN817"/>
      <c r="FO817"/>
      <c r="FP817"/>
      <c r="FQ817"/>
      <c r="FR817"/>
      <c r="FS817"/>
      <c r="FT817"/>
      <c r="FU817"/>
      <c r="FV817"/>
      <c r="FW817"/>
      <c r="FX817"/>
      <c r="FY817"/>
      <c r="FZ817"/>
      <c r="GA817"/>
      <c r="GB817"/>
      <c r="GC817"/>
      <c r="GD817"/>
      <c r="GE817"/>
      <c r="GF817"/>
      <c r="GG817"/>
      <c r="GH817"/>
      <c r="GI817"/>
      <c r="GJ817"/>
      <c r="GK817"/>
      <c r="GL817"/>
      <c r="GM817"/>
      <c r="GN817"/>
      <c r="GO817"/>
      <c r="GP817"/>
      <c r="GQ817"/>
      <c r="GR817"/>
      <c r="GS817"/>
      <c r="GT817"/>
      <c r="GU817"/>
      <c r="GV817"/>
      <c r="GW817"/>
      <c r="GX817"/>
      <c r="GY817"/>
      <c r="GZ817"/>
      <c r="HA817"/>
      <c r="HB817"/>
      <c r="HC817"/>
      <c r="HD817"/>
      <c r="HE817"/>
      <c r="HF817"/>
      <c r="HG817"/>
      <c r="HH817"/>
      <c r="HI817"/>
      <c r="HJ817"/>
      <c r="HK817"/>
      <c r="HL817"/>
      <c r="HM817"/>
      <c r="HN817"/>
      <c r="HO817"/>
      <c r="HP817"/>
      <c r="HQ817"/>
      <c r="HR817"/>
      <c r="HS817"/>
      <c r="HT817"/>
      <c r="HU817"/>
      <c r="HV817"/>
      <c r="HW817"/>
      <c r="HX817"/>
      <c r="HY817"/>
      <c r="HZ817"/>
      <c r="IA817"/>
      <c r="IB817"/>
      <c r="IC817"/>
      <c r="ID817"/>
      <c r="IE817"/>
      <c r="IF817"/>
      <c r="IG817"/>
      <c r="IH817"/>
      <c r="II817"/>
      <c r="IJ817"/>
      <c r="IK817"/>
      <c r="IL817"/>
      <c r="IM817"/>
      <c r="IN817"/>
      <c r="IO817"/>
      <c r="IP817"/>
      <c r="IQ817"/>
      <c r="IR817"/>
      <c r="IS817"/>
      <c r="IT817"/>
      <c r="IU817"/>
      <c r="IV817"/>
      <c r="IW817"/>
      <c r="IX817"/>
      <c r="IY817"/>
      <c r="IZ817"/>
      <c r="JA817"/>
      <c r="JB817"/>
      <c r="JC817"/>
      <c r="JD817"/>
      <c r="JE817"/>
      <c r="JF817"/>
      <c r="JG817"/>
      <c r="JH817"/>
      <c r="JI817"/>
      <c r="JJ817"/>
      <c r="JK817"/>
      <c r="JL817"/>
      <c r="JM817"/>
      <c r="JN817"/>
      <c r="JO817"/>
      <c r="JP817"/>
      <c r="JQ817"/>
      <c r="JR817"/>
      <c r="JS817"/>
      <c r="JT817"/>
      <c r="JU817"/>
      <c r="JV817"/>
      <c r="JW817"/>
      <c r="JX817"/>
      <c r="JY817"/>
      <c r="JZ817"/>
      <c r="KA817"/>
      <c r="KB817"/>
      <c r="KC817"/>
      <c r="KD817"/>
      <c r="KE817"/>
      <c r="KF817"/>
      <c r="KG817"/>
      <c r="KH817"/>
      <c r="KI817"/>
      <c r="KJ817"/>
      <c r="KK817"/>
      <c r="KL817"/>
      <c r="KM817"/>
      <c r="KN817"/>
      <c r="KO817"/>
      <c r="KP817"/>
      <c r="KQ817"/>
      <c r="KR817"/>
      <c r="KS817"/>
      <c r="KT817"/>
      <c r="KU817"/>
      <c r="KV817"/>
      <c r="KW817"/>
      <c r="KX817"/>
      <c r="KY817"/>
      <c r="KZ817"/>
      <c r="LA817"/>
      <c r="LB817"/>
      <c r="LC817"/>
      <c r="LD817"/>
      <c r="LE817"/>
      <c r="LF817"/>
      <c r="LG817"/>
      <c r="LH817"/>
      <c r="LI817"/>
      <c r="LJ817"/>
      <c r="LK817"/>
      <c r="LL817"/>
      <c r="LM817"/>
      <c r="LN817"/>
      <c r="LO817"/>
      <c r="LP817"/>
      <c r="LQ817"/>
      <c r="LR817"/>
      <c r="LS817"/>
      <c r="LT817"/>
      <c r="LU817"/>
      <c r="LV817"/>
      <c r="LW817"/>
      <c r="LX817"/>
      <c r="LY817"/>
      <c r="LZ817"/>
      <c r="MA817"/>
      <c r="MB817"/>
      <c r="MC817"/>
      <c r="MD817"/>
      <c r="ME817"/>
      <c r="MF817"/>
      <c r="MG817"/>
      <c r="MH817"/>
      <c r="MI817"/>
      <c r="MJ817"/>
      <c r="MK817"/>
      <c r="ML817"/>
      <c r="MM817"/>
      <c r="MN817"/>
      <c r="MO817"/>
      <c r="MP817"/>
      <c r="MQ817"/>
      <c r="MR817"/>
      <c r="MS817"/>
      <c r="MT817"/>
      <c r="MU817"/>
      <c r="MV817"/>
      <c r="MW817"/>
      <c r="MX817"/>
      <c r="MY817"/>
      <c r="MZ817"/>
      <c r="NA817"/>
      <c r="NB817"/>
      <c r="NC817"/>
      <c r="ND817"/>
      <c r="NE817"/>
      <c r="NF817"/>
      <c r="NG817"/>
      <c r="NH817"/>
      <c r="NI817"/>
      <c r="NJ817"/>
      <c r="NK817"/>
      <c r="NL817"/>
      <c r="NM817"/>
      <c r="NN817"/>
      <c r="NO817"/>
      <c r="NP817"/>
      <c r="NQ817"/>
      <c r="NR817"/>
      <c r="NS817"/>
      <c r="NT817"/>
      <c r="NU817"/>
      <c r="NV817"/>
      <c r="NW817"/>
      <c r="NX817"/>
      <c r="NY817"/>
      <c r="NZ817"/>
      <c r="OA817"/>
      <c r="OB817"/>
      <c r="OC817"/>
      <c r="OD817"/>
      <c r="OE817"/>
      <c r="OF817"/>
      <c r="OG817"/>
      <c r="OH817"/>
      <c r="OI817"/>
      <c r="OJ817"/>
      <c r="OK817"/>
      <c r="OL817"/>
      <c r="OM817"/>
      <c r="ON817"/>
      <c r="OO817"/>
      <c r="OP817"/>
      <c r="OQ817"/>
      <c r="OR817"/>
      <c r="OS817"/>
      <c r="OT817"/>
      <c r="OU817"/>
      <c r="OV817"/>
      <c r="OW817"/>
      <c r="OX817"/>
      <c r="OY817"/>
      <c r="OZ817"/>
      <c r="PA817"/>
      <c r="PB817"/>
      <c r="PC817"/>
      <c r="PD817"/>
      <c r="PE817"/>
      <c r="PF817"/>
      <c r="PG817"/>
      <c r="PH817"/>
      <c r="PI817"/>
      <c r="PJ817"/>
      <c r="PK817"/>
      <c r="PL817"/>
      <c r="PM817"/>
      <c r="PN817"/>
      <c r="PO817"/>
      <c r="PP817"/>
      <c r="PQ817"/>
      <c r="PR817"/>
      <c r="PS817"/>
      <c r="PT817"/>
      <c r="PU817"/>
      <c r="PV817"/>
      <c r="PW817"/>
      <c r="PX817"/>
      <c r="PY817"/>
      <c r="PZ817"/>
      <c r="QA817"/>
      <c r="QB817"/>
      <c r="QC817"/>
      <c r="QD817"/>
      <c r="QE817"/>
      <c r="QF817"/>
      <c r="QG817"/>
      <c r="QH817"/>
      <c r="QI817"/>
      <c r="QJ817"/>
      <c r="QK817"/>
      <c r="QL817"/>
      <c r="QM817"/>
      <c r="QN817"/>
      <c r="QO817"/>
      <c r="QP817"/>
      <c r="QQ817"/>
      <c r="QR817"/>
      <c r="QS817"/>
      <c r="QT817"/>
      <c r="QU817"/>
      <c r="QV817"/>
      <c r="QW817"/>
      <c r="QX817"/>
      <c r="QY817"/>
      <c r="QZ817"/>
      <c r="RA817"/>
      <c r="RB817"/>
      <c r="RC817"/>
      <c r="RD817"/>
      <c r="RE817"/>
      <c r="RF817"/>
      <c r="RG817"/>
      <c r="RH817"/>
      <c r="RI817"/>
      <c r="RJ817"/>
      <c r="RK817"/>
      <c r="RL817"/>
      <c r="RM817"/>
      <c r="RN817"/>
      <c r="RO817"/>
      <c r="RP817"/>
      <c r="RQ817"/>
      <c r="RR817"/>
      <c r="RS817"/>
      <c r="RT817"/>
      <c r="RU817"/>
      <c r="RV817"/>
      <c r="RW817"/>
      <c r="RX817"/>
      <c r="RY817"/>
      <c r="RZ817"/>
      <c r="SA817"/>
      <c r="SB817"/>
      <c r="SC817"/>
      <c r="SD817"/>
      <c r="SE817"/>
      <c r="SF817"/>
      <c r="SG817"/>
      <c r="SH817"/>
      <c r="SI817"/>
      <c r="SJ817"/>
      <c r="SK817"/>
      <c r="SL817"/>
      <c r="SM817"/>
      <c r="SN817"/>
      <c r="SO817"/>
      <c r="SP817"/>
      <c r="SQ817"/>
      <c r="SR817"/>
      <c r="SS817"/>
      <c r="ST817"/>
      <c r="SU817"/>
      <c r="SV817"/>
      <c r="SW817"/>
      <c r="SX817"/>
      <c r="SY817"/>
      <c r="SZ817"/>
      <c r="TA817"/>
      <c r="TB817"/>
      <c r="TC817"/>
      <c r="TD817"/>
      <c r="TE817"/>
      <c r="TF817"/>
      <c r="TG817"/>
      <c r="TH817"/>
      <c r="TI817"/>
      <c r="TJ817"/>
      <c r="TK817"/>
      <c r="TL817"/>
      <c r="TM817"/>
      <c r="TN817"/>
      <c r="TO817"/>
      <c r="TP817"/>
      <c r="TQ817"/>
      <c r="TR817"/>
      <c r="TS817"/>
      <c r="TT817"/>
      <c r="TU817"/>
      <c r="TV817"/>
      <c r="TW817"/>
      <c r="TX817"/>
      <c r="TY817"/>
      <c r="TZ817"/>
      <c r="UA817"/>
      <c r="UB817"/>
      <c r="UC817"/>
      <c r="UD817"/>
      <c r="UE817"/>
      <c r="UF817"/>
      <c r="UG817"/>
      <c r="UH817"/>
      <c r="UI817"/>
      <c r="UJ817"/>
      <c r="UK817"/>
      <c r="UL817"/>
      <c r="UM817"/>
      <c r="UN817"/>
      <c r="UO817"/>
      <c r="UP817"/>
      <c r="UQ817"/>
      <c r="UR817"/>
      <c r="US817"/>
      <c r="UT817"/>
      <c r="UU817"/>
      <c r="UV817"/>
      <c r="UW817"/>
      <c r="UX817"/>
      <c r="UY817"/>
      <c r="UZ817"/>
      <c r="VA817"/>
      <c r="VB817"/>
      <c r="VC817"/>
      <c r="VD817"/>
      <c r="VE817"/>
      <c r="VF817"/>
      <c r="VG817"/>
      <c r="VH817"/>
      <c r="VI817"/>
      <c r="VJ817"/>
      <c r="VK817"/>
      <c r="VL817"/>
      <c r="VM817"/>
      <c r="VN817"/>
      <c r="VO817"/>
      <c r="VP817"/>
      <c r="VQ817"/>
      <c r="VR817"/>
      <c r="VS817"/>
      <c r="VT817"/>
      <c r="VU817"/>
      <c r="VV817"/>
      <c r="VW817"/>
      <c r="VX817"/>
      <c r="VY817"/>
      <c r="VZ817"/>
      <c r="WA817"/>
      <c r="WB817"/>
      <c r="WC817"/>
      <c r="WD817"/>
      <c r="WE817"/>
      <c r="WF817"/>
      <c r="WG817"/>
      <c r="WH817"/>
      <c r="WI817"/>
      <c r="WJ817"/>
      <c r="WK817"/>
      <c r="WL817"/>
      <c r="WM817"/>
      <c r="WN817"/>
      <c r="WO817"/>
      <c r="WP817"/>
      <c r="WQ817"/>
      <c r="WR817"/>
      <c r="WS817"/>
      <c r="WT817"/>
      <c r="WU817"/>
      <c r="WV817"/>
      <c r="WW817"/>
      <c r="WX817"/>
      <c r="WY817"/>
      <c r="WZ817"/>
      <c r="XA817"/>
      <c r="XB817"/>
      <c r="XC817"/>
      <c r="XD817"/>
      <c r="XE817"/>
      <c r="XF817"/>
      <c r="XG817"/>
      <c r="XH817"/>
      <c r="XI817"/>
      <c r="XJ817"/>
      <c r="XK817"/>
      <c r="XL817"/>
      <c r="XM817"/>
      <c r="XN817"/>
      <c r="XO817"/>
      <c r="XP817"/>
      <c r="XQ817"/>
      <c r="XR817"/>
      <c r="XS817"/>
      <c r="XT817"/>
      <c r="XU817"/>
      <c r="XV817"/>
      <c r="XW817"/>
      <c r="XX817"/>
      <c r="XY817"/>
      <c r="XZ817"/>
      <c r="YA817"/>
      <c r="YB817"/>
      <c r="YC817"/>
      <c r="YD817"/>
      <c r="YE817"/>
      <c r="YF817"/>
      <c r="YG817"/>
      <c r="YH817"/>
      <c r="YI817"/>
      <c r="YJ817"/>
      <c r="YK817"/>
      <c r="YL817"/>
      <c r="YM817"/>
      <c r="YN817"/>
      <c r="YO817"/>
      <c r="YP817"/>
      <c r="YQ817"/>
      <c r="YR817"/>
      <c r="YS817"/>
      <c r="YT817"/>
      <c r="YU817"/>
      <c r="YV817"/>
      <c r="YW817"/>
      <c r="YX817"/>
      <c r="YY817"/>
      <c r="YZ817"/>
      <c r="ZA817"/>
      <c r="ZB817"/>
      <c r="ZC817"/>
      <c r="ZD817"/>
      <c r="ZE817"/>
      <c r="ZF817"/>
      <c r="ZG817"/>
      <c r="ZH817"/>
      <c r="ZI817"/>
      <c r="ZJ817"/>
      <c r="ZK817"/>
      <c r="ZL817"/>
      <c r="ZM817"/>
      <c r="ZN817"/>
      <c r="ZO817"/>
      <c r="ZP817"/>
      <c r="ZQ817"/>
      <c r="ZR817"/>
      <c r="ZS817"/>
      <c r="ZT817"/>
      <c r="ZU817"/>
      <c r="ZV817"/>
      <c r="ZW817"/>
      <c r="ZX817"/>
      <c r="ZY817"/>
      <c r="ZZ817"/>
      <c r="AAA817"/>
      <c r="AAB817"/>
      <c r="AAC817"/>
      <c r="AAD817"/>
      <c r="AAE817"/>
      <c r="AAF817"/>
      <c r="AAG817"/>
      <c r="AAH817"/>
      <c r="AAI817"/>
      <c r="AAJ817"/>
      <c r="AAK817"/>
      <c r="AAL817"/>
      <c r="AAM817"/>
      <c r="AAN817"/>
      <c r="AAO817"/>
      <c r="AAP817"/>
      <c r="AAQ817"/>
      <c r="AAR817"/>
      <c r="AAS817"/>
      <c r="AAT817"/>
      <c r="AAU817"/>
      <c r="AAV817"/>
      <c r="AAW817"/>
      <c r="AAX817"/>
      <c r="AAY817"/>
      <c r="AAZ817"/>
      <c r="ABA817"/>
      <c r="ABB817"/>
      <c r="ABC817"/>
      <c r="ABD817"/>
      <c r="ABE817"/>
      <c r="ABF817"/>
      <c r="ABG817"/>
      <c r="ABH817"/>
      <c r="ABI817"/>
      <c r="ABJ817"/>
      <c r="ABK817"/>
      <c r="ABL817"/>
      <c r="ABM817"/>
      <c r="ABN817"/>
      <c r="ABO817"/>
      <c r="ABP817"/>
      <c r="ABQ817"/>
      <c r="ABR817"/>
      <c r="ABS817"/>
      <c r="ABT817"/>
      <c r="ABU817"/>
      <c r="ABV817"/>
      <c r="ABW817"/>
      <c r="ABX817"/>
      <c r="ABY817"/>
      <c r="ABZ817"/>
      <c r="ACA817"/>
      <c r="ACB817"/>
      <c r="ACC817"/>
      <c r="ACD817"/>
      <c r="ACE817"/>
      <c r="ACF817"/>
      <c r="ACG817"/>
      <c r="ACH817"/>
      <c r="ACI817"/>
      <c r="ACJ817"/>
      <c r="ACK817"/>
      <c r="ACL817"/>
      <c r="ACM817"/>
      <c r="ACN817"/>
      <c r="ACO817"/>
      <c r="ACP817"/>
      <c r="ACQ817"/>
      <c r="ACR817"/>
      <c r="ACS817"/>
      <c r="ACT817"/>
      <c r="ACU817"/>
      <c r="ACV817"/>
      <c r="ACW817"/>
      <c r="ACX817"/>
      <c r="ACY817"/>
      <c r="ACZ817"/>
      <c r="ADA817"/>
      <c r="ADB817"/>
      <c r="ADC817"/>
      <c r="ADD817"/>
      <c r="ADE817"/>
      <c r="ADF817"/>
      <c r="ADG817"/>
      <c r="ADH817"/>
      <c r="ADI817"/>
      <c r="ADJ817"/>
      <c r="ADK817"/>
      <c r="ADL817"/>
      <c r="ADM817"/>
      <c r="ADN817"/>
      <c r="ADO817"/>
      <c r="ADP817"/>
      <c r="ADQ817"/>
      <c r="ADR817"/>
      <c r="ADS817"/>
      <c r="ADT817"/>
      <c r="ADU817"/>
      <c r="ADV817"/>
      <c r="ADW817"/>
      <c r="ADX817"/>
      <c r="ADY817"/>
      <c r="ADZ817"/>
      <c r="AEA817"/>
      <c r="AEB817"/>
      <c r="AEC817"/>
      <c r="AED817"/>
      <c r="AEE817"/>
      <c r="AEF817"/>
      <c r="AEG817"/>
      <c r="AEH817"/>
      <c r="AEI817"/>
      <c r="AEJ817"/>
      <c r="AEK817"/>
      <c r="AEL817"/>
      <c r="AEM817"/>
      <c r="AEN817"/>
      <c r="AEO817"/>
      <c r="AEP817"/>
      <c r="AEQ817"/>
      <c r="AER817"/>
      <c r="AES817"/>
      <c r="AET817"/>
      <c r="AEU817"/>
      <c r="AEV817"/>
      <c r="AEW817"/>
      <c r="AEX817"/>
      <c r="AEY817"/>
      <c r="AEZ817"/>
      <c r="AFA817"/>
      <c r="AFB817"/>
      <c r="AFC817"/>
      <c r="AFD817"/>
      <c r="AFE817"/>
      <c r="AFF817"/>
      <c r="AFG817"/>
      <c r="AFH817"/>
      <c r="AFI817"/>
      <c r="AFJ817"/>
      <c r="AFK817"/>
      <c r="AFL817"/>
      <c r="AFM817"/>
      <c r="AFN817"/>
      <c r="AFO817"/>
      <c r="AFP817"/>
      <c r="AFQ817"/>
      <c r="AFR817"/>
      <c r="AFS817"/>
      <c r="AFT817"/>
      <c r="AFU817"/>
      <c r="AFV817"/>
      <c r="AFW817"/>
      <c r="AFX817"/>
      <c r="AFY817"/>
      <c r="AFZ817"/>
      <c r="AGA817"/>
      <c r="AGB817"/>
      <c r="AGC817"/>
      <c r="AGD817"/>
      <c r="AGE817"/>
      <c r="AGF817"/>
      <c r="AGG817"/>
      <c r="AGH817"/>
      <c r="AGI817"/>
      <c r="AGJ817"/>
      <c r="AGK817"/>
      <c r="AGL817"/>
      <c r="AGM817"/>
      <c r="AGN817"/>
      <c r="AGO817"/>
      <c r="AGP817"/>
      <c r="AGQ817"/>
      <c r="AGR817"/>
      <c r="AGS817"/>
      <c r="AGT817"/>
      <c r="AGU817"/>
      <c r="AGV817"/>
      <c r="AGW817"/>
      <c r="AGX817"/>
      <c r="AGY817"/>
      <c r="AGZ817"/>
      <c r="AHA817"/>
      <c r="AHB817"/>
      <c r="AHC817"/>
      <c r="AHD817"/>
      <c r="AHE817"/>
      <c r="AHF817"/>
      <c r="AHG817"/>
      <c r="AHH817"/>
      <c r="AHI817"/>
      <c r="AHJ817"/>
      <c r="AHK817"/>
      <c r="AHL817"/>
      <c r="AHM817"/>
      <c r="AHN817"/>
      <c r="AHO817"/>
      <c r="AHP817"/>
      <c r="AHQ817"/>
      <c r="AHR817"/>
      <c r="AHS817"/>
      <c r="AHT817"/>
      <c r="AHU817"/>
      <c r="AHV817"/>
      <c r="AHW817"/>
      <c r="AHX817"/>
      <c r="AHY817"/>
      <c r="AHZ817"/>
      <c r="AIA817"/>
      <c r="AIB817"/>
      <c r="AIC817"/>
      <c r="AID817"/>
      <c r="AIE817"/>
      <c r="AIF817"/>
      <c r="AIG817"/>
      <c r="AIH817"/>
      <c r="AII817"/>
      <c r="AIJ817"/>
      <c r="AIK817"/>
      <c r="AIL817"/>
      <c r="AIM817"/>
      <c r="AIN817"/>
      <c r="AIO817"/>
      <c r="AIP817"/>
      <c r="AIQ817"/>
      <c r="AIR817"/>
      <c r="AIS817"/>
      <c r="AIT817"/>
      <c r="AIU817"/>
      <c r="AIV817"/>
      <c r="AIW817"/>
      <c r="AIX817"/>
      <c r="AIY817"/>
      <c r="AIZ817"/>
      <c r="AJA817"/>
      <c r="AJB817"/>
      <c r="AJC817"/>
      <c r="AJD817"/>
      <c r="AJE817"/>
      <c r="AJF817"/>
      <c r="AJG817"/>
      <c r="AJH817"/>
      <c r="AJI817"/>
      <c r="AJJ817"/>
      <c r="AJK817"/>
      <c r="AJL817"/>
      <c r="AJM817"/>
      <c r="AJN817"/>
      <c r="AJO817"/>
      <c r="AJP817"/>
      <c r="AJQ817"/>
      <c r="AJR817"/>
      <c r="AJS817"/>
      <c r="AJT817"/>
      <c r="AJU817"/>
      <c r="AJV817"/>
      <c r="AJW817"/>
      <c r="AJX817"/>
      <c r="AJY817"/>
      <c r="AJZ817"/>
      <c r="AKA817"/>
      <c r="AKB817"/>
      <c r="AKC817"/>
      <c r="AKD817"/>
      <c r="AKE817"/>
      <c r="AKF817"/>
      <c r="AKG817"/>
      <c r="AKH817"/>
      <c r="AKI817"/>
      <c r="AKJ817"/>
      <c r="AKK817"/>
      <c r="AKL817"/>
      <c r="AKM817"/>
      <c r="AKN817"/>
      <c r="AKO817"/>
      <c r="AKP817"/>
      <c r="AKQ817"/>
      <c r="AKR817"/>
      <c r="AKS817"/>
      <c r="AKT817"/>
      <c r="AKU817"/>
      <c r="AKV817"/>
      <c r="AKW817"/>
      <c r="AKX817"/>
      <c r="AKY817"/>
      <c r="AKZ817"/>
      <c r="ALA817"/>
      <c r="ALB817"/>
      <c r="ALC817"/>
      <c r="ALD817"/>
      <c r="ALE817"/>
      <c r="ALF817"/>
      <c r="ALG817"/>
      <c r="ALH817"/>
      <c r="ALI817"/>
      <c r="ALJ817"/>
      <c r="ALK817"/>
      <c r="ALL817"/>
      <c r="ALM817"/>
      <c r="ALN817"/>
      <c r="ALO817"/>
      <c r="ALP817"/>
      <c r="ALQ817"/>
      <c r="ALR817"/>
      <c r="ALS817"/>
      <c r="ALT817"/>
    </row>
    <row r="818" spans="1:1008" ht="14">
      <c r="A818" s="25" t="s">
        <v>2834</v>
      </c>
      <c r="B818" s="26" t="s">
        <v>2824</v>
      </c>
      <c r="C818" s="25" t="str">
        <f t="shared" si="12"/>
        <v>ionchromatography</v>
      </c>
      <c r="D818" s="27" t="s">
        <v>13</v>
      </c>
      <c r="E818" s="25" t="s">
        <v>2832</v>
      </c>
      <c r="F818" s="25" t="s">
        <v>2833</v>
      </c>
      <c r="G818" s="25">
        <v>500</v>
      </c>
      <c r="H818" s="25"/>
    </row>
    <row r="819" spans="1:1008" ht="14">
      <c r="A819" s="25" t="s">
        <v>2198</v>
      </c>
      <c r="B819" s="26" t="s">
        <v>148</v>
      </c>
      <c r="C819" s="25" t="str">
        <f t="shared" si="12"/>
        <v>directlfq</v>
      </c>
      <c r="D819" s="27" t="s">
        <v>13</v>
      </c>
      <c r="E819" s="25" t="s">
        <v>2199</v>
      </c>
      <c r="F819" s="27" t="s">
        <v>13</v>
      </c>
      <c r="G819" s="25">
        <v>500</v>
      </c>
      <c r="H819" s="25"/>
    </row>
    <row r="820" spans="1:1008" ht="14">
      <c r="A820" s="25" t="s">
        <v>3876</v>
      </c>
      <c r="B820" s="26" t="s">
        <v>148</v>
      </c>
      <c r="C820" s="25" t="str">
        <f t="shared" si="12"/>
        <v>ibaq</v>
      </c>
      <c r="D820" s="27" t="s">
        <v>13</v>
      </c>
      <c r="E820" s="25" t="s">
        <v>3877</v>
      </c>
      <c r="F820" s="27" t="s">
        <v>3878</v>
      </c>
      <c r="G820" s="25">
        <v>500</v>
      </c>
      <c r="H820" s="25"/>
    </row>
    <row r="821" spans="1:1008" ht="14">
      <c r="A821" s="25" t="s">
        <v>2200</v>
      </c>
      <c r="B821" s="26" t="s">
        <v>148</v>
      </c>
      <c r="C821" s="25" t="str">
        <f t="shared" ref="C821:C888" si="14">A821</f>
        <v>maxlfq</v>
      </c>
      <c r="D821" s="27" t="s">
        <v>13</v>
      </c>
      <c r="E821" s="25" t="s">
        <v>2201</v>
      </c>
      <c r="F821" s="27" t="s">
        <v>13</v>
      </c>
      <c r="G821" s="25">
        <v>500</v>
      </c>
      <c r="H821" s="25"/>
    </row>
    <row r="822" spans="1:1008" ht="14">
      <c r="A822" s="25" t="s">
        <v>2202</v>
      </c>
      <c r="B822" s="26" t="s">
        <v>148</v>
      </c>
      <c r="C822" s="25" t="str">
        <f t="shared" si="14"/>
        <v>speccount</v>
      </c>
      <c r="D822" s="27" t="s">
        <v>13</v>
      </c>
      <c r="E822" s="25" t="s">
        <v>2203</v>
      </c>
      <c r="F822" s="27" t="s">
        <v>13</v>
      </c>
      <c r="G822" s="25">
        <v>500</v>
      </c>
      <c r="H822" s="25"/>
    </row>
    <row r="823" spans="1:1008" ht="14">
      <c r="A823" s="25" t="s">
        <v>2204</v>
      </c>
      <c r="B823" s="26" t="s">
        <v>149</v>
      </c>
      <c r="C823" s="25" t="str">
        <f t="shared" si="14"/>
        <v>isobaric</v>
      </c>
      <c r="D823" s="27" t="s">
        <v>13</v>
      </c>
      <c r="E823" s="25" t="s">
        <v>2204</v>
      </c>
      <c r="F823" s="25" t="s">
        <v>2205</v>
      </c>
      <c r="G823" s="25">
        <v>500</v>
      </c>
      <c r="H823" s="25"/>
    </row>
    <row r="824" spans="1:1008" ht="14">
      <c r="A824" s="25" t="s">
        <v>2206</v>
      </c>
      <c r="B824" s="26" t="s">
        <v>149</v>
      </c>
      <c r="C824" s="25" t="str">
        <f t="shared" si="14"/>
        <v>istopic</v>
      </c>
      <c r="D824" s="27" t="s">
        <v>13</v>
      </c>
      <c r="E824" s="25" t="s">
        <v>2206</v>
      </c>
      <c r="F824" s="25" t="s">
        <v>2207</v>
      </c>
      <c r="G824" s="25">
        <v>500</v>
      </c>
      <c r="H824" s="25"/>
    </row>
    <row r="825" spans="1:1008" ht="14">
      <c r="A825" s="25" t="s">
        <v>2208</v>
      </c>
      <c r="B825" s="26" t="s">
        <v>149</v>
      </c>
      <c r="C825" s="25" t="str">
        <f t="shared" si="14"/>
        <v>label_free</v>
      </c>
      <c r="D825" s="27" t="s">
        <v>13</v>
      </c>
      <c r="E825" s="25" t="s">
        <v>2209</v>
      </c>
      <c r="F825" s="25" t="s">
        <v>2210</v>
      </c>
      <c r="G825" s="25">
        <v>500</v>
      </c>
      <c r="H825" s="25"/>
    </row>
    <row r="826" spans="1:1008" ht="14">
      <c r="A826" s="25" t="s">
        <v>2211</v>
      </c>
      <c r="B826" s="26" t="s">
        <v>149</v>
      </c>
      <c r="C826" s="25" t="str">
        <f t="shared" si="14"/>
        <v>silac</v>
      </c>
      <c r="D826" s="27" t="s">
        <v>13</v>
      </c>
      <c r="E826" s="25" t="s">
        <v>2211</v>
      </c>
      <c r="F826" s="25" t="s">
        <v>2212</v>
      </c>
      <c r="G826" s="25">
        <v>500</v>
      </c>
      <c r="H826" s="25"/>
    </row>
    <row r="827" spans="1:1008" ht="14">
      <c r="A827" s="25" t="s">
        <v>2213</v>
      </c>
      <c r="B827" s="26" t="s">
        <v>152</v>
      </c>
      <c r="C827" s="25" t="str">
        <f t="shared" si="14"/>
        <v>dtt</v>
      </c>
      <c r="D827" s="27" t="s">
        <v>13</v>
      </c>
      <c r="E827" s="25" t="s">
        <v>2214</v>
      </c>
      <c r="F827" s="25" t="s">
        <v>2215</v>
      </c>
      <c r="G827" s="25">
        <v>500</v>
      </c>
      <c r="H827" s="25"/>
    </row>
    <row r="828" spans="1:1008" ht="14">
      <c r="A828" s="25" t="s">
        <v>3099</v>
      </c>
      <c r="B828" s="26" t="s">
        <v>152</v>
      </c>
      <c r="C828" s="25" t="str">
        <f t="shared" si="14"/>
        <v>no_reduction</v>
      </c>
      <c r="D828" s="27" t="s">
        <v>13</v>
      </c>
      <c r="E828" s="25" t="s">
        <v>263</v>
      </c>
      <c r="F828" s="25" t="s">
        <v>2216</v>
      </c>
      <c r="G828" s="25">
        <v>500</v>
      </c>
      <c r="H828" s="25"/>
    </row>
    <row r="829" spans="1:1008" ht="14">
      <c r="A829" s="25" t="s">
        <v>2217</v>
      </c>
      <c r="B829" s="26" t="s">
        <v>152</v>
      </c>
      <c r="C829" s="25" t="str">
        <f t="shared" si="14"/>
        <v>tcep</v>
      </c>
      <c r="D829" s="27" t="s">
        <v>13</v>
      </c>
      <c r="E829" s="25" t="s">
        <v>2218</v>
      </c>
      <c r="F829" s="25" t="s">
        <v>2219</v>
      </c>
      <c r="G829" s="25">
        <v>500</v>
      </c>
      <c r="H829" s="25"/>
    </row>
    <row r="830" spans="1:1008" ht="14">
      <c r="A830" s="25" t="s">
        <v>1286</v>
      </c>
      <c r="B830" s="26" t="s">
        <v>2220</v>
      </c>
      <c r="C830" s="25" t="str">
        <f t="shared" si="14"/>
        <v>apoptosis</v>
      </c>
      <c r="D830" s="27" t="s">
        <v>13</v>
      </c>
      <c r="E830" s="25" t="s">
        <v>1287</v>
      </c>
      <c r="F830" s="25" t="s">
        <v>2221</v>
      </c>
      <c r="G830" s="25">
        <v>500</v>
      </c>
      <c r="H830" s="25"/>
    </row>
    <row r="831" spans="1:1008" ht="14">
      <c r="A831" s="25" t="s">
        <v>2222</v>
      </c>
      <c r="B831" s="26" t="s">
        <v>2220</v>
      </c>
      <c r="C831" s="25" t="str">
        <f t="shared" si="14"/>
        <v>autocrine</v>
      </c>
      <c r="D831" s="27" t="s">
        <v>13</v>
      </c>
      <c r="E831" s="25" t="s">
        <v>2223</v>
      </c>
      <c r="F831" s="25" t="s">
        <v>2224</v>
      </c>
      <c r="G831" s="25">
        <v>500</v>
      </c>
      <c r="H831" s="25"/>
    </row>
    <row r="832" spans="1:1008" ht="14">
      <c r="A832" s="25" t="s">
        <v>2225</v>
      </c>
      <c r="B832" s="26" t="s">
        <v>2220</v>
      </c>
      <c r="C832" s="25" t="str">
        <f t="shared" si="14"/>
        <v>complement</v>
      </c>
      <c r="D832" s="27" t="s">
        <v>13</v>
      </c>
      <c r="E832" s="25" t="s">
        <v>2226</v>
      </c>
      <c r="F832" s="25" t="s">
        <v>2227</v>
      </c>
      <c r="G832" s="25">
        <v>500</v>
      </c>
      <c r="H832" s="25"/>
    </row>
    <row r="833" spans="1:8" ht="14">
      <c r="A833" s="25" t="s">
        <v>2228</v>
      </c>
      <c r="B833" s="26" t="s">
        <v>2220</v>
      </c>
      <c r="C833" s="25" t="str">
        <f t="shared" si="14"/>
        <v>cytokines</v>
      </c>
      <c r="D833" s="27" t="s">
        <v>13</v>
      </c>
      <c r="E833" s="25" t="s">
        <v>2229</v>
      </c>
      <c r="F833" s="25" t="s">
        <v>2230</v>
      </c>
      <c r="G833" s="25">
        <v>500</v>
      </c>
      <c r="H833" s="25"/>
    </row>
    <row r="834" spans="1:8" ht="14">
      <c r="A834" s="25" t="s">
        <v>2231</v>
      </c>
      <c r="B834" s="26" t="s">
        <v>2220</v>
      </c>
      <c r="C834" s="25" t="str">
        <f t="shared" si="14"/>
        <v>inflammation</v>
      </c>
      <c r="D834" s="27" t="s">
        <v>13</v>
      </c>
      <c r="E834" s="25" t="s">
        <v>2232</v>
      </c>
      <c r="F834" s="25" t="s">
        <v>2233</v>
      </c>
      <c r="G834" s="25">
        <v>500</v>
      </c>
      <c r="H834" s="25"/>
    </row>
    <row r="835" spans="1:8" ht="14">
      <c r="A835" s="25" t="s">
        <v>2234</v>
      </c>
      <c r="B835" s="26" t="s">
        <v>2220</v>
      </c>
      <c r="C835" s="25" t="str">
        <f t="shared" si="14"/>
        <v>insulin</v>
      </c>
      <c r="D835" s="27" t="s">
        <v>13</v>
      </c>
      <c r="E835" s="25" t="s">
        <v>2235</v>
      </c>
      <c r="F835" s="25" t="s">
        <v>2236</v>
      </c>
      <c r="G835" s="25">
        <v>500</v>
      </c>
      <c r="H835" s="25"/>
    </row>
    <row r="836" spans="1:8" ht="14">
      <c r="A836" s="25" t="s">
        <v>2237</v>
      </c>
      <c r="B836" s="26" t="s">
        <v>2220</v>
      </c>
      <c r="C836" s="25" t="str">
        <f t="shared" si="14"/>
        <v>juxtacrine</v>
      </c>
      <c r="D836" s="27" t="s">
        <v>13</v>
      </c>
      <c r="E836" s="25" t="s">
        <v>2238</v>
      </c>
      <c r="F836" s="25" t="s">
        <v>2239</v>
      </c>
      <c r="G836" s="25">
        <v>500</v>
      </c>
      <c r="H836" s="25"/>
    </row>
    <row r="837" spans="1:8" ht="14">
      <c r="A837" s="25" t="s">
        <v>2240</v>
      </c>
      <c r="B837" s="26" t="s">
        <v>2220</v>
      </c>
      <c r="C837" s="25" t="str">
        <f t="shared" si="14"/>
        <v>necrosis</v>
      </c>
      <c r="D837" s="27" t="s">
        <v>13</v>
      </c>
      <c r="E837" s="25" t="s">
        <v>2241</v>
      </c>
      <c r="F837" s="25" t="s">
        <v>2242</v>
      </c>
      <c r="G837" s="25">
        <v>500</v>
      </c>
      <c r="H837" s="25"/>
    </row>
    <row r="838" spans="1:8" ht="14">
      <c r="A838" s="25" t="s">
        <v>2243</v>
      </c>
      <c r="B838" s="26" t="s">
        <v>2220</v>
      </c>
      <c r="C838" s="25" t="str">
        <f t="shared" si="14"/>
        <v>paracrine</v>
      </c>
      <c r="D838" s="27" t="s">
        <v>13</v>
      </c>
      <c r="E838" s="25" t="s">
        <v>2244</v>
      </c>
      <c r="F838" s="25" t="s">
        <v>2245</v>
      </c>
      <c r="G838" s="25">
        <v>500</v>
      </c>
      <c r="H838" s="25"/>
    </row>
    <row r="839" spans="1:8" ht="14">
      <c r="A839" s="25" t="s">
        <v>1634</v>
      </c>
      <c r="B839" s="26" t="s">
        <v>2220</v>
      </c>
      <c r="C839" s="25" t="str">
        <f t="shared" si="14"/>
        <v>signaling</v>
      </c>
      <c r="D839" s="27" t="s">
        <v>13</v>
      </c>
      <c r="E839" s="25" t="s">
        <v>1635</v>
      </c>
      <c r="F839" s="25" t="s">
        <v>2246</v>
      </c>
      <c r="G839" s="25">
        <v>500</v>
      </c>
      <c r="H839" s="25"/>
    </row>
    <row r="840" spans="1:8" ht="14">
      <c r="A840" s="25" t="s">
        <v>2247</v>
      </c>
      <c r="B840" s="26" t="s">
        <v>27</v>
      </c>
      <c r="C840" s="25" t="str">
        <f t="shared" si="14"/>
        <v>diann</v>
      </c>
      <c r="D840" s="27" t="s">
        <v>13</v>
      </c>
      <c r="E840" s="25" t="s">
        <v>2248</v>
      </c>
      <c r="F840" s="25" t="s">
        <v>2249</v>
      </c>
      <c r="G840" s="25">
        <v>500</v>
      </c>
      <c r="H840" s="25"/>
    </row>
    <row r="841" spans="1:8" ht="14">
      <c r="A841" s="25" t="s">
        <v>2250</v>
      </c>
      <c r="B841" s="26" t="s">
        <v>27</v>
      </c>
      <c r="C841" s="25" t="str">
        <f t="shared" si="14"/>
        <v>maxquant</v>
      </c>
      <c r="D841" s="27" t="s">
        <v>13</v>
      </c>
      <c r="E841" s="25" t="s">
        <v>2251</v>
      </c>
      <c r="F841" s="25" t="s">
        <v>2252</v>
      </c>
      <c r="G841" s="25">
        <v>500</v>
      </c>
      <c r="H841" s="25"/>
    </row>
    <row r="842" spans="1:8" ht="14">
      <c r="A842" s="25" t="s">
        <v>2253</v>
      </c>
      <c r="B842" s="26" t="s">
        <v>27</v>
      </c>
      <c r="C842" s="25" t="str">
        <f t="shared" si="14"/>
        <v>metamorpheus</v>
      </c>
      <c r="D842" s="27" t="s">
        <v>13</v>
      </c>
      <c r="E842" s="25" t="s">
        <v>2254</v>
      </c>
      <c r="F842" s="25" t="s">
        <v>2255</v>
      </c>
      <c r="G842" s="25">
        <v>500</v>
      </c>
      <c r="H842" s="25"/>
    </row>
    <row r="843" spans="1:8" ht="14">
      <c r="A843" s="25" t="s">
        <v>2256</v>
      </c>
      <c r="B843" s="26" t="s">
        <v>27</v>
      </c>
      <c r="C843" s="25" t="str">
        <f t="shared" si="14"/>
        <v>minora</v>
      </c>
      <c r="D843" s="27" t="s">
        <v>13</v>
      </c>
      <c r="E843" s="25" t="s">
        <v>2257</v>
      </c>
      <c r="F843" s="25" t="s">
        <v>2258</v>
      </c>
      <c r="G843" s="25">
        <v>500</v>
      </c>
      <c r="H843" s="25"/>
    </row>
    <row r="844" spans="1:8" ht="14">
      <c r="A844" s="25" t="s">
        <v>2259</v>
      </c>
      <c r="B844" s="26" t="s">
        <v>27</v>
      </c>
      <c r="C844" s="25" t="str">
        <f t="shared" si="14"/>
        <v>msfragger</v>
      </c>
      <c r="D844" s="27" t="s">
        <v>13</v>
      </c>
      <c r="E844" s="25" t="s">
        <v>2260</v>
      </c>
      <c r="F844" s="25" t="s">
        <v>2261</v>
      </c>
      <c r="G844" s="25">
        <v>500</v>
      </c>
      <c r="H844" s="25"/>
    </row>
    <row r="845" spans="1:8" ht="14">
      <c r="A845" s="25" t="s">
        <v>2262</v>
      </c>
      <c r="B845" s="26" t="s">
        <v>27</v>
      </c>
      <c r="C845" s="25" t="str">
        <f t="shared" si="14"/>
        <v>msgf</v>
      </c>
      <c r="D845" s="27" t="s">
        <v>13</v>
      </c>
      <c r="E845" s="25" t="s">
        <v>2263</v>
      </c>
      <c r="F845" s="25" t="s">
        <v>2264</v>
      </c>
      <c r="G845" s="25">
        <v>500</v>
      </c>
      <c r="H845" s="25"/>
    </row>
    <row r="846" spans="1:8" ht="14">
      <c r="A846" s="25" t="s">
        <v>2265</v>
      </c>
      <c r="B846" s="26" t="s">
        <v>27</v>
      </c>
      <c r="C846" s="25" t="str">
        <f t="shared" si="14"/>
        <v>spectronaut</v>
      </c>
      <c r="D846" s="27" t="s">
        <v>13</v>
      </c>
      <c r="E846" s="25" t="s">
        <v>2266</v>
      </c>
      <c r="F846" s="25" t="s">
        <v>2267</v>
      </c>
      <c r="G846" s="25">
        <v>500</v>
      </c>
      <c r="H846" s="25"/>
    </row>
    <row r="847" spans="1:8" ht="14">
      <c r="A847" s="25" t="s">
        <v>2781</v>
      </c>
      <c r="B847" s="26" t="s">
        <v>2780</v>
      </c>
      <c r="C847" s="25" t="str">
        <f t="shared" si="14"/>
        <v>wc</v>
      </c>
      <c r="D847" s="27" t="s">
        <v>13</v>
      </c>
      <c r="E847" s="25" t="s">
        <v>2782</v>
      </c>
      <c r="F847" s="25" t="s">
        <v>2783</v>
      </c>
      <c r="G847" s="25">
        <v>500</v>
      </c>
      <c r="H847" s="25"/>
    </row>
    <row r="848" spans="1:8" ht="14">
      <c r="A848" s="25" t="s">
        <v>2785</v>
      </c>
      <c r="B848" s="26" t="s">
        <v>2780</v>
      </c>
      <c r="C848" s="25" t="str">
        <f t="shared" si="14"/>
        <v>membrane</v>
      </c>
      <c r="D848" s="27" t="s">
        <v>13</v>
      </c>
      <c r="E848" s="25" t="s">
        <v>2786</v>
      </c>
      <c r="F848" s="25" t="s">
        <v>2787</v>
      </c>
      <c r="G848" s="25">
        <v>500</v>
      </c>
      <c r="H848" s="25"/>
    </row>
    <row r="849" spans="1:8" ht="14">
      <c r="A849" s="25" t="s">
        <v>2784</v>
      </c>
      <c r="B849" s="26" t="s">
        <v>2780</v>
      </c>
      <c r="C849" s="25" t="str">
        <f t="shared" si="14"/>
        <v>mitochondria</v>
      </c>
      <c r="D849" s="27" t="s">
        <v>13</v>
      </c>
      <c r="E849" s="25" t="s">
        <v>2801</v>
      </c>
      <c r="F849" s="25" t="s">
        <v>2800</v>
      </c>
      <c r="G849" s="25">
        <v>500</v>
      </c>
      <c r="H849" s="25"/>
    </row>
    <row r="850" spans="1:8" ht="14">
      <c r="A850" s="25" t="s">
        <v>2814</v>
      </c>
      <c r="B850" s="26" t="s">
        <v>2780</v>
      </c>
      <c r="C850" s="25" t="str">
        <f t="shared" si="14"/>
        <v>mitochondriapk</v>
      </c>
      <c r="D850" s="27" t="s">
        <v>13</v>
      </c>
      <c r="E850" s="25" t="s">
        <v>2812</v>
      </c>
      <c r="F850" s="25" t="s">
        <v>2813</v>
      </c>
      <c r="G850" s="25">
        <v>500</v>
      </c>
      <c r="H850" s="25"/>
    </row>
    <row r="851" spans="1:8" ht="14">
      <c r="A851" s="25" t="s">
        <v>4061</v>
      </c>
      <c r="B851" s="26" t="s">
        <v>2780</v>
      </c>
      <c r="C851" s="25" t="str">
        <f t="shared" ref="C851" si="15">A851</f>
        <v>mitochondriace</v>
      </c>
      <c r="D851" s="27" t="s">
        <v>13</v>
      </c>
      <c r="E851" s="25" t="s">
        <v>4059</v>
      </c>
      <c r="F851" s="25" t="s">
        <v>4060</v>
      </c>
      <c r="G851" s="25">
        <v>500</v>
      </c>
      <c r="H851" s="25"/>
    </row>
    <row r="852" spans="1:8" ht="14">
      <c r="A852" s="25" t="s">
        <v>2788</v>
      </c>
      <c r="B852" s="26" t="s">
        <v>2780</v>
      </c>
      <c r="C852" s="25" t="str">
        <f t="shared" si="14"/>
        <v>golgi</v>
      </c>
      <c r="D852" s="27" t="s">
        <v>13</v>
      </c>
      <c r="E852" s="25" t="s">
        <v>2789</v>
      </c>
      <c r="F852" s="25" t="s">
        <v>2790</v>
      </c>
      <c r="G852" s="25">
        <v>500</v>
      </c>
      <c r="H852" s="25"/>
    </row>
    <row r="853" spans="1:8" ht="14">
      <c r="A853" s="25" t="s">
        <v>2791</v>
      </c>
      <c r="B853" s="26" t="s">
        <v>2780</v>
      </c>
      <c r="C853" s="25" t="str">
        <f t="shared" si="14"/>
        <v>plasmamembrane</v>
      </c>
      <c r="D853" s="27" t="s">
        <v>13</v>
      </c>
      <c r="E853" s="25" t="s">
        <v>2799</v>
      </c>
      <c r="F853" s="25" t="s">
        <v>2792</v>
      </c>
      <c r="G853" s="25">
        <v>500</v>
      </c>
      <c r="H853" s="25"/>
    </row>
    <row r="854" spans="1:8" ht="14">
      <c r="A854" s="25" t="s">
        <v>2793</v>
      </c>
      <c r="B854" s="26" t="s">
        <v>2780</v>
      </c>
      <c r="C854" s="25" t="str">
        <f t="shared" si="14"/>
        <v>nucleus</v>
      </c>
      <c r="D854" s="27" t="s">
        <v>13</v>
      </c>
      <c r="E854" s="25" t="s">
        <v>2794</v>
      </c>
      <c r="F854" s="25" t="s">
        <v>2795</v>
      </c>
      <c r="G854" s="25">
        <v>500</v>
      </c>
      <c r="H854" s="25"/>
    </row>
    <row r="855" spans="1:8" ht="14">
      <c r="A855" s="25" t="s">
        <v>2796</v>
      </c>
      <c r="B855" s="26" t="s">
        <v>2780</v>
      </c>
      <c r="C855" s="25" t="str">
        <f t="shared" si="14"/>
        <v>cytosol</v>
      </c>
      <c r="D855" s="27" t="s">
        <v>13</v>
      </c>
      <c r="E855" s="25" t="s">
        <v>2797</v>
      </c>
      <c r="F855" s="25" t="s">
        <v>2798</v>
      </c>
      <c r="G855" s="25">
        <v>500</v>
      </c>
      <c r="H855" s="25"/>
    </row>
    <row r="856" spans="1:8" ht="14">
      <c r="A856" s="25" t="s">
        <v>4056</v>
      </c>
      <c r="B856" s="26" t="s">
        <v>2780</v>
      </c>
      <c r="C856" s="25" t="str">
        <f t="shared" si="14"/>
        <v>er</v>
      </c>
      <c r="D856" s="27" t="s">
        <v>13</v>
      </c>
      <c r="E856" s="25" t="s">
        <v>4058</v>
      </c>
      <c r="F856" s="25" t="s">
        <v>4057</v>
      </c>
      <c r="G856" s="25">
        <v>500</v>
      </c>
      <c r="H856" s="25"/>
    </row>
    <row r="857" spans="1:8" ht="14">
      <c r="A857" s="25" t="s">
        <v>4066</v>
      </c>
      <c r="B857" s="26" t="s">
        <v>2780</v>
      </c>
      <c r="C857" s="25" t="str">
        <f t="shared" si="14"/>
        <v>ercesup</v>
      </c>
      <c r="D857" s="27" t="s">
        <v>13</v>
      </c>
      <c r="E857" s="25" t="s">
        <v>4062</v>
      </c>
      <c r="F857" s="25" t="s">
        <v>4064</v>
      </c>
      <c r="G857" s="25">
        <v>500</v>
      </c>
      <c r="H857" s="25"/>
    </row>
    <row r="858" spans="1:8" ht="14">
      <c r="A858" s="25" t="s">
        <v>4067</v>
      </c>
      <c r="B858" s="26" t="s">
        <v>2780</v>
      </c>
      <c r="C858" s="25" t="str">
        <f t="shared" ref="C858" si="16">A858</f>
        <v>ercepellet</v>
      </c>
      <c r="D858" s="27" t="s">
        <v>13</v>
      </c>
      <c r="E858" s="25" t="s">
        <v>4063</v>
      </c>
      <c r="F858" s="25" t="s">
        <v>4065</v>
      </c>
      <c r="G858" s="25">
        <v>500</v>
      </c>
      <c r="H858" s="25"/>
    </row>
    <row r="859" spans="1:8" ht="14">
      <c r="A859" s="25" t="s">
        <v>2268</v>
      </c>
      <c r="B859" s="26" t="s">
        <v>159</v>
      </c>
      <c r="C859" s="25" t="str">
        <f t="shared" si="14"/>
        <v>adipose</v>
      </c>
      <c r="D859" s="25" t="s">
        <v>2268</v>
      </c>
      <c r="E859" s="25" t="s">
        <v>2269</v>
      </c>
      <c r="F859" s="25" t="s">
        <v>2270</v>
      </c>
      <c r="G859" s="25">
        <v>500</v>
      </c>
      <c r="H859" s="25"/>
    </row>
    <row r="860" spans="1:8" ht="14">
      <c r="A860" s="25" t="s">
        <v>2271</v>
      </c>
      <c r="B860" s="26" t="s">
        <v>159</v>
      </c>
      <c r="C860" s="25" t="str">
        <f t="shared" si="14"/>
        <v>areolar</v>
      </c>
      <c r="D860" s="25" t="s">
        <v>2271</v>
      </c>
      <c r="E860" s="25" t="s">
        <v>2272</v>
      </c>
      <c r="F860" s="25" t="s">
        <v>2273</v>
      </c>
      <c r="G860" s="25">
        <v>500</v>
      </c>
      <c r="H860" s="25"/>
    </row>
    <row r="861" spans="1:8" ht="14">
      <c r="A861" s="25" t="s">
        <v>2274</v>
      </c>
      <c r="B861" s="26" t="s">
        <v>159</v>
      </c>
      <c r="C861" s="25" t="str">
        <f t="shared" si="14"/>
        <v>blood</v>
      </c>
      <c r="D861" s="25" t="s">
        <v>2274</v>
      </c>
      <c r="E861" s="25" t="s">
        <v>2275</v>
      </c>
      <c r="F861" s="25" t="s">
        <v>2275</v>
      </c>
      <c r="G861" s="25">
        <v>500</v>
      </c>
      <c r="H861" s="25"/>
    </row>
    <row r="862" spans="1:8" ht="14">
      <c r="A862" s="25" t="s">
        <v>2276</v>
      </c>
      <c r="B862" s="26" t="s">
        <v>159</v>
      </c>
      <c r="C862" s="25" t="str">
        <f t="shared" si="14"/>
        <v>connective</v>
      </c>
      <c r="D862" s="25" t="s">
        <v>2276</v>
      </c>
      <c r="E862" s="25" t="s">
        <v>2277</v>
      </c>
      <c r="F862" s="25" t="s">
        <v>2278</v>
      </c>
      <c r="G862" s="25">
        <v>500</v>
      </c>
      <c r="H862" s="25"/>
    </row>
    <row r="863" spans="1:8" ht="14">
      <c r="A863" s="25" t="s">
        <v>2279</v>
      </c>
      <c r="B863" s="26" t="s">
        <v>159</v>
      </c>
      <c r="C863" s="25" t="str">
        <f t="shared" si="14"/>
        <v>dermis</v>
      </c>
      <c r="D863" s="25" t="s">
        <v>2279</v>
      </c>
      <c r="E863" s="25" t="s">
        <v>2280</v>
      </c>
      <c r="F863" s="25" t="s">
        <v>2280</v>
      </c>
      <c r="G863" s="25">
        <v>500</v>
      </c>
      <c r="H863" s="25"/>
    </row>
    <row r="864" spans="1:8" ht="14">
      <c r="A864" s="25" t="s">
        <v>2281</v>
      </c>
      <c r="B864" s="26" t="s">
        <v>159</v>
      </c>
      <c r="C864" s="25" t="str">
        <f t="shared" si="14"/>
        <v>epidermis</v>
      </c>
      <c r="D864" s="25" t="s">
        <v>2281</v>
      </c>
      <c r="E864" s="25" t="s">
        <v>2282</v>
      </c>
      <c r="F864" s="25" t="s">
        <v>2282</v>
      </c>
      <c r="G864" s="25">
        <v>500</v>
      </c>
      <c r="H864" s="25"/>
    </row>
    <row r="865" spans="1:8" ht="14">
      <c r="A865" s="25" t="s">
        <v>2283</v>
      </c>
      <c r="B865" s="26" t="s">
        <v>159</v>
      </c>
      <c r="C865" s="25" t="str">
        <f t="shared" si="14"/>
        <v>epithelial</v>
      </c>
      <c r="D865" s="25" t="s">
        <v>2283</v>
      </c>
      <c r="E865" s="25" t="s">
        <v>2284</v>
      </c>
      <c r="F865" s="25" t="s">
        <v>2285</v>
      </c>
      <c r="G865" s="25">
        <v>500</v>
      </c>
      <c r="H865" s="25"/>
    </row>
    <row r="866" spans="1:8" ht="14">
      <c r="A866" s="25" t="s">
        <v>2286</v>
      </c>
      <c r="B866" s="26" t="s">
        <v>159</v>
      </c>
      <c r="C866" s="25" t="str">
        <f t="shared" si="14"/>
        <v>hypodermis</v>
      </c>
      <c r="D866" s="25" t="s">
        <v>2286</v>
      </c>
      <c r="E866" s="25" t="s">
        <v>2287</v>
      </c>
      <c r="F866" s="25" t="s">
        <v>2287</v>
      </c>
      <c r="G866" s="25">
        <v>500</v>
      </c>
      <c r="H866" s="25"/>
    </row>
    <row r="867" spans="1:8" ht="14">
      <c r="A867" s="25" t="s">
        <v>2288</v>
      </c>
      <c r="B867" s="26" t="s">
        <v>159</v>
      </c>
      <c r="C867" s="25" t="str">
        <f t="shared" si="14"/>
        <v>muscle</v>
      </c>
      <c r="D867" s="25" t="s">
        <v>2288</v>
      </c>
      <c r="E867" s="25" t="s">
        <v>2681</v>
      </c>
      <c r="F867" s="25" t="s">
        <v>2289</v>
      </c>
      <c r="G867" s="25">
        <v>500</v>
      </c>
      <c r="H867" s="25"/>
    </row>
    <row r="868" spans="1:8" ht="14">
      <c r="A868" s="25" t="s">
        <v>2290</v>
      </c>
      <c r="B868" s="26" t="s">
        <v>159</v>
      </c>
      <c r="C868" s="25" t="str">
        <f t="shared" si="14"/>
        <v>nervous</v>
      </c>
      <c r="D868" s="25" t="s">
        <v>2290</v>
      </c>
      <c r="E868" s="25" t="s">
        <v>2109</v>
      </c>
      <c r="F868" s="25" t="s">
        <v>2291</v>
      </c>
      <c r="G868" s="25">
        <v>500</v>
      </c>
      <c r="H868" s="25"/>
    </row>
    <row r="869" spans="1:8" ht="14">
      <c r="A869" s="25" t="s">
        <v>2292</v>
      </c>
      <c r="B869" s="26" t="s">
        <v>159</v>
      </c>
      <c r="C869" s="25" t="str">
        <f t="shared" si="14"/>
        <v>reticular</v>
      </c>
      <c r="D869" s="25" t="s">
        <v>2292</v>
      </c>
      <c r="E869" s="25" t="s">
        <v>2293</v>
      </c>
      <c r="F869" s="25" t="s">
        <v>2294</v>
      </c>
      <c r="G869" s="25">
        <v>500</v>
      </c>
      <c r="H869" s="25"/>
    </row>
    <row r="870" spans="1:8" ht="14">
      <c r="A870" s="25" t="s">
        <v>2295</v>
      </c>
      <c r="B870" s="26" t="s">
        <v>159</v>
      </c>
      <c r="C870" s="25" t="str">
        <f t="shared" si="14"/>
        <v>stromal</v>
      </c>
      <c r="D870" s="25" t="s">
        <v>2295</v>
      </c>
      <c r="E870" s="25" t="s">
        <v>2296</v>
      </c>
      <c r="F870" s="25" t="s">
        <v>2297</v>
      </c>
      <c r="G870" s="25">
        <v>500</v>
      </c>
      <c r="H870" s="25"/>
    </row>
    <row r="871" spans="1:8" ht="14">
      <c r="A871" s="25" t="s">
        <v>2298</v>
      </c>
      <c r="B871" s="26" t="s">
        <v>161</v>
      </c>
      <c r="C871" s="25" t="str">
        <f t="shared" si="14"/>
        <v>tmt10_126</v>
      </c>
      <c r="D871" s="27" t="s">
        <v>13</v>
      </c>
      <c r="E871" s="25">
        <v>126</v>
      </c>
      <c r="F871" s="27" t="s">
        <v>13</v>
      </c>
      <c r="G871" s="25">
        <v>500</v>
      </c>
      <c r="H871" s="25"/>
    </row>
    <row r="872" spans="1:8" ht="14">
      <c r="A872" s="25" t="s">
        <v>2299</v>
      </c>
      <c r="B872" s="26" t="s">
        <v>161</v>
      </c>
      <c r="C872" s="25" t="str">
        <f t="shared" si="14"/>
        <v>tmt10_127C</v>
      </c>
      <c r="D872" s="27" t="s">
        <v>13</v>
      </c>
      <c r="E872" s="25" t="s">
        <v>2300</v>
      </c>
      <c r="F872" s="27" t="s">
        <v>13</v>
      </c>
      <c r="G872" s="25">
        <v>500</v>
      </c>
      <c r="H872" s="25"/>
    </row>
    <row r="873" spans="1:8" ht="14">
      <c r="A873" s="25" t="s">
        <v>2301</v>
      </c>
      <c r="B873" s="26" t="s">
        <v>161</v>
      </c>
      <c r="C873" s="25" t="str">
        <f t="shared" si="14"/>
        <v>tmt10_127N</v>
      </c>
      <c r="D873" s="27" t="s">
        <v>13</v>
      </c>
      <c r="E873" s="25" t="s">
        <v>2302</v>
      </c>
      <c r="F873" s="27" t="s">
        <v>13</v>
      </c>
      <c r="G873" s="25">
        <v>500</v>
      </c>
      <c r="H873" s="25"/>
    </row>
    <row r="874" spans="1:8" ht="14">
      <c r="A874" s="25" t="s">
        <v>2303</v>
      </c>
      <c r="B874" s="26" t="s">
        <v>161</v>
      </c>
      <c r="C874" s="25" t="str">
        <f t="shared" si="14"/>
        <v>tmt10_128C</v>
      </c>
      <c r="D874" s="27" t="s">
        <v>13</v>
      </c>
      <c r="E874" s="25" t="s">
        <v>2304</v>
      </c>
      <c r="F874" s="27" t="s">
        <v>13</v>
      </c>
      <c r="G874" s="25">
        <v>500</v>
      </c>
      <c r="H874" s="25"/>
    </row>
    <row r="875" spans="1:8" ht="14">
      <c r="A875" s="25" t="s">
        <v>2305</v>
      </c>
      <c r="B875" s="26" t="s">
        <v>161</v>
      </c>
      <c r="C875" s="25" t="str">
        <f t="shared" si="14"/>
        <v>tmt10_128N</v>
      </c>
      <c r="D875" s="27" t="s">
        <v>13</v>
      </c>
      <c r="E875" s="25" t="s">
        <v>2306</v>
      </c>
      <c r="F875" s="27" t="s">
        <v>13</v>
      </c>
      <c r="G875" s="25">
        <v>500</v>
      </c>
      <c r="H875" s="25"/>
    </row>
    <row r="876" spans="1:8" ht="14">
      <c r="A876" s="25" t="s">
        <v>2307</v>
      </c>
      <c r="B876" s="26" t="s">
        <v>161</v>
      </c>
      <c r="C876" s="25" t="str">
        <f t="shared" si="14"/>
        <v>tmt10_129C</v>
      </c>
      <c r="D876" s="27" t="s">
        <v>13</v>
      </c>
      <c r="E876" s="25" t="s">
        <v>2308</v>
      </c>
      <c r="F876" s="27" t="s">
        <v>13</v>
      </c>
      <c r="G876" s="25">
        <v>500</v>
      </c>
      <c r="H876" s="25"/>
    </row>
    <row r="877" spans="1:8" ht="14">
      <c r="A877" s="25" t="s">
        <v>2309</v>
      </c>
      <c r="B877" s="26" t="s">
        <v>161</v>
      </c>
      <c r="C877" s="25" t="str">
        <f t="shared" si="14"/>
        <v>tmt10_129N</v>
      </c>
      <c r="D877" s="27" t="s">
        <v>13</v>
      </c>
      <c r="E877" s="25" t="s">
        <v>2310</v>
      </c>
      <c r="F877" s="27" t="s">
        <v>13</v>
      </c>
      <c r="G877" s="25">
        <v>500</v>
      </c>
      <c r="H877" s="25"/>
    </row>
    <row r="878" spans="1:8" ht="14">
      <c r="A878" s="25" t="s">
        <v>2311</v>
      </c>
      <c r="B878" s="26" t="s">
        <v>161</v>
      </c>
      <c r="C878" s="25" t="str">
        <f t="shared" si="14"/>
        <v>tmt10_130C</v>
      </c>
      <c r="D878" s="27" t="s">
        <v>13</v>
      </c>
      <c r="E878" s="25" t="s">
        <v>2312</v>
      </c>
      <c r="F878" s="27" t="s">
        <v>13</v>
      </c>
      <c r="G878" s="25">
        <v>500</v>
      </c>
      <c r="H878" s="25"/>
    </row>
    <row r="879" spans="1:8" ht="14">
      <c r="A879" s="25" t="s">
        <v>2313</v>
      </c>
      <c r="B879" s="26" t="s">
        <v>161</v>
      </c>
      <c r="C879" s="25" t="str">
        <f t="shared" si="14"/>
        <v>tmt10_130N</v>
      </c>
      <c r="D879" s="27" t="s">
        <v>13</v>
      </c>
      <c r="E879" s="25" t="s">
        <v>2314</v>
      </c>
      <c r="F879" s="27" t="s">
        <v>13</v>
      </c>
      <c r="G879" s="25">
        <v>500</v>
      </c>
      <c r="H879" s="25"/>
    </row>
    <row r="880" spans="1:8" ht="14">
      <c r="A880" s="25" t="s">
        <v>2315</v>
      </c>
      <c r="B880" s="26" t="s">
        <v>161</v>
      </c>
      <c r="C880" s="25" t="str">
        <f t="shared" si="14"/>
        <v>tmt10_131</v>
      </c>
      <c r="D880" s="27" t="s">
        <v>13</v>
      </c>
      <c r="E880" s="25">
        <v>131</v>
      </c>
      <c r="F880" s="27" t="s">
        <v>13</v>
      </c>
      <c r="G880" s="25">
        <v>500</v>
      </c>
      <c r="H880" s="25"/>
    </row>
    <row r="881" spans="1:8" ht="14">
      <c r="A881" s="25" t="s">
        <v>2316</v>
      </c>
      <c r="B881" s="26" t="s">
        <v>161</v>
      </c>
      <c r="C881" s="25" t="str">
        <f t="shared" si="14"/>
        <v>tmt11_126</v>
      </c>
      <c r="D881" s="27" t="s">
        <v>13</v>
      </c>
      <c r="E881" s="25">
        <v>126</v>
      </c>
      <c r="F881" s="27" t="s">
        <v>13</v>
      </c>
      <c r="G881" s="25">
        <v>500</v>
      </c>
      <c r="H881" s="25"/>
    </row>
    <row r="882" spans="1:8" ht="14">
      <c r="A882" s="25" t="s">
        <v>2317</v>
      </c>
      <c r="B882" s="26" t="s">
        <v>161</v>
      </c>
      <c r="C882" s="25" t="str">
        <f t="shared" si="14"/>
        <v>tmt11_127C</v>
      </c>
      <c r="D882" s="27" t="s">
        <v>13</v>
      </c>
      <c r="E882" s="25" t="s">
        <v>2300</v>
      </c>
      <c r="F882" s="27" t="s">
        <v>13</v>
      </c>
      <c r="G882" s="25">
        <v>500</v>
      </c>
      <c r="H882" s="25"/>
    </row>
    <row r="883" spans="1:8" ht="14">
      <c r="A883" s="25" t="s">
        <v>2318</v>
      </c>
      <c r="B883" s="26" t="s">
        <v>161</v>
      </c>
      <c r="C883" s="25" t="str">
        <f t="shared" si="14"/>
        <v>tmt11_127N</v>
      </c>
      <c r="D883" s="27" t="s">
        <v>13</v>
      </c>
      <c r="E883" s="25" t="s">
        <v>2302</v>
      </c>
      <c r="F883" s="27" t="s">
        <v>13</v>
      </c>
      <c r="G883" s="25">
        <v>500</v>
      </c>
      <c r="H883" s="25"/>
    </row>
    <row r="884" spans="1:8" ht="14">
      <c r="A884" s="25" t="s">
        <v>2319</v>
      </c>
      <c r="B884" s="26" t="s">
        <v>161</v>
      </c>
      <c r="C884" s="25" t="str">
        <f t="shared" si="14"/>
        <v>tmt11_128C</v>
      </c>
      <c r="D884" s="27" t="s">
        <v>13</v>
      </c>
      <c r="E884" s="25" t="s">
        <v>2304</v>
      </c>
      <c r="F884" s="27" t="s">
        <v>13</v>
      </c>
      <c r="G884" s="25">
        <v>500</v>
      </c>
      <c r="H884" s="25"/>
    </row>
    <row r="885" spans="1:8" ht="14">
      <c r="A885" s="25" t="s">
        <v>2320</v>
      </c>
      <c r="B885" s="26" t="s">
        <v>161</v>
      </c>
      <c r="C885" s="25" t="str">
        <f t="shared" si="14"/>
        <v>tmt11_128N</v>
      </c>
      <c r="D885" s="27" t="s">
        <v>13</v>
      </c>
      <c r="E885" s="25" t="s">
        <v>2306</v>
      </c>
      <c r="F885" s="27" t="s">
        <v>13</v>
      </c>
      <c r="G885" s="25">
        <v>500</v>
      </c>
      <c r="H885" s="25"/>
    </row>
    <row r="886" spans="1:8" ht="14">
      <c r="A886" s="25" t="s">
        <v>2321</v>
      </c>
      <c r="B886" s="26" t="s">
        <v>161</v>
      </c>
      <c r="C886" s="25" t="str">
        <f t="shared" si="14"/>
        <v>tmt11_129C</v>
      </c>
      <c r="D886" s="27" t="s">
        <v>13</v>
      </c>
      <c r="E886" s="25" t="s">
        <v>2308</v>
      </c>
      <c r="F886" s="27" t="s">
        <v>13</v>
      </c>
      <c r="G886" s="25">
        <v>500</v>
      </c>
      <c r="H886" s="25"/>
    </row>
    <row r="887" spans="1:8" ht="14">
      <c r="A887" s="25" t="s">
        <v>2322</v>
      </c>
      <c r="B887" s="26" t="s">
        <v>161</v>
      </c>
      <c r="C887" s="25" t="str">
        <f t="shared" si="14"/>
        <v>tmt11_129N</v>
      </c>
      <c r="D887" s="27" t="s">
        <v>13</v>
      </c>
      <c r="E887" s="25" t="s">
        <v>2310</v>
      </c>
      <c r="F887" s="27" t="s">
        <v>13</v>
      </c>
      <c r="G887" s="25">
        <v>500</v>
      </c>
      <c r="H887" s="25"/>
    </row>
    <row r="888" spans="1:8" ht="14">
      <c r="A888" s="25" t="s">
        <v>2323</v>
      </c>
      <c r="B888" s="26" t="s">
        <v>161</v>
      </c>
      <c r="C888" s="25" t="str">
        <f t="shared" si="14"/>
        <v>tmt11_130C</v>
      </c>
      <c r="D888" s="27" t="s">
        <v>13</v>
      </c>
      <c r="E888" s="25" t="s">
        <v>2312</v>
      </c>
      <c r="F888" s="27" t="s">
        <v>13</v>
      </c>
      <c r="G888" s="25">
        <v>500</v>
      </c>
      <c r="H888" s="25"/>
    </row>
    <row r="889" spans="1:8" ht="14">
      <c r="A889" s="25" t="s">
        <v>2324</v>
      </c>
      <c r="B889" s="26" t="s">
        <v>161</v>
      </c>
      <c r="C889" s="25" t="str">
        <f t="shared" ref="C889:C957" si="17">A889</f>
        <v>tmt11_130N</v>
      </c>
      <c r="D889" s="27" t="s">
        <v>13</v>
      </c>
      <c r="E889" s="25" t="s">
        <v>2314</v>
      </c>
      <c r="F889" s="27" t="s">
        <v>13</v>
      </c>
      <c r="G889" s="25">
        <v>500</v>
      </c>
      <c r="H889" s="25"/>
    </row>
    <row r="890" spans="1:8" ht="14">
      <c r="A890" s="25" t="s">
        <v>2325</v>
      </c>
      <c r="B890" s="26" t="s">
        <v>161</v>
      </c>
      <c r="C890" s="25" t="str">
        <f t="shared" si="17"/>
        <v>tmt11_131C</v>
      </c>
      <c r="D890" s="27" t="s">
        <v>13</v>
      </c>
      <c r="E890" s="25" t="s">
        <v>2326</v>
      </c>
      <c r="F890" s="27" t="s">
        <v>13</v>
      </c>
      <c r="G890" s="25">
        <v>500</v>
      </c>
      <c r="H890" s="25"/>
    </row>
    <row r="891" spans="1:8" ht="14">
      <c r="A891" s="25" t="s">
        <v>2327</v>
      </c>
      <c r="B891" s="26" t="s">
        <v>161</v>
      </c>
      <c r="C891" s="25" t="str">
        <f t="shared" si="17"/>
        <v>tmt11_131N</v>
      </c>
      <c r="D891" s="27" t="s">
        <v>13</v>
      </c>
      <c r="E891" s="25" t="s">
        <v>2328</v>
      </c>
      <c r="F891" s="27" t="s">
        <v>13</v>
      </c>
      <c r="G891" s="25">
        <v>500</v>
      </c>
      <c r="H891" s="25"/>
    </row>
    <row r="892" spans="1:8" ht="14">
      <c r="A892" s="25" t="s">
        <v>2329</v>
      </c>
      <c r="B892" s="26" t="s">
        <v>161</v>
      </c>
      <c r="C892" s="25" t="str">
        <f t="shared" si="17"/>
        <v>tmt18_126</v>
      </c>
      <c r="D892" s="27" t="s">
        <v>13</v>
      </c>
      <c r="E892" s="25">
        <v>126</v>
      </c>
      <c r="F892" s="27" t="s">
        <v>13</v>
      </c>
      <c r="G892" s="25">
        <v>500</v>
      </c>
      <c r="H892" s="25"/>
    </row>
    <row r="893" spans="1:8" ht="14">
      <c r="A893" s="25" t="s">
        <v>2330</v>
      </c>
      <c r="B893" s="26" t="s">
        <v>161</v>
      </c>
      <c r="C893" s="25" t="str">
        <f t="shared" si="17"/>
        <v>tmt18_127C</v>
      </c>
      <c r="D893" s="27" t="s">
        <v>13</v>
      </c>
      <c r="E893" s="25" t="s">
        <v>2300</v>
      </c>
      <c r="F893" s="27" t="s">
        <v>13</v>
      </c>
      <c r="G893" s="25">
        <v>500</v>
      </c>
      <c r="H893" s="25"/>
    </row>
    <row r="894" spans="1:8" ht="14">
      <c r="A894" s="25" t="s">
        <v>2331</v>
      </c>
      <c r="B894" s="26" t="s">
        <v>161</v>
      </c>
      <c r="C894" s="25" t="str">
        <f t="shared" si="17"/>
        <v>tmt18_127N</v>
      </c>
      <c r="D894" s="27" t="s">
        <v>13</v>
      </c>
      <c r="E894" s="25" t="s">
        <v>2302</v>
      </c>
      <c r="F894" s="27" t="s">
        <v>13</v>
      </c>
      <c r="G894" s="25">
        <v>500</v>
      </c>
      <c r="H894" s="25"/>
    </row>
    <row r="895" spans="1:8" ht="14">
      <c r="A895" s="25" t="s">
        <v>2332</v>
      </c>
      <c r="B895" s="26" t="s">
        <v>161</v>
      </c>
      <c r="C895" s="25" t="str">
        <f t="shared" si="17"/>
        <v>tmt18_128C</v>
      </c>
      <c r="D895" s="27" t="s">
        <v>13</v>
      </c>
      <c r="E895" s="25" t="s">
        <v>2304</v>
      </c>
      <c r="F895" s="27" t="s">
        <v>13</v>
      </c>
      <c r="G895" s="25">
        <v>500</v>
      </c>
      <c r="H895" s="25"/>
    </row>
    <row r="896" spans="1:8" ht="14">
      <c r="A896" s="25" t="s">
        <v>2333</v>
      </c>
      <c r="B896" s="26" t="s">
        <v>161</v>
      </c>
      <c r="C896" s="25" t="str">
        <f t="shared" si="17"/>
        <v>tmt18_128N</v>
      </c>
      <c r="D896" s="27" t="s">
        <v>13</v>
      </c>
      <c r="E896" s="25" t="s">
        <v>2306</v>
      </c>
      <c r="F896" s="27" t="s">
        <v>13</v>
      </c>
      <c r="G896" s="25">
        <v>500</v>
      </c>
      <c r="H896" s="25"/>
    </row>
    <row r="897" spans="1:8" ht="14">
      <c r="A897" s="25" t="s">
        <v>2334</v>
      </c>
      <c r="B897" s="26" t="s">
        <v>161</v>
      </c>
      <c r="C897" s="25" t="str">
        <f t="shared" si="17"/>
        <v>tmt18_129C</v>
      </c>
      <c r="D897" s="27" t="s">
        <v>13</v>
      </c>
      <c r="E897" s="25" t="s">
        <v>2308</v>
      </c>
      <c r="F897" s="27" t="s">
        <v>13</v>
      </c>
      <c r="G897" s="25">
        <v>500</v>
      </c>
      <c r="H897" s="25"/>
    </row>
    <row r="898" spans="1:8" ht="14">
      <c r="A898" s="25" t="s">
        <v>2335</v>
      </c>
      <c r="B898" s="26" t="s">
        <v>161</v>
      </c>
      <c r="C898" s="25" t="str">
        <f t="shared" si="17"/>
        <v>tmt18_129N</v>
      </c>
      <c r="D898" s="27" t="s">
        <v>13</v>
      </c>
      <c r="E898" s="25" t="s">
        <v>2310</v>
      </c>
      <c r="F898" s="27" t="s">
        <v>13</v>
      </c>
      <c r="G898" s="25">
        <v>500</v>
      </c>
      <c r="H898" s="25"/>
    </row>
    <row r="899" spans="1:8" ht="14">
      <c r="A899" s="25" t="s">
        <v>2336</v>
      </c>
      <c r="B899" s="26" t="s">
        <v>161</v>
      </c>
      <c r="C899" s="25" t="str">
        <f t="shared" si="17"/>
        <v>tmt18_130C</v>
      </c>
      <c r="D899" s="27" t="s">
        <v>13</v>
      </c>
      <c r="E899" s="25" t="s">
        <v>2312</v>
      </c>
      <c r="F899" s="27" t="s">
        <v>13</v>
      </c>
      <c r="G899" s="25">
        <v>500</v>
      </c>
      <c r="H899" s="25"/>
    </row>
    <row r="900" spans="1:8" ht="14">
      <c r="A900" s="25" t="s">
        <v>2337</v>
      </c>
      <c r="B900" s="26" t="s">
        <v>161</v>
      </c>
      <c r="C900" s="25" t="str">
        <f t="shared" si="17"/>
        <v>tmt18_130N</v>
      </c>
      <c r="D900" s="27" t="s">
        <v>13</v>
      </c>
      <c r="E900" s="25" t="s">
        <v>2314</v>
      </c>
      <c r="F900" s="27" t="s">
        <v>13</v>
      </c>
      <c r="G900" s="25">
        <v>500</v>
      </c>
      <c r="H900" s="25"/>
    </row>
    <row r="901" spans="1:8" ht="14">
      <c r="A901" s="25" t="s">
        <v>2338</v>
      </c>
      <c r="B901" s="26" t="s">
        <v>161</v>
      </c>
      <c r="C901" s="25" t="str">
        <f t="shared" si="17"/>
        <v>tmt18_131C</v>
      </c>
      <c r="D901" s="27" t="s">
        <v>13</v>
      </c>
      <c r="E901" s="25" t="s">
        <v>2326</v>
      </c>
      <c r="F901" s="27" t="s">
        <v>13</v>
      </c>
      <c r="G901" s="25">
        <v>500</v>
      </c>
      <c r="H901" s="25"/>
    </row>
    <row r="902" spans="1:8" ht="14">
      <c r="A902" s="25" t="s">
        <v>2339</v>
      </c>
      <c r="B902" s="26" t="s">
        <v>161</v>
      </c>
      <c r="C902" s="25" t="str">
        <f t="shared" si="17"/>
        <v>tmt18_131N</v>
      </c>
      <c r="D902" s="27" t="s">
        <v>13</v>
      </c>
      <c r="E902" s="25" t="s">
        <v>2328</v>
      </c>
      <c r="F902" s="27" t="s">
        <v>13</v>
      </c>
      <c r="G902" s="25">
        <v>500</v>
      </c>
      <c r="H902" s="25"/>
    </row>
    <row r="903" spans="1:8" ht="14">
      <c r="A903" s="25" t="s">
        <v>2340</v>
      </c>
      <c r="B903" s="26" t="s">
        <v>161</v>
      </c>
      <c r="C903" s="25" t="str">
        <f t="shared" si="17"/>
        <v>tmt18_132C</v>
      </c>
      <c r="D903" s="27" t="s">
        <v>13</v>
      </c>
      <c r="E903" s="25" t="s">
        <v>2341</v>
      </c>
      <c r="F903" s="27" t="s">
        <v>13</v>
      </c>
      <c r="G903" s="25">
        <v>500</v>
      </c>
      <c r="H903" s="25"/>
    </row>
    <row r="904" spans="1:8" ht="14">
      <c r="A904" s="25" t="s">
        <v>2342</v>
      </c>
      <c r="B904" s="26" t="s">
        <v>161</v>
      </c>
      <c r="C904" s="25" t="str">
        <f t="shared" si="17"/>
        <v>tmt18_132N</v>
      </c>
      <c r="D904" s="27" t="s">
        <v>13</v>
      </c>
      <c r="E904" s="25" t="s">
        <v>2343</v>
      </c>
      <c r="F904" s="27" t="s">
        <v>13</v>
      </c>
      <c r="G904" s="25">
        <v>500</v>
      </c>
      <c r="H904" s="25"/>
    </row>
    <row r="905" spans="1:8" ht="14">
      <c r="A905" s="25" t="s">
        <v>2344</v>
      </c>
      <c r="B905" s="26" t="s">
        <v>161</v>
      </c>
      <c r="C905" s="25" t="str">
        <f t="shared" si="17"/>
        <v>tmt18_133C</v>
      </c>
      <c r="D905" s="27" t="s">
        <v>13</v>
      </c>
      <c r="E905" s="25" t="s">
        <v>2345</v>
      </c>
      <c r="F905" s="27" t="s">
        <v>13</v>
      </c>
      <c r="G905" s="25">
        <v>500</v>
      </c>
      <c r="H905" s="25"/>
    </row>
    <row r="906" spans="1:8" ht="14">
      <c r="A906" s="25" t="s">
        <v>2346</v>
      </c>
      <c r="B906" s="26" t="s">
        <v>161</v>
      </c>
      <c r="C906" s="25" t="str">
        <f t="shared" si="17"/>
        <v>tmt18_133N</v>
      </c>
      <c r="D906" s="27" t="s">
        <v>13</v>
      </c>
      <c r="E906" s="25" t="s">
        <v>2347</v>
      </c>
      <c r="F906" s="27" t="s">
        <v>13</v>
      </c>
      <c r="G906" s="25">
        <v>500</v>
      </c>
      <c r="H906" s="25"/>
    </row>
    <row r="907" spans="1:8" ht="14">
      <c r="A907" s="25" t="s">
        <v>2348</v>
      </c>
      <c r="B907" s="26" t="s">
        <v>161</v>
      </c>
      <c r="C907" s="25" t="str">
        <f t="shared" si="17"/>
        <v>tmt18_134C</v>
      </c>
      <c r="D907" s="27" t="s">
        <v>13</v>
      </c>
      <c r="E907" s="25" t="s">
        <v>2349</v>
      </c>
      <c r="F907" s="27" t="s">
        <v>13</v>
      </c>
      <c r="G907" s="25">
        <v>500</v>
      </c>
      <c r="H907" s="25"/>
    </row>
    <row r="908" spans="1:8" ht="14">
      <c r="A908" s="25" t="s">
        <v>2350</v>
      </c>
      <c r="B908" s="26" t="s">
        <v>161</v>
      </c>
      <c r="C908" s="25" t="str">
        <f t="shared" si="17"/>
        <v>tmt18_134N</v>
      </c>
      <c r="D908" s="27" t="s">
        <v>13</v>
      </c>
      <c r="E908" s="25" t="s">
        <v>2351</v>
      </c>
      <c r="F908" s="27" t="s">
        <v>13</v>
      </c>
      <c r="G908" s="25">
        <v>500</v>
      </c>
      <c r="H908" s="25"/>
    </row>
    <row r="909" spans="1:8" ht="14">
      <c r="A909" s="25" t="s">
        <v>2352</v>
      </c>
      <c r="B909" s="26" t="s">
        <v>161</v>
      </c>
      <c r="C909" s="25" t="str">
        <f t="shared" si="17"/>
        <v>tmt18_135N</v>
      </c>
      <c r="D909" s="27" t="s">
        <v>13</v>
      </c>
      <c r="E909" s="25" t="s">
        <v>2353</v>
      </c>
      <c r="F909" s="27" t="s">
        <v>13</v>
      </c>
      <c r="G909" s="25">
        <v>500</v>
      </c>
      <c r="H909" s="25"/>
    </row>
    <row r="910" spans="1:8" ht="14">
      <c r="A910" s="25" t="s">
        <v>2354</v>
      </c>
      <c r="B910" s="26" t="s">
        <v>161</v>
      </c>
      <c r="C910" s="25" t="str">
        <f t="shared" si="17"/>
        <v>tmt6_126</v>
      </c>
      <c r="D910" s="27" t="s">
        <v>13</v>
      </c>
      <c r="E910" s="25">
        <v>126</v>
      </c>
      <c r="F910" s="27" t="s">
        <v>13</v>
      </c>
      <c r="G910" s="25">
        <v>500</v>
      </c>
      <c r="H910" s="25"/>
    </row>
    <row r="911" spans="1:8" ht="14">
      <c r="A911" s="25" t="s">
        <v>2355</v>
      </c>
      <c r="B911" s="26" t="s">
        <v>161</v>
      </c>
      <c r="C911" s="25" t="str">
        <f t="shared" si="17"/>
        <v>tmt6_127</v>
      </c>
      <c r="D911" s="27" t="s">
        <v>13</v>
      </c>
      <c r="E911" s="25">
        <v>127</v>
      </c>
      <c r="F911" s="27" t="s">
        <v>13</v>
      </c>
      <c r="G911" s="25">
        <v>500</v>
      </c>
      <c r="H911" s="25"/>
    </row>
    <row r="912" spans="1:8" ht="14">
      <c r="A912" s="25" t="s">
        <v>2356</v>
      </c>
      <c r="B912" s="26" t="s">
        <v>161</v>
      </c>
      <c r="C912" s="25" t="str">
        <f t="shared" si="17"/>
        <v>tmt6_128</v>
      </c>
      <c r="D912" s="27" t="s">
        <v>13</v>
      </c>
      <c r="E912" s="25">
        <v>128</v>
      </c>
      <c r="F912" s="27" t="s">
        <v>13</v>
      </c>
      <c r="G912" s="25">
        <v>500</v>
      </c>
      <c r="H912" s="25"/>
    </row>
    <row r="913" spans="1:8" ht="14">
      <c r="A913" s="25" t="s">
        <v>2357</v>
      </c>
      <c r="B913" s="26" t="s">
        <v>161</v>
      </c>
      <c r="C913" s="25" t="str">
        <f t="shared" si="17"/>
        <v>tmt6_129</v>
      </c>
      <c r="D913" s="27" t="s">
        <v>13</v>
      </c>
      <c r="E913" s="25">
        <v>129</v>
      </c>
      <c r="F913" s="27" t="s">
        <v>13</v>
      </c>
      <c r="G913" s="25">
        <v>500</v>
      </c>
      <c r="H913" s="25"/>
    </row>
    <row r="914" spans="1:8" ht="14">
      <c r="A914" s="25" t="s">
        <v>2358</v>
      </c>
      <c r="B914" s="26" t="s">
        <v>161</v>
      </c>
      <c r="C914" s="25" t="str">
        <f t="shared" si="17"/>
        <v>tmt6_130</v>
      </c>
      <c r="D914" s="27" t="s">
        <v>13</v>
      </c>
      <c r="E914" s="25">
        <v>130</v>
      </c>
      <c r="F914" s="27" t="s">
        <v>13</v>
      </c>
      <c r="G914" s="25">
        <v>500</v>
      </c>
      <c r="H914" s="25"/>
    </row>
    <row r="915" spans="1:8" ht="14">
      <c r="A915" s="25" t="s">
        <v>2359</v>
      </c>
      <c r="B915" s="26" t="s">
        <v>161</v>
      </c>
      <c r="C915" s="25" t="str">
        <f t="shared" si="17"/>
        <v>tmt6_131</v>
      </c>
      <c r="D915" s="27" t="s">
        <v>13</v>
      </c>
      <c r="E915" s="25">
        <v>131</v>
      </c>
      <c r="F915" s="27" t="s">
        <v>13</v>
      </c>
      <c r="G915" s="25">
        <v>500</v>
      </c>
      <c r="H915" s="25"/>
    </row>
    <row r="916" spans="1:8" ht="14">
      <c r="A916" s="25" t="s">
        <v>2360</v>
      </c>
      <c r="B916" s="26" t="s">
        <v>168</v>
      </c>
      <c r="C916" s="25" t="str">
        <f t="shared" si="17"/>
        <v>biochem</v>
      </c>
      <c r="D916" s="27" t="s">
        <v>13</v>
      </c>
      <c r="E916" s="25" t="s">
        <v>2361</v>
      </c>
      <c r="F916" s="25" t="s">
        <v>2362</v>
      </c>
      <c r="G916" s="25">
        <v>500</v>
      </c>
      <c r="H916" s="25"/>
    </row>
    <row r="917" spans="1:8" ht="14">
      <c r="A917" s="25" t="s">
        <v>2363</v>
      </c>
      <c r="B917" s="26" t="s">
        <v>168</v>
      </c>
      <c r="C917" s="25" t="str">
        <f t="shared" si="17"/>
        <v>cecad</v>
      </c>
      <c r="D917" s="27" t="s">
        <v>13</v>
      </c>
      <c r="E917" s="25" t="s">
        <v>2364</v>
      </c>
      <c r="F917" s="25" t="s">
        <v>2365</v>
      </c>
      <c r="G917" s="25">
        <v>500</v>
      </c>
      <c r="H917" s="25"/>
    </row>
    <row r="918" spans="1:8" ht="14">
      <c r="A918" s="25" t="s">
        <v>2366</v>
      </c>
      <c r="B918" s="26" t="s">
        <v>168</v>
      </c>
      <c r="C918" s="25" t="str">
        <f t="shared" si="17"/>
        <v>mpiage</v>
      </c>
      <c r="D918" s="27" t="s">
        <v>13</v>
      </c>
      <c r="E918" s="25" t="s">
        <v>2367</v>
      </c>
      <c r="F918" s="25" t="s">
        <v>2368</v>
      </c>
      <c r="G918" s="25">
        <v>500</v>
      </c>
      <c r="H918" s="25"/>
    </row>
    <row r="919" spans="1:8" ht="14">
      <c r="A919" s="25" t="s">
        <v>2369</v>
      </c>
      <c r="B919" s="26" t="s">
        <v>168</v>
      </c>
      <c r="C919" s="25" t="str">
        <f t="shared" si="17"/>
        <v>mpimetab</v>
      </c>
      <c r="D919" s="27" t="s">
        <v>13</v>
      </c>
      <c r="E919" s="25" t="s">
        <v>2370</v>
      </c>
      <c r="F919" s="25" t="s">
        <v>2371</v>
      </c>
      <c r="G919" s="25">
        <v>500</v>
      </c>
      <c r="H919" s="25"/>
    </row>
    <row r="920" spans="1:8" ht="14">
      <c r="A920" s="25" t="s">
        <v>2918</v>
      </c>
      <c r="B920" s="26" t="s">
        <v>168</v>
      </c>
      <c r="C920" s="25" t="str">
        <f t="shared" si="17"/>
        <v>unibonn</v>
      </c>
      <c r="D920" s="27" t="s">
        <v>13</v>
      </c>
      <c r="E920" s="25" t="s">
        <v>2919</v>
      </c>
      <c r="F920" s="25" t="s">
        <v>2919</v>
      </c>
      <c r="G920" s="25">
        <v>500</v>
      </c>
      <c r="H920" s="25"/>
    </row>
    <row r="921" spans="1:8" ht="14">
      <c r="A921" s="25" t="s">
        <v>2372</v>
      </c>
      <c r="B921" s="26" t="s">
        <v>172</v>
      </c>
      <c r="C921" s="25" t="str">
        <f t="shared" si="17"/>
        <v>mitoprotea</v>
      </c>
      <c r="D921" s="25" t="s">
        <v>13</v>
      </c>
      <c r="E921" s="25" t="s">
        <v>2373</v>
      </c>
      <c r="F921" s="25" t="s">
        <v>2374</v>
      </c>
      <c r="G921" s="25">
        <v>500</v>
      </c>
      <c r="H921" s="25"/>
    </row>
    <row r="922" spans="1:8" ht="14">
      <c r="A922" s="25" t="s">
        <v>2375</v>
      </c>
      <c r="B922" s="26" t="s">
        <v>172</v>
      </c>
      <c r="C922" s="25" t="str">
        <f t="shared" si="17"/>
        <v>molageing</v>
      </c>
      <c r="D922" s="25" t="s">
        <v>13</v>
      </c>
      <c r="E922" s="25" t="s">
        <v>2376</v>
      </c>
      <c r="F922" s="25" t="s">
        <v>2377</v>
      </c>
      <c r="G922" s="25">
        <v>500</v>
      </c>
      <c r="H922" s="25"/>
    </row>
    <row r="923" spans="1:8" ht="14">
      <c r="A923" s="25" t="s">
        <v>3010</v>
      </c>
      <c r="B923" s="26" t="s">
        <v>172</v>
      </c>
      <c r="C923" s="25" t="str">
        <f t="shared" si="17"/>
        <v>protfa</v>
      </c>
      <c r="D923" s="25" t="s">
        <v>13</v>
      </c>
      <c r="E923" s="25" t="s">
        <v>3009</v>
      </c>
      <c r="F923" s="25" t="s">
        <v>3008</v>
      </c>
      <c r="G923" s="25">
        <v>500</v>
      </c>
      <c r="H923" s="25"/>
    </row>
    <row r="924" spans="1:8" ht="14">
      <c r="A924" s="25" t="s">
        <v>2732</v>
      </c>
      <c r="B924" s="26" t="s">
        <v>172</v>
      </c>
      <c r="C924" s="25" t="str">
        <f t="shared" si="17"/>
        <v>frezza</v>
      </c>
      <c r="D924" s="25" t="s">
        <v>13</v>
      </c>
      <c r="E924" s="25" t="s">
        <v>2733</v>
      </c>
      <c r="F924" s="25" t="s">
        <v>2734</v>
      </c>
      <c r="G924" s="25">
        <v>500</v>
      </c>
      <c r="H924" s="25"/>
    </row>
    <row r="925" spans="1:8" ht="14">
      <c r="A925" s="25" t="s">
        <v>2735</v>
      </c>
      <c r="B925" s="26" t="s">
        <v>172</v>
      </c>
      <c r="C925" s="25" t="str">
        <f t="shared" si="17"/>
        <v>krueger</v>
      </c>
      <c r="D925" s="25" t="s">
        <v>13</v>
      </c>
      <c r="E925" s="25" t="s">
        <v>2736</v>
      </c>
      <c r="F925" s="25" t="s">
        <v>2737</v>
      </c>
      <c r="G925" s="25">
        <v>500</v>
      </c>
      <c r="H925" s="25"/>
    </row>
    <row r="926" spans="1:8" ht="14">
      <c r="A926" s="25" t="s">
        <v>2738</v>
      </c>
      <c r="B926" s="26" t="s">
        <v>172</v>
      </c>
      <c r="C926" s="25" t="str">
        <f t="shared" si="17"/>
        <v>rugarli</v>
      </c>
      <c r="D926" s="25" t="s">
        <v>13</v>
      </c>
      <c r="E926" s="25" t="s">
        <v>2739</v>
      </c>
      <c r="F926" s="25" t="s">
        <v>2737</v>
      </c>
      <c r="G926" s="25">
        <v>500</v>
      </c>
      <c r="H926" s="25"/>
    </row>
    <row r="927" spans="1:8" ht="14">
      <c r="A927" s="25" t="s">
        <v>2740</v>
      </c>
      <c r="B927" s="26" t="s">
        <v>172</v>
      </c>
      <c r="C927" s="25" t="str">
        <f t="shared" si="17"/>
        <v>trifunovic</v>
      </c>
      <c r="D927" s="25" t="s">
        <v>13</v>
      </c>
      <c r="E927" s="25" t="s">
        <v>2741</v>
      </c>
      <c r="F927" s="25" t="s">
        <v>2742</v>
      </c>
      <c r="G927" s="25">
        <v>500</v>
      </c>
      <c r="H927" s="25"/>
    </row>
    <row r="928" spans="1:8" ht="14">
      <c r="A928" s="25" t="s">
        <v>2892</v>
      </c>
      <c r="B928" s="26" t="s">
        <v>172</v>
      </c>
      <c r="C928" s="25" t="str">
        <f t="shared" si="17"/>
        <v>bergmani</v>
      </c>
      <c r="D928" s="25" t="s">
        <v>13</v>
      </c>
      <c r="E928" s="25" t="s">
        <v>2900</v>
      </c>
      <c r="F928" s="25" t="s">
        <v>2910</v>
      </c>
      <c r="G928" s="25">
        <v>500</v>
      </c>
      <c r="H928" s="25"/>
    </row>
    <row r="929" spans="1:8" ht="14">
      <c r="A929" s="25" t="s">
        <v>2893</v>
      </c>
      <c r="B929" s="26" t="s">
        <v>172</v>
      </c>
      <c r="C929" s="25" t="str">
        <f t="shared" si="17"/>
        <v>motori</v>
      </c>
      <c r="D929" s="25" t="s">
        <v>13</v>
      </c>
      <c r="E929" s="25" t="s">
        <v>2901</v>
      </c>
      <c r="F929" s="25" t="s">
        <v>2911</v>
      </c>
      <c r="G929" s="25">
        <v>500</v>
      </c>
      <c r="H929" s="25"/>
    </row>
    <row r="930" spans="1:8" ht="14">
      <c r="A930" s="25" t="s">
        <v>2894</v>
      </c>
      <c r="B930" s="26" t="s">
        <v>172</v>
      </c>
      <c r="C930" s="25" t="str">
        <f t="shared" si="17"/>
        <v>becker</v>
      </c>
      <c r="D930" s="25" t="s">
        <v>13</v>
      </c>
      <c r="E930" s="25" t="s">
        <v>2902</v>
      </c>
      <c r="F930" s="25" t="s">
        <v>2917</v>
      </c>
      <c r="G930" s="25">
        <v>500</v>
      </c>
      <c r="H930" s="25"/>
    </row>
    <row r="931" spans="1:8" ht="14">
      <c r="A931" s="25" t="s">
        <v>2895</v>
      </c>
      <c r="B931" s="26" t="s">
        <v>172</v>
      </c>
      <c r="C931" s="25" t="str">
        <f t="shared" si="17"/>
        <v>bruening</v>
      </c>
      <c r="D931" s="25" t="s">
        <v>13</v>
      </c>
      <c r="E931" s="25" t="s">
        <v>2915</v>
      </c>
      <c r="F931" s="25" t="s">
        <v>2914</v>
      </c>
      <c r="G931" s="25">
        <v>500</v>
      </c>
      <c r="H931" s="25"/>
    </row>
    <row r="932" spans="1:8" ht="14">
      <c r="A932" s="25" t="s">
        <v>2904</v>
      </c>
      <c r="B932" s="26" t="s">
        <v>172</v>
      </c>
      <c r="C932" s="25" t="str">
        <f t="shared" si="17"/>
        <v>escobar</v>
      </c>
      <c r="D932" s="25" t="s">
        <v>13</v>
      </c>
      <c r="E932" s="25" t="s">
        <v>2903</v>
      </c>
      <c r="F932" s="25" t="s">
        <v>2912</v>
      </c>
      <c r="G932" s="25">
        <v>500</v>
      </c>
      <c r="H932" s="25"/>
    </row>
    <row r="933" spans="1:8" ht="14">
      <c r="A933" s="25" t="s">
        <v>2769</v>
      </c>
      <c r="B933" s="26" t="s">
        <v>172</v>
      </c>
      <c r="C933" s="25" t="str">
        <f t="shared" si="17"/>
        <v>garcia</v>
      </c>
      <c r="D933" s="25" t="s">
        <v>13</v>
      </c>
      <c r="E933" s="25" t="s">
        <v>2770</v>
      </c>
      <c r="F933" s="25" t="s">
        <v>2913</v>
      </c>
      <c r="G933" s="25">
        <v>500</v>
      </c>
      <c r="H933" s="25"/>
    </row>
    <row r="934" spans="1:8" ht="14">
      <c r="A934" s="25" t="s">
        <v>2896</v>
      </c>
      <c r="B934" s="26" t="s">
        <v>172</v>
      </c>
      <c r="C934" s="25" t="str">
        <f t="shared" si="17"/>
        <v>piano</v>
      </c>
      <c r="D934" s="25" t="s">
        <v>13</v>
      </c>
      <c r="E934" s="25" t="s">
        <v>2905</v>
      </c>
      <c r="F934" s="25" t="s">
        <v>2920</v>
      </c>
      <c r="G934" s="25">
        <v>500</v>
      </c>
      <c r="H934" s="25"/>
    </row>
    <row r="935" spans="1:8" ht="14">
      <c r="A935" s="25" t="s">
        <v>2897</v>
      </c>
      <c r="B935" s="26" t="s">
        <v>172</v>
      </c>
      <c r="C935" s="25" t="str">
        <f t="shared" si="17"/>
        <v>schwarz</v>
      </c>
      <c r="D935" s="25" t="s">
        <v>13</v>
      </c>
      <c r="E935" s="25" t="s">
        <v>2906</v>
      </c>
      <c r="F935" s="25" t="s">
        <v>2916</v>
      </c>
      <c r="G935" s="25">
        <v>500</v>
      </c>
      <c r="H935" s="25"/>
    </row>
    <row r="936" spans="1:8" ht="14">
      <c r="A936" s="25" t="s">
        <v>2898</v>
      </c>
      <c r="B936" s="26" t="s">
        <v>172</v>
      </c>
      <c r="C936" s="25" t="str">
        <f t="shared" si="17"/>
        <v>corrado</v>
      </c>
      <c r="D936" s="25" t="s">
        <v>13</v>
      </c>
      <c r="E936" s="25" t="s">
        <v>2907</v>
      </c>
      <c r="F936" s="25" t="s">
        <v>2921</v>
      </c>
      <c r="G936" s="25">
        <v>500</v>
      </c>
      <c r="H936" s="25"/>
    </row>
    <row r="937" spans="1:8" ht="14">
      <c r="A937" s="25" t="s">
        <v>2899</v>
      </c>
      <c r="B937" s="26" t="s">
        <v>172</v>
      </c>
      <c r="C937" s="25" t="str">
        <f t="shared" si="17"/>
        <v>eming</v>
      </c>
      <c r="D937" s="25" t="s">
        <v>13</v>
      </c>
      <c r="E937" s="25" t="s">
        <v>2908</v>
      </c>
      <c r="F937" s="25" t="s">
        <v>2909</v>
      </c>
      <c r="G937" s="25">
        <v>500</v>
      </c>
      <c r="H937" s="25"/>
    </row>
    <row r="938" spans="1:8" ht="14">
      <c r="A938" s="25" t="s">
        <v>2766</v>
      </c>
      <c r="B938" s="26" t="s">
        <v>172</v>
      </c>
      <c r="C938" s="25" t="str">
        <f t="shared" si="17"/>
        <v>hoppe</v>
      </c>
      <c r="D938" s="25" t="s">
        <v>13</v>
      </c>
      <c r="E938" s="25" t="s">
        <v>2767</v>
      </c>
      <c r="F938" s="25" t="s">
        <v>2768</v>
      </c>
      <c r="G938" s="25">
        <v>500</v>
      </c>
      <c r="H938" s="25"/>
    </row>
    <row r="939" spans="1:8" ht="14">
      <c r="A939" s="25" t="s">
        <v>2769</v>
      </c>
      <c r="B939" s="26" t="s">
        <v>172</v>
      </c>
      <c r="C939" s="25" t="str">
        <f t="shared" si="17"/>
        <v>garcia</v>
      </c>
      <c r="D939" s="25" t="s">
        <v>13</v>
      </c>
      <c r="E939" s="25" t="s">
        <v>2770</v>
      </c>
      <c r="F939" s="25" t="s">
        <v>2768</v>
      </c>
      <c r="G939" s="25">
        <v>500</v>
      </c>
      <c r="H939" s="25"/>
    </row>
    <row r="940" spans="1:8" ht="14">
      <c r="A940" s="25" t="s">
        <v>2771</v>
      </c>
      <c r="B940" s="26" t="s">
        <v>172</v>
      </c>
      <c r="C940" s="25" t="str">
        <f t="shared" si="17"/>
        <v>khaskar</v>
      </c>
      <c r="D940" s="25" t="s">
        <v>13</v>
      </c>
      <c r="E940" s="25" t="s">
        <v>2772</v>
      </c>
      <c r="F940" s="25" t="s">
        <v>2773</v>
      </c>
      <c r="G940" s="25">
        <v>500</v>
      </c>
      <c r="H940" s="25"/>
    </row>
    <row r="941" spans="1:8" ht="14">
      <c r="A941" s="25" t="s">
        <v>2888</v>
      </c>
      <c r="B941" s="26" t="s">
        <v>172</v>
      </c>
      <c r="C941" s="25" t="str">
        <f t="shared" si="17"/>
        <v>riemer</v>
      </c>
      <c r="D941" s="25" t="s">
        <v>13</v>
      </c>
      <c r="E941" s="25" t="s">
        <v>2889</v>
      </c>
      <c r="F941" s="25" t="s">
        <v>2890</v>
      </c>
      <c r="G941" s="25">
        <v>500</v>
      </c>
      <c r="H941" s="25"/>
    </row>
    <row r="942" spans="1:8" ht="14">
      <c r="A942" s="25" t="s">
        <v>2686</v>
      </c>
      <c r="B942" s="31" t="s">
        <v>2682</v>
      </c>
      <c r="C942" s="25" t="str">
        <f t="shared" si="17"/>
        <v>wd</v>
      </c>
      <c r="D942" s="25" t="s">
        <v>13</v>
      </c>
      <c r="E942" s="25" t="s">
        <v>2685</v>
      </c>
      <c r="F942" s="25" t="s">
        <v>2684</v>
      </c>
      <c r="G942" s="25">
        <v>500</v>
      </c>
      <c r="H942" s="25"/>
    </row>
    <row r="943" spans="1:8" ht="14">
      <c r="A943" s="25" t="s">
        <v>2687</v>
      </c>
      <c r="B943" s="31" t="s">
        <v>2682</v>
      </c>
      <c r="C943" s="25" t="str">
        <f t="shared" si="17"/>
        <v>sd</v>
      </c>
      <c r="D943" s="25" t="s">
        <v>13</v>
      </c>
      <c r="E943" s="25" t="s">
        <v>2688</v>
      </c>
      <c r="F943" s="25"/>
      <c r="G943" s="25">
        <v>500</v>
      </c>
      <c r="H943" s="25"/>
    </row>
    <row r="944" spans="1:8" ht="14">
      <c r="A944" s="25" t="s">
        <v>2689</v>
      </c>
      <c r="B944" s="31" t="s">
        <v>2682</v>
      </c>
      <c r="C944" s="25" t="str">
        <f t="shared" si="17"/>
        <v>veg</v>
      </c>
      <c r="D944" s="25" t="s">
        <v>13</v>
      </c>
      <c r="E944" s="25" t="s">
        <v>2690</v>
      </c>
      <c r="F944" s="25" t="s">
        <v>2691</v>
      </c>
      <c r="G944" s="25">
        <v>500</v>
      </c>
      <c r="H944" s="25"/>
    </row>
    <row r="945" spans="1:8" ht="14">
      <c r="A945" s="25" t="s">
        <v>2694</v>
      </c>
      <c r="B945" s="31" t="s">
        <v>2682</v>
      </c>
      <c r="C945" s="25" t="str">
        <f t="shared" si="17"/>
        <v>hg</v>
      </c>
      <c r="D945" s="25" t="s">
        <v>13</v>
      </c>
      <c r="E945" s="25" t="s">
        <v>2692</v>
      </c>
      <c r="F945" s="25" t="s">
        <v>2693</v>
      </c>
      <c r="G945" s="25">
        <v>500</v>
      </c>
      <c r="H945" s="25"/>
    </row>
    <row r="946" spans="1:8" ht="14">
      <c r="A946" s="25" t="s">
        <v>2697</v>
      </c>
      <c r="B946" s="26" t="s">
        <v>2682</v>
      </c>
      <c r="C946" s="25" t="str">
        <f t="shared" si="17"/>
        <v>hfd</v>
      </c>
      <c r="D946" s="25" t="s">
        <v>13</v>
      </c>
      <c r="E946" s="25" t="s">
        <v>2695</v>
      </c>
      <c r="F946" s="25" t="s">
        <v>2696</v>
      </c>
      <c r="G946" s="25">
        <v>500</v>
      </c>
      <c r="H946" s="25"/>
    </row>
    <row r="947" spans="1:8" ht="14">
      <c r="A947" s="25" t="s">
        <v>2432</v>
      </c>
      <c r="B947" s="26" t="s">
        <v>51</v>
      </c>
      <c r="C947" s="25" t="str">
        <f t="shared" si="17"/>
        <v>lps</v>
      </c>
      <c r="D947" s="25" t="s">
        <v>13</v>
      </c>
      <c r="E947" s="25" t="s">
        <v>2433</v>
      </c>
      <c r="F947" s="25" t="s">
        <v>2434</v>
      </c>
      <c r="G947" s="25">
        <v>500</v>
      </c>
      <c r="H947" s="25"/>
    </row>
    <row r="948" spans="1:8" ht="14">
      <c r="A948" s="25" t="s">
        <v>2443</v>
      </c>
      <c r="B948" s="26" t="s">
        <v>51</v>
      </c>
      <c r="C948" s="25" t="str">
        <f t="shared" si="17"/>
        <v>r848</v>
      </c>
      <c r="D948" s="25" t="s">
        <v>13</v>
      </c>
      <c r="E948" s="25" t="s">
        <v>2444</v>
      </c>
      <c r="F948" s="25" t="s">
        <v>2836</v>
      </c>
      <c r="G948" s="25">
        <v>500</v>
      </c>
      <c r="H948" s="25"/>
    </row>
    <row r="949" spans="1:8" ht="14">
      <c r="A949" s="25" t="s">
        <v>3065</v>
      </c>
      <c r="B949" s="26" t="s">
        <v>51</v>
      </c>
      <c r="C949" s="25" t="str">
        <f t="shared" si="17"/>
        <v>mitoblock10</v>
      </c>
      <c r="D949" s="25" t="s">
        <v>13</v>
      </c>
      <c r="E949" s="25" t="s">
        <v>3063</v>
      </c>
      <c r="F949" s="25" t="s">
        <v>3064</v>
      </c>
      <c r="G949" s="25">
        <v>500</v>
      </c>
      <c r="H949" s="25"/>
    </row>
    <row r="950" spans="1:8" ht="14">
      <c r="A950" s="25" t="s">
        <v>3104</v>
      </c>
      <c r="B950" s="26" t="s">
        <v>51</v>
      </c>
      <c r="C950" s="25" t="str">
        <f t="shared" si="17"/>
        <v>ifng</v>
      </c>
      <c r="D950" s="25" t="s">
        <v>13</v>
      </c>
      <c r="E950" s="25" t="s">
        <v>3105</v>
      </c>
      <c r="F950" s="25" t="s">
        <v>3106</v>
      </c>
      <c r="G950" s="25">
        <v>500</v>
      </c>
      <c r="H950" s="25"/>
    </row>
    <row r="951" spans="1:8" ht="14">
      <c r="A951" s="25" t="s">
        <v>3107</v>
      </c>
      <c r="B951" s="26" t="s">
        <v>51</v>
      </c>
      <c r="C951" s="25" t="str">
        <f t="shared" si="17"/>
        <v>il4</v>
      </c>
      <c r="D951" s="25" t="s">
        <v>13</v>
      </c>
      <c r="E951" s="25" t="s">
        <v>3108</v>
      </c>
      <c r="F951" s="25" t="s">
        <v>3109</v>
      </c>
      <c r="G951" s="25">
        <v>500</v>
      </c>
      <c r="H951" s="25"/>
    </row>
    <row r="952" spans="1:8" ht="14">
      <c r="A952" s="25" t="s">
        <v>3110</v>
      </c>
      <c r="B952" s="26" t="s">
        <v>51</v>
      </c>
      <c r="C952" s="25" t="str">
        <f t="shared" si="17"/>
        <v>il13</v>
      </c>
      <c r="D952" s="25" t="s">
        <v>13</v>
      </c>
      <c r="E952" s="25" t="s">
        <v>3111</v>
      </c>
      <c r="F952" s="25" t="s">
        <v>3112</v>
      </c>
      <c r="G952" s="25">
        <v>500</v>
      </c>
      <c r="H952" s="25"/>
    </row>
    <row r="953" spans="1:8" ht="14">
      <c r="A953" s="25" t="s">
        <v>3113</v>
      </c>
      <c r="B953" s="26" t="s">
        <v>51</v>
      </c>
      <c r="C953" s="25" t="str">
        <f t="shared" si="17"/>
        <v>asynlow</v>
      </c>
      <c r="D953" s="25" t="s">
        <v>13</v>
      </c>
      <c r="E953" s="25" t="s">
        <v>3114</v>
      </c>
      <c r="F953" s="25" t="s">
        <v>3117</v>
      </c>
      <c r="G953" s="25">
        <v>500</v>
      </c>
      <c r="H953" s="25"/>
    </row>
    <row r="954" spans="1:8" ht="14">
      <c r="A954" s="25" t="s">
        <v>3115</v>
      </c>
      <c r="B954" s="26" t="s">
        <v>51</v>
      </c>
      <c r="C954" s="25" t="str">
        <f t="shared" si="17"/>
        <v>asynhigh</v>
      </c>
      <c r="D954" s="25" t="s">
        <v>13</v>
      </c>
      <c r="E954" s="25" t="s">
        <v>3116</v>
      </c>
      <c r="F954" s="25" t="s">
        <v>3118</v>
      </c>
      <c r="G954" s="25">
        <v>500</v>
      </c>
      <c r="H954" s="25"/>
    </row>
    <row r="955" spans="1:8" ht="14">
      <c r="A955" s="25" t="s">
        <v>2837</v>
      </c>
      <c r="B955" s="26" t="s">
        <v>35</v>
      </c>
      <c r="C955" s="25" t="str">
        <f t="shared" si="17"/>
        <v>mdc</v>
      </c>
      <c r="D955" s="25" t="s">
        <v>13</v>
      </c>
      <c r="E955" s="25" t="s">
        <v>2858</v>
      </c>
      <c r="F955" s="25" t="s">
        <v>2857</v>
      </c>
      <c r="G955" s="25">
        <v>500</v>
      </c>
      <c r="H955" s="25"/>
    </row>
    <row r="956" spans="1:8" ht="14">
      <c r="A956" s="25" t="s">
        <v>2838</v>
      </c>
      <c r="B956" s="26" t="s">
        <v>35</v>
      </c>
      <c r="C956" s="25" t="str">
        <f t="shared" si="17"/>
        <v>mtregs</v>
      </c>
      <c r="D956" s="25" t="s">
        <v>13</v>
      </c>
      <c r="E956" s="25" t="s">
        <v>2856</v>
      </c>
      <c r="F956" s="25" t="s">
        <v>2855</v>
      </c>
      <c r="G956" s="25">
        <v>500</v>
      </c>
      <c r="H956" s="25"/>
    </row>
    <row r="957" spans="1:8" ht="14">
      <c r="A957" s="25" t="s">
        <v>2839</v>
      </c>
      <c r="B957" s="26" t="s">
        <v>35</v>
      </c>
      <c r="C957" s="25" t="str">
        <f t="shared" si="17"/>
        <v>pdc</v>
      </c>
      <c r="D957" s="25" t="s">
        <v>13</v>
      </c>
      <c r="E957" s="25" t="s">
        <v>2859</v>
      </c>
      <c r="F957" s="25" t="s">
        <v>2854</v>
      </c>
      <c r="G957" s="25">
        <v>500</v>
      </c>
      <c r="H957" s="25"/>
    </row>
    <row r="958" spans="1:8" ht="14">
      <c r="A958" s="25" t="s">
        <v>2840</v>
      </c>
      <c r="B958" s="26" t="s">
        <v>35</v>
      </c>
      <c r="C958" s="25" t="str">
        <f t="shared" ref="C958:C1000" si="18">A958</f>
        <v>attregs</v>
      </c>
      <c r="D958" s="25" t="s">
        <v>13</v>
      </c>
      <c r="E958" s="25" t="s">
        <v>2853</v>
      </c>
      <c r="F958" s="25" t="s">
        <v>2860</v>
      </c>
      <c r="G958" s="25">
        <v>500</v>
      </c>
      <c r="H958" s="25"/>
    </row>
    <row r="959" spans="1:8" ht="14">
      <c r="A959" s="25" t="s">
        <v>2841</v>
      </c>
      <c r="B959" s="26" t="s">
        <v>35</v>
      </c>
      <c r="C959" s="25" t="str">
        <f t="shared" si="18"/>
        <v>infdc</v>
      </c>
      <c r="D959" s="25" t="s">
        <v>13</v>
      </c>
      <c r="E959" s="25" t="s">
        <v>2852</v>
      </c>
      <c r="F959" s="25" t="s">
        <v>2851</v>
      </c>
      <c r="G959" s="25">
        <v>500</v>
      </c>
      <c r="H959" s="25"/>
    </row>
    <row r="960" spans="1:8" ht="14">
      <c r="A960" s="25" t="s">
        <v>2842</v>
      </c>
      <c r="B960" s="26" t="s">
        <v>35</v>
      </c>
      <c r="C960" s="25" t="str">
        <f t="shared" si="18"/>
        <v>itgres</v>
      </c>
      <c r="D960" s="25" t="s">
        <v>13</v>
      </c>
      <c r="E960" s="25" t="s">
        <v>2850</v>
      </c>
      <c r="F960" s="25" t="s">
        <v>2849</v>
      </c>
      <c r="G960" s="25">
        <v>500</v>
      </c>
      <c r="H960" s="25"/>
    </row>
    <row r="961" spans="1:8" ht="14">
      <c r="A961" s="25" t="s">
        <v>2843</v>
      </c>
      <c r="B961" s="26" t="s">
        <v>35</v>
      </c>
      <c r="C961" s="25" t="str">
        <f t="shared" si="18"/>
        <v>dendritic</v>
      </c>
      <c r="D961" s="25" t="s">
        <v>13</v>
      </c>
      <c r="E961" s="25" t="s">
        <v>2848</v>
      </c>
      <c r="F961" s="25" t="s">
        <v>2847</v>
      </c>
      <c r="G961" s="25">
        <v>500</v>
      </c>
      <c r="H961" s="25"/>
    </row>
    <row r="962" spans="1:8" ht="14">
      <c r="A962" s="25" t="s">
        <v>2844</v>
      </c>
      <c r="B962" s="26" t="s">
        <v>35</v>
      </c>
      <c r="C962" s="25" t="str">
        <f t="shared" si="18"/>
        <v>ememcell</v>
      </c>
      <c r="D962" s="25" t="s">
        <v>13</v>
      </c>
      <c r="E962" s="25" t="s">
        <v>2846</v>
      </c>
      <c r="F962" s="25" t="s">
        <v>2845</v>
      </c>
      <c r="G962" s="25">
        <v>500</v>
      </c>
      <c r="H962" s="25"/>
    </row>
    <row r="963" spans="1:8" ht="14">
      <c r="A963" s="25" t="s">
        <v>2861</v>
      </c>
      <c r="B963" s="26" t="s">
        <v>2780</v>
      </c>
      <c r="C963" s="25" t="str">
        <f t="shared" si="18"/>
        <v>supernatant</v>
      </c>
      <c r="D963" s="25" t="s">
        <v>13</v>
      </c>
      <c r="E963" s="25" t="s">
        <v>2862</v>
      </c>
      <c r="F963" s="25" t="s">
        <v>2863</v>
      </c>
      <c r="G963" s="25">
        <v>500</v>
      </c>
      <c r="H963" s="25"/>
    </row>
    <row r="964" spans="1:8" ht="14">
      <c r="A964" s="25" t="s">
        <v>2864</v>
      </c>
      <c r="B964" s="26" t="s">
        <v>4024</v>
      </c>
      <c r="C964" s="25" t="str">
        <f t="shared" si="18"/>
        <v>leftatrium</v>
      </c>
      <c r="D964" s="25" t="s">
        <v>13</v>
      </c>
      <c r="E964" s="25" t="s">
        <v>2865</v>
      </c>
      <c r="F964" s="25" t="s">
        <v>2866</v>
      </c>
      <c r="G964" s="25">
        <v>500</v>
      </c>
      <c r="H964" s="25"/>
    </row>
    <row r="965" spans="1:8" ht="14">
      <c r="A965" s="25" t="s">
        <v>2867</v>
      </c>
      <c r="B965" s="26" t="s">
        <v>4024</v>
      </c>
      <c r="C965" s="25" t="str">
        <f t="shared" si="18"/>
        <v>rightatrium</v>
      </c>
      <c r="D965" s="25" t="s">
        <v>13</v>
      </c>
      <c r="E965" s="25" t="s">
        <v>2868</v>
      </c>
      <c r="F965" s="25" t="s">
        <v>2869</v>
      </c>
      <c r="G965" s="25">
        <v>500</v>
      </c>
      <c r="H965" s="25"/>
    </row>
    <row r="966" spans="1:8" ht="14">
      <c r="A966" s="25" t="s">
        <v>2886</v>
      </c>
      <c r="B966" s="26" t="s">
        <v>4024</v>
      </c>
      <c r="C966" s="25" t="str">
        <f t="shared" si="18"/>
        <v>leftventri</v>
      </c>
      <c r="D966" s="25" t="s">
        <v>13</v>
      </c>
      <c r="E966" s="25" t="s">
        <v>2884</v>
      </c>
      <c r="F966" s="25" t="s">
        <v>2870</v>
      </c>
      <c r="G966" s="25">
        <v>500</v>
      </c>
      <c r="H966" s="25"/>
    </row>
    <row r="967" spans="1:8" ht="14">
      <c r="A967" s="25" t="s">
        <v>2887</v>
      </c>
      <c r="B967" s="26" t="s">
        <v>4024</v>
      </c>
      <c r="C967" s="25" t="str">
        <f t="shared" si="18"/>
        <v>rightventri</v>
      </c>
      <c r="D967" s="25" t="s">
        <v>13</v>
      </c>
      <c r="E967" s="25" t="s">
        <v>2885</v>
      </c>
      <c r="F967" s="25" t="s">
        <v>2870</v>
      </c>
      <c r="G967" s="25">
        <v>500</v>
      </c>
      <c r="H967" s="25"/>
    </row>
    <row r="968" spans="1:8" ht="14">
      <c r="A968" s="25" t="s">
        <v>2946</v>
      </c>
      <c r="B968" s="26" t="s">
        <v>2944</v>
      </c>
      <c r="C968" s="25" t="str">
        <f t="shared" si="18"/>
        <v>type1</v>
      </c>
      <c r="D968" s="25" t="s">
        <v>13</v>
      </c>
      <c r="E968" s="25" t="s">
        <v>2964</v>
      </c>
      <c r="F968" s="25" t="s">
        <v>2969</v>
      </c>
      <c r="G968" s="25">
        <v>500</v>
      </c>
      <c r="H968" s="25"/>
    </row>
    <row r="969" spans="1:8" ht="14">
      <c r="A969" s="25" t="s">
        <v>2947</v>
      </c>
      <c r="B969" s="26" t="s">
        <v>2944</v>
      </c>
      <c r="C969" s="25" t="str">
        <f t="shared" si="18"/>
        <v>type2a</v>
      </c>
      <c r="D969" s="25" t="s">
        <v>13</v>
      </c>
      <c r="E969" s="25" t="s">
        <v>2965</v>
      </c>
      <c r="F969" s="25" t="s">
        <v>2970</v>
      </c>
      <c r="G969" s="25">
        <v>500</v>
      </c>
      <c r="H969" s="25"/>
    </row>
    <row r="970" spans="1:8" ht="14">
      <c r="A970" s="25" t="s">
        <v>2948</v>
      </c>
      <c r="B970" s="26" t="s">
        <v>2944</v>
      </c>
      <c r="C970" s="25" t="str">
        <f t="shared" si="18"/>
        <v>type2b</v>
      </c>
      <c r="D970" s="25" t="s">
        <v>13</v>
      </c>
      <c r="E970" s="25" t="s">
        <v>2966</v>
      </c>
      <c r="F970" s="25" t="s">
        <v>2971</v>
      </c>
      <c r="G970" s="25">
        <v>500</v>
      </c>
      <c r="H970" s="25"/>
    </row>
    <row r="971" spans="1:8" ht="14">
      <c r="A971" s="25" t="s">
        <v>2949</v>
      </c>
      <c r="B971" s="26" t="s">
        <v>2944</v>
      </c>
      <c r="C971" s="25" t="str">
        <f t="shared" si="18"/>
        <v>type2x</v>
      </c>
      <c r="D971" s="25" t="s">
        <v>13</v>
      </c>
      <c r="E971" s="25" t="s">
        <v>2967</v>
      </c>
      <c r="F971" s="25" t="s">
        <v>2972</v>
      </c>
      <c r="G971" s="25">
        <v>500</v>
      </c>
      <c r="H971" s="25"/>
    </row>
    <row r="972" spans="1:8" ht="14">
      <c r="A972" s="25" t="s">
        <v>2950</v>
      </c>
      <c r="B972" s="26" t="s">
        <v>2944</v>
      </c>
      <c r="C972" s="25" t="str">
        <f t="shared" si="18"/>
        <v>type2d</v>
      </c>
      <c r="D972" s="25" t="s">
        <v>13</v>
      </c>
      <c r="E972" s="25" t="s">
        <v>2968</v>
      </c>
      <c r="F972" s="25" t="s">
        <v>2951</v>
      </c>
      <c r="G972" s="25">
        <v>500</v>
      </c>
      <c r="H972" s="25"/>
    </row>
    <row r="973" spans="1:8" ht="14">
      <c r="A973" s="25" t="s">
        <v>2952</v>
      </c>
      <c r="B973" s="26" t="s">
        <v>2944</v>
      </c>
      <c r="C973" s="25" t="str">
        <f t="shared" si="18"/>
        <v>mixedt12a</v>
      </c>
      <c r="D973" s="25" t="s">
        <v>13</v>
      </c>
      <c r="E973" s="25" t="s">
        <v>2953</v>
      </c>
      <c r="F973" s="25" t="s">
        <v>2974</v>
      </c>
      <c r="G973" s="25">
        <v>500</v>
      </c>
      <c r="H973" s="25"/>
    </row>
    <row r="974" spans="1:8" ht="14">
      <c r="A974" s="25" t="s">
        <v>2954</v>
      </c>
      <c r="B974" s="26" t="s">
        <v>2944</v>
      </c>
      <c r="C974" s="25" t="str">
        <f t="shared" si="18"/>
        <v>mixedt12x</v>
      </c>
      <c r="D974" s="25" t="s">
        <v>13</v>
      </c>
      <c r="E974" s="25" t="s">
        <v>2955</v>
      </c>
      <c r="F974" s="25" t="s">
        <v>2973</v>
      </c>
      <c r="G974" s="25">
        <v>500</v>
      </c>
      <c r="H974" s="25"/>
    </row>
    <row r="975" spans="1:8" ht="14">
      <c r="A975" s="25" t="s">
        <v>2956</v>
      </c>
      <c r="B975" s="26" t="s">
        <v>2944</v>
      </c>
      <c r="C975" s="25" t="str">
        <f t="shared" si="18"/>
        <v>mixedt1tb</v>
      </c>
      <c r="D975" s="25" t="s">
        <v>13</v>
      </c>
      <c r="E975" s="25" t="s">
        <v>2957</v>
      </c>
      <c r="F975" s="25" t="s">
        <v>2975</v>
      </c>
      <c r="G975" s="25">
        <v>500</v>
      </c>
      <c r="H975" s="25"/>
    </row>
    <row r="976" spans="1:8" ht="14">
      <c r="A976" s="25" t="s">
        <v>2958</v>
      </c>
      <c r="B976" s="26" t="s">
        <v>2944</v>
      </c>
      <c r="C976" s="25" t="str">
        <f t="shared" si="18"/>
        <v>mixed2a2b</v>
      </c>
      <c r="D976" s="25" t="s">
        <v>13</v>
      </c>
      <c r="E976" s="25" t="s">
        <v>2959</v>
      </c>
      <c r="F976" s="25" t="s">
        <v>2976</v>
      </c>
      <c r="G976" s="25">
        <v>500</v>
      </c>
      <c r="H976" s="25"/>
    </row>
    <row r="977" spans="1:8" ht="14">
      <c r="A977" s="25" t="s">
        <v>2960</v>
      </c>
      <c r="B977" s="26" t="s">
        <v>2944</v>
      </c>
      <c r="C977" s="25" t="str">
        <f t="shared" si="18"/>
        <v>mixed2a2x</v>
      </c>
      <c r="D977" s="25" t="s">
        <v>13</v>
      </c>
      <c r="E977" s="25" t="s">
        <v>2961</v>
      </c>
      <c r="F977" s="25" t="s">
        <v>2977</v>
      </c>
      <c r="G977" s="25">
        <v>500</v>
      </c>
      <c r="H977" s="25"/>
    </row>
    <row r="978" spans="1:8" ht="14">
      <c r="A978" s="25" t="s">
        <v>2962</v>
      </c>
      <c r="B978" s="26" t="s">
        <v>2944</v>
      </c>
      <c r="C978" s="25" t="str">
        <f t="shared" si="18"/>
        <v>mixed2b2x</v>
      </c>
      <c r="D978" s="25" t="s">
        <v>13</v>
      </c>
      <c r="E978" s="25" t="s">
        <v>2963</v>
      </c>
      <c r="F978" s="25" t="s">
        <v>2978</v>
      </c>
      <c r="G978" s="25">
        <v>500</v>
      </c>
      <c r="H978" s="25"/>
    </row>
    <row r="979" spans="1:8" ht="14">
      <c r="A979" s="25" t="s">
        <v>3077</v>
      </c>
      <c r="B979" s="26" t="s">
        <v>3022</v>
      </c>
      <c r="C979" s="25" t="str">
        <f t="shared" si="18"/>
        <v>sol_pellet</v>
      </c>
      <c r="D979" s="25" t="s">
        <v>13</v>
      </c>
      <c r="E979" s="25" t="s">
        <v>3017</v>
      </c>
      <c r="F979" s="25" t="s">
        <v>3023</v>
      </c>
      <c r="G979" s="25">
        <v>500</v>
      </c>
      <c r="H979" s="25"/>
    </row>
    <row r="980" spans="1:8" ht="14">
      <c r="A980" s="25" t="s">
        <v>3076</v>
      </c>
      <c r="B980" s="26" t="s">
        <v>3022</v>
      </c>
      <c r="C980" s="25" t="str">
        <f t="shared" si="18"/>
        <v>sol_total</v>
      </c>
      <c r="D980" s="25" t="s">
        <v>13</v>
      </c>
      <c r="E980" s="25" t="s">
        <v>1134</v>
      </c>
      <c r="F980" s="25" t="s">
        <v>3024</v>
      </c>
      <c r="G980" s="25">
        <v>500</v>
      </c>
      <c r="H980" s="25"/>
    </row>
    <row r="981" spans="1:8" ht="14">
      <c r="A981" s="25" t="s">
        <v>3078</v>
      </c>
      <c r="B981" s="26" t="s">
        <v>3022</v>
      </c>
      <c r="C981" s="25" t="str">
        <f t="shared" si="18"/>
        <v>sol_supernatant</v>
      </c>
      <c r="D981" s="25" t="s">
        <v>13</v>
      </c>
      <c r="E981" s="25" t="s">
        <v>2862</v>
      </c>
      <c r="F981" s="25" t="s">
        <v>3025</v>
      </c>
      <c r="G981" s="25">
        <v>500</v>
      </c>
      <c r="H981" s="25"/>
    </row>
    <row r="982" spans="1:8" ht="14">
      <c r="A982" s="25">
        <v>275</v>
      </c>
      <c r="B982" s="26" t="s">
        <v>33</v>
      </c>
      <c r="C982" s="25">
        <f t="shared" si="18"/>
        <v>275</v>
      </c>
      <c r="D982" s="25" t="s">
        <v>13</v>
      </c>
      <c r="E982" s="25">
        <v>275</v>
      </c>
      <c r="F982" s="25" t="s">
        <v>13</v>
      </c>
      <c r="G982" s="25">
        <v>500</v>
      </c>
      <c r="H982" s="25"/>
    </row>
    <row r="983" spans="1:8" ht="14">
      <c r="A983" s="25">
        <v>320</v>
      </c>
      <c r="B983" s="26" t="s">
        <v>33</v>
      </c>
      <c r="C983" s="25">
        <f t="shared" si="18"/>
        <v>320</v>
      </c>
      <c r="D983" s="25" t="s">
        <v>13</v>
      </c>
      <c r="E983" s="25">
        <v>320</v>
      </c>
      <c r="F983" s="25" t="s">
        <v>13</v>
      </c>
      <c r="G983" s="25">
        <v>500</v>
      </c>
      <c r="H983" s="25"/>
    </row>
    <row r="984" spans="1:8" ht="14">
      <c r="A984" s="25" t="s">
        <v>3054</v>
      </c>
      <c r="B984" s="26" t="s">
        <v>3053</v>
      </c>
      <c r="C984" s="25" t="str">
        <f t="shared" si="18"/>
        <v>input</v>
      </c>
      <c r="D984" s="25" t="s">
        <v>13</v>
      </c>
      <c r="E984" s="25" t="s">
        <v>3055</v>
      </c>
      <c r="F984" s="28" t="s">
        <v>3056</v>
      </c>
      <c r="G984" s="25">
        <v>500</v>
      </c>
      <c r="H984" s="25"/>
    </row>
    <row r="985" spans="1:8" ht="14">
      <c r="A985" s="25" t="s">
        <v>3060</v>
      </c>
      <c r="B985" s="26" t="s">
        <v>3053</v>
      </c>
      <c r="C985" s="25" t="str">
        <f t="shared" si="18"/>
        <v>elution</v>
      </c>
      <c r="D985" s="25" t="s">
        <v>13</v>
      </c>
      <c r="E985" s="25" t="s">
        <v>3057</v>
      </c>
      <c r="F985" s="25" t="s">
        <v>3062</v>
      </c>
      <c r="G985" s="25">
        <v>500</v>
      </c>
      <c r="H985" s="25"/>
    </row>
    <row r="986" spans="1:8" ht="14">
      <c r="A986" s="25" t="s">
        <v>3059</v>
      </c>
      <c r="B986" s="26" t="s">
        <v>3053</v>
      </c>
      <c r="C986" s="25" t="str">
        <f t="shared" si="18"/>
        <v>wash</v>
      </c>
      <c r="D986" s="25" t="s">
        <v>13</v>
      </c>
      <c r="E986" s="25" t="s">
        <v>3058</v>
      </c>
      <c r="F986" s="25" t="s">
        <v>3061</v>
      </c>
      <c r="G986" s="25">
        <v>500</v>
      </c>
      <c r="H986" s="25"/>
    </row>
    <row r="987" spans="1:8" ht="14">
      <c r="A987" s="25" t="s">
        <v>3067</v>
      </c>
      <c r="B987" s="26" t="s">
        <v>3069</v>
      </c>
      <c r="C987" s="25" t="str">
        <f t="shared" si="18"/>
        <v>fbs</v>
      </c>
      <c r="D987" s="25" t="s">
        <v>13</v>
      </c>
      <c r="E987" s="25" t="s">
        <v>3070</v>
      </c>
      <c r="F987" s="32" t="s">
        <v>3073</v>
      </c>
      <c r="G987" s="25">
        <v>500</v>
      </c>
      <c r="H987" s="25"/>
    </row>
    <row r="988" spans="1:8" ht="14">
      <c r="A988" s="25" t="s">
        <v>3068</v>
      </c>
      <c r="B988" s="26" t="s">
        <v>3069</v>
      </c>
      <c r="C988" s="25" t="str">
        <f t="shared" si="18"/>
        <v>nofbs</v>
      </c>
      <c r="D988" s="25" t="s">
        <v>13</v>
      </c>
      <c r="E988" s="25" t="s">
        <v>3071</v>
      </c>
      <c r="F988" s="25" t="s">
        <v>3072</v>
      </c>
      <c r="G988" s="25">
        <v>500</v>
      </c>
      <c r="H988" s="25"/>
    </row>
    <row r="989" spans="1:8" ht="14">
      <c r="A989" s="25" t="s">
        <v>3079</v>
      </c>
      <c r="B989" s="26" t="s">
        <v>3075</v>
      </c>
      <c r="C989" s="25" t="str">
        <f t="shared" si="18"/>
        <v>embryo</v>
      </c>
      <c r="D989" s="25" t="s">
        <v>13</v>
      </c>
      <c r="E989" s="25" t="s">
        <v>3084</v>
      </c>
      <c r="F989" s="25" t="s">
        <v>3083</v>
      </c>
      <c r="G989" s="25">
        <v>500</v>
      </c>
      <c r="H989" s="25"/>
    </row>
    <row r="990" spans="1:8" ht="14">
      <c r="A990" s="25" t="s">
        <v>3080</v>
      </c>
      <c r="B990" s="26" t="s">
        <v>3075</v>
      </c>
      <c r="C990" s="25" t="str">
        <f t="shared" si="18"/>
        <v>young</v>
      </c>
      <c r="D990" s="25" t="s">
        <v>13</v>
      </c>
      <c r="E990" s="25" t="s">
        <v>3085</v>
      </c>
      <c r="F990" s="25" t="s">
        <v>3088</v>
      </c>
      <c r="G990" s="25">
        <v>500</v>
      </c>
      <c r="H990" s="25"/>
    </row>
    <row r="991" spans="1:8" ht="14">
      <c r="A991" s="25" t="s">
        <v>3081</v>
      </c>
      <c r="B991" s="26" t="s">
        <v>3075</v>
      </c>
      <c r="C991" s="25" t="str">
        <f t="shared" si="18"/>
        <v>adult</v>
      </c>
      <c r="D991" s="25" t="s">
        <v>13</v>
      </c>
      <c r="E991" s="25" t="s">
        <v>3086</v>
      </c>
      <c r="F991" s="25" t="s">
        <v>3090</v>
      </c>
      <c r="G991" s="25">
        <v>500</v>
      </c>
      <c r="H991" s="25"/>
    </row>
    <row r="992" spans="1:8" ht="14">
      <c r="A992" s="25" t="s">
        <v>3082</v>
      </c>
      <c r="B992" s="26" t="s">
        <v>3075</v>
      </c>
      <c r="C992" s="25" t="str">
        <f t="shared" si="18"/>
        <v>old</v>
      </c>
      <c r="D992" s="25" t="s">
        <v>13</v>
      </c>
      <c r="E992" s="25" t="s">
        <v>3087</v>
      </c>
      <c r="F992" s="25" t="s">
        <v>3089</v>
      </c>
      <c r="G992" s="25">
        <v>500</v>
      </c>
      <c r="H992" s="25"/>
    </row>
    <row r="993" spans="1:8" ht="14">
      <c r="A993" s="25" t="s">
        <v>3093</v>
      </c>
      <c r="B993" s="26" t="s">
        <v>3091</v>
      </c>
      <c r="C993" s="25" t="str">
        <f t="shared" si="18"/>
        <v>qc_hela</v>
      </c>
      <c r="D993" s="25" t="s">
        <v>13</v>
      </c>
      <c r="E993" s="25" t="s">
        <v>3094</v>
      </c>
      <c r="F993" s="25" t="s">
        <v>3095</v>
      </c>
      <c r="G993" s="25">
        <v>500</v>
      </c>
      <c r="H993" s="25"/>
    </row>
    <row r="994" spans="1:8" ht="14">
      <c r="A994" s="25" t="s">
        <v>3096</v>
      </c>
      <c r="B994" s="26" t="s">
        <v>3091</v>
      </c>
      <c r="C994" s="25" t="str">
        <f t="shared" si="18"/>
        <v>qc_base</v>
      </c>
      <c r="D994" s="25" t="s">
        <v>13</v>
      </c>
      <c r="E994" s="25" t="s">
        <v>3097</v>
      </c>
      <c r="F994" s="25" t="s">
        <v>3098</v>
      </c>
      <c r="G994" s="25">
        <v>500</v>
      </c>
      <c r="H994" s="25"/>
    </row>
    <row r="995" spans="1:8" ht="14">
      <c r="A995" s="25" t="s">
        <v>3148</v>
      </c>
      <c r="B995" s="26" t="s">
        <v>2712</v>
      </c>
      <c r="C995" s="25" t="str">
        <f t="shared" si="18"/>
        <v>endog</v>
      </c>
      <c r="D995" s="25" t="s">
        <v>13</v>
      </c>
      <c r="E995" s="25" t="s">
        <v>3149</v>
      </c>
      <c r="F995" s="25" t="s">
        <v>3150</v>
      </c>
      <c r="G995" s="25">
        <v>500</v>
      </c>
      <c r="H995" s="25"/>
    </row>
    <row r="996" spans="1:8" ht="14">
      <c r="A996" s="25" t="s">
        <v>4364</v>
      </c>
      <c r="B996" s="26" t="s">
        <v>2712</v>
      </c>
      <c r="C996" s="25" t="s">
        <v>4364</v>
      </c>
      <c r="D996" s="25" t="s">
        <v>13</v>
      </c>
      <c r="E996" s="25" t="s">
        <v>3152</v>
      </c>
      <c r="F996" s="25" t="s">
        <v>4365</v>
      </c>
      <c r="G996" s="25">
        <v>500</v>
      </c>
      <c r="H996" s="25"/>
    </row>
    <row r="997" spans="1:8" ht="14">
      <c r="A997" s="25" t="s">
        <v>3151</v>
      </c>
      <c r="B997" s="26" t="s">
        <v>2712</v>
      </c>
      <c r="C997" s="25" t="str">
        <f t="shared" si="18"/>
        <v>GST</v>
      </c>
      <c r="D997" s="25" t="s">
        <v>13</v>
      </c>
      <c r="E997" s="25" t="s">
        <v>3151</v>
      </c>
      <c r="F997" s="25" t="s">
        <v>3153</v>
      </c>
      <c r="G997" s="25">
        <v>500</v>
      </c>
      <c r="H997" s="25"/>
    </row>
    <row r="998" spans="1:8" ht="14">
      <c r="A998" s="25" t="s">
        <v>3156</v>
      </c>
      <c r="B998" s="26" t="s">
        <v>3155</v>
      </c>
      <c r="C998" s="25" t="str">
        <f t="shared" si="18"/>
        <v>column_length</v>
      </c>
      <c r="D998" s="25" t="s">
        <v>13</v>
      </c>
      <c r="E998" s="25" t="s">
        <v>3158</v>
      </c>
      <c r="F998" s="25" t="s">
        <v>3164</v>
      </c>
      <c r="G998" s="25">
        <v>500</v>
      </c>
      <c r="H998" s="25"/>
    </row>
    <row r="999" spans="1:8" ht="14">
      <c r="A999" s="25" t="s">
        <v>3163</v>
      </c>
      <c r="B999" s="26" t="s">
        <v>3155</v>
      </c>
      <c r="C999" s="25" t="str">
        <f t="shared" si="18"/>
        <v>column_inner_diameter</v>
      </c>
      <c r="D999" s="25" t="s">
        <v>13</v>
      </c>
      <c r="E999" s="25" t="s">
        <v>3159</v>
      </c>
      <c r="F999" s="25" t="s">
        <v>3161</v>
      </c>
      <c r="G999" s="25">
        <v>500</v>
      </c>
      <c r="H999" s="25"/>
    </row>
    <row r="1000" spans="1:8" ht="14">
      <c r="A1000" s="25" t="s">
        <v>3157</v>
      </c>
      <c r="B1000" s="26" t="s">
        <v>3155</v>
      </c>
      <c r="C1000" s="25" t="str">
        <f t="shared" si="18"/>
        <v>column_outer_diameter</v>
      </c>
      <c r="D1000" s="25" t="s">
        <v>13</v>
      </c>
      <c r="E1000" s="25" t="s">
        <v>3160</v>
      </c>
      <c r="F1000" s="25" t="s">
        <v>3162</v>
      </c>
      <c r="G1000" s="25">
        <v>500</v>
      </c>
      <c r="H1000" s="25"/>
    </row>
    <row r="1001" spans="1:8" ht="14">
      <c r="A1001" s="28" t="s">
        <v>3358</v>
      </c>
      <c r="B1001" s="26" t="s">
        <v>3172</v>
      </c>
      <c r="C1001" s="28" t="s">
        <v>3358</v>
      </c>
      <c r="D1001" s="25" t="s">
        <v>13</v>
      </c>
      <c r="E1001" s="25" t="s">
        <v>3174</v>
      </c>
      <c r="F1001" s="25" t="s">
        <v>3359</v>
      </c>
      <c r="G1001" s="25">
        <v>500</v>
      </c>
      <c r="H1001" s="25"/>
    </row>
    <row r="1002" spans="1:8" ht="14">
      <c r="A1002" s="28" t="s">
        <v>3360</v>
      </c>
      <c r="B1002" s="26" t="s">
        <v>3172</v>
      </c>
      <c r="C1002" s="28" t="s">
        <v>3360</v>
      </c>
      <c r="D1002" s="25" t="s">
        <v>13</v>
      </c>
      <c r="E1002" s="25" t="s">
        <v>3175</v>
      </c>
      <c r="F1002" s="25" t="s">
        <v>3361</v>
      </c>
      <c r="G1002" s="25">
        <v>500</v>
      </c>
      <c r="H1002" s="25"/>
    </row>
    <row r="1003" spans="1:8" ht="14">
      <c r="A1003" s="28" t="s">
        <v>3362</v>
      </c>
      <c r="B1003" s="26" t="s">
        <v>3172</v>
      </c>
      <c r="C1003" s="28" t="s">
        <v>3362</v>
      </c>
      <c r="D1003" s="25" t="s">
        <v>13</v>
      </c>
      <c r="E1003" s="25" t="s">
        <v>3176</v>
      </c>
      <c r="F1003" s="25" t="s">
        <v>3363</v>
      </c>
      <c r="G1003" s="25">
        <v>500</v>
      </c>
      <c r="H1003" s="25"/>
    </row>
    <row r="1004" spans="1:8" ht="14">
      <c r="A1004" s="28" t="s">
        <v>3364</v>
      </c>
      <c r="B1004" s="26" t="s">
        <v>3172</v>
      </c>
      <c r="C1004" s="28" t="s">
        <v>3364</v>
      </c>
      <c r="D1004" s="25" t="s">
        <v>13</v>
      </c>
      <c r="E1004" s="25" t="s">
        <v>3177</v>
      </c>
      <c r="F1004" s="25" t="s">
        <v>3365</v>
      </c>
      <c r="G1004" s="25">
        <v>500</v>
      </c>
      <c r="H1004" s="25"/>
    </row>
    <row r="1005" spans="1:8" ht="14">
      <c r="A1005" s="28" t="s">
        <v>3366</v>
      </c>
      <c r="B1005" s="26" t="s">
        <v>3172</v>
      </c>
      <c r="C1005" s="28" t="s">
        <v>3366</v>
      </c>
      <c r="D1005" s="25" t="s">
        <v>13</v>
      </c>
      <c r="E1005" s="25" t="s">
        <v>3178</v>
      </c>
      <c r="F1005" s="25" t="s">
        <v>3367</v>
      </c>
      <c r="G1005" s="25">
        <v>500</v>
      </c>
      <c r="H1005" s="25"/>
    </row>
    <row r="1006" spans="1:8" ht="14">
      <c r="A1006" s="28" t="s">
        <v>3368</v>
      </c>
      <c r="B1006" s="26" t="s">
        <v>3172</v>
      </c>
      <c r="C1006" s="28" t="s">
        <v>3368</v>
      </c>
      <c r="D1006" s="25" t="s">
        <v>13</v>
      </c>
      <c r="E1006" s="25" t="s">
        <v>3179</v>
      </c>
      <c r="F1006" s="25" t="s">
        <v>3369</v>
      </c>
      <c r="G1006" s="25">
        <v>500</v>
      </c>
      <c r="H1006" s="25"/>
    </row>
    <row r="1007" spans="1:8" ht="14">
      <c r="A1007" s="28" t="s">
        <v>3370</v>
      </c>
      <c r="B1007" s="26" t="s">
        <v>3172</v>
      </c>
      <c r="C1007" s="28" t="s">
        <v>3370</v>
      </c>
      <c r="D1007" s="25" t="s">
        <v>13</v>
      </c>
      <c r="E1007" s="25" t="s">
        <v>3180</v>
      </c>
      <c r="F1007" s="25" t="s">
        <v>3371</v>
      </c>
      <c r="G1007" s="25">
        <v>500</v>
      </c>
      <c r="H1007" s="25"/>
    </row>
    <row r="1008" spans="1:8" ht="14">
      <c r="A1008" s="28" t="s">
        <v>3372</v>
      </c>
      <c r="B1008" s="26" t="s">
        <v>3172</v>
      </c>
      <c r="C1008" s="28" t="s">
        <v>3372</v>
      </c>
      <c r="D1008" s="25" t="s">
        <v>13</v>
      </c>
      <c r="E1008" s="25" t="s">
        <v>3181</v>
      </c>
      <c r="F1008" s="25" t="s">
        <v>3373</v>
      </c>
      <c r="G1008" s="25">
        <v>500</v>
      </c>
      <c r="H1008" s="25"/>
    </row>
    <row r="1009" spans="1:8" ht="14">
      <c r="A1009" s="28" t="s">
        <v>3374</v>
      </c>
      <c r="B1009" s="26" t="s">
        <v>3172</v>
      </c>
      <c r="C1009" s="28" t="s">
        <v>3374</v>
      </c>
      <c r="D1009" s="25" t="s">
        <v>13</v>
      </c>
      <c r="E1009" s="25" t="s">
        <v>3182</v>
      </c>
      <c r="F1009" s="25" t="s">
        <v>3375</v>
      </c>
      <c r="G1009" s="25">
        <v>500</v>
      </c>
      <c r="H1009" s="25"/>
    </row>
    <row r="1010" spans="1:8" ht="14">
      <c r="A1010" s="28" t="s">
        <v>3376</v>
      </c>
      <c r="B1010" s="26" t="s">
        <v>3172</v>
      </c>
      <c r="C1010" s="28" t="s">
        <v>3376</v>
      </c>
      <c r="D1010" s="25" t="s">
        <v>13</v>
      </c>
      <c r="E1010" s="25" t="s">
        <v>3183</v>
      </c>
      <c r="F1010" s="25" t="s">
        <v>3377</v>
      </c>
      <c r="G1010" s="25">
        <v>500</v>
      </c>
      <c r="H1010" s="25"/>
    </row>
    <row r="1011" spans="1:8" ht="14">
      <c r="A1011" s="28" t="s">
        <v>3378</v>
      </c>
      <c r="B1011" s="26" t="s">
        <v>3172</v>
      </c>
      <c r="C1011" s="28" t="s">
        <v>3378</v>
      </c>
      <c r="D1011" s="25" t="s">
        <v>13</v>
      </c>
      <c r="E1011" s="25" t="s">
        <v>3184</v>
      </c>
      <c r="F1011" s="25" t="s">
        <v>3379</v>
      </c>
      <c r="G1011" s="25">
        <v>500</v>
      </c>
      <c r="H1011" s="25"/>
    </row>
    <row r="1012" spans="1:8" ht="14">
      <c r="A1012" s="28" t="s">
        <v>3380</v>
      </c>
      <c r="B1012" s="26" t="s">
        <v>3172</v>
      </c>
      <c r="C1012" s="28" t="s">
        <v>3380</v>
      </c>
      <c r="D1012" s="25" t="s">
        <v>13</v>
      </c>
      <c r="E1012" s="25" t="s">
        <v>3185</v>
      </c>
      <c r="F1012" s="25" t="s">
        <v>3381</v>
      </c>
      <c r="G1012" s="25">
        <v>500</v>
      </c>
      <c r="H1012" s="25"/>
    </row>
    <row r="1013" spans="1:8" ht="14">
      <c r="A1013" s="28" t="s">
        <v>3382</v>
      </c>
      <c r="B1013" s="26" t="s">
        <v>3172</v>
      </c>
      <c r="C1013" s="28" t="s">
        <v>3382</v>
      </c>
      <c r="D1013" s="25" t="s">
        <v>13</v>
      </c>
      <c r="E1013" s="25" t="s">
        <v>3186</v>
      </c>
      <c r="F1013" s="25" t="s">
        <v>3383</v>
      </c>
      <c r="G1013" s="25">
        <v>500</v>
      </c>
      <c r="H1013" s="25"/>
    </row>
    <row r="1014" spans="1:8" ht="14">
      <c r="A1014" s="28" t="s">
        <v>3384</v>
      </c>
      <c r="B1014" s="26" t="s">
        <v>3172</v>
      </c>
      <c r="C1014" s="28" t="s">
        <v>3384</v>
      </c>
      <c r="D1014" s="25" t="s">
        <v>13</v>
      </c>
      <c r="E1014" s="25" t="s">
        <v>3187</v>
      </c>
      <c r="F1014" s="25" t="s">
        <v>3385</v>
      </c>
      <c r="G1014" s="25">
        <v>500</v>
      </c>
      <c r="H1014" s="25"/>
    </row>
    <row r="1015" spans="1:8" ht="14">
      <c r="A1015" s="28" t="s">
        <v>3386</v>
      </c>
      <c r="B1015" s="26" t="s">
        <v>3172</v>
      </c>
      <c r="C1015" s="28" t="s">
        <v>3386</v>
      </c>
      <c r="D1015" s="25" t="s">
        <v>13</v>
      </c>
      <c r="E1015" s="25" t="s">
        <v>3188</v>
      </c>
      <c r="F1015" s="25" t="s">
        <v>3387</v>
      </c>
      <c r="G1015" s="25">
        <v>500</v>
      </c>
      <c r="H1015" s="25"/>
    </row>
    <row r="1016" spans="1:8" ht="14">
      <c r="A1016" s="28" t="s">
        <v>3388</v>
      </c>
      <c r="B1016" s="26" t="s">
        <v>3172</v>
      </c>
      <c r="C1016" s="28" t="s">
        <v>3388</v>
      </c>
      <c r="D1016" s="25" t="s">
        <v>13</v>
      </c>
      <c r="E1016" s="25" t="s">
        <v>3189</v>
      </c>
      <c r="F1016" s="25" t="s">
        <v>3389</v>
      </c>
      <c r="G1016" s="25">
        <v>500</v>
      </c>
      <c r="H1016" s="25"/>
    </row>
    <row r="1017" spans="1:8" ht="14">
      <c r="A1017" s="28" t="s">
        <v>3390</v>
      </c>
      <c r="B1017" s="26" t="s">
        <v>3172</v>
      </c>
      <c r="C1017" s="28" t="s">
        <v>3390</v>
      </c>
      <c r="D1017" s="25" t="s">
        <v>13</v>
      </c>
      <c r="E1017" s="25" t="s">
        <v>3190</v>
      </c>
      <c r="F1017" s="25" t="s">
        <v>3391</v>
      </c>
      <c r="G1017" s="25">
        <v>500</v>
      </c>
      <c r="H1017" s="25"/>
    </row>
    <row r="1018" spans="1:8" ht="14">
      <c r="A1018" s="28" t="s">
        <v>3392</v>
      </c>
      <c r="B1018" s="26" t="s">
        <v>3172</v>
      </c>
      <c r="C1018" s="28" t="s">
        <v>3392</v>
      </c>
      <c r="D1018" s="25" t="s">
        <v>13</v>
      </c>
      <c r="E1018" s="25" t="s">
        <v>3191</v>
      </c>
      <c r="F1018" s="25" t="s">
        <v>3393</v>
      </c>
      <c r="G1018" s="25">
        <v>500</v>
      </c>
      <c r="H1018" s="25"/>
    </row>
    <row r="1019" spans="1:8" ht="14">
      <c r="A1019" s="28" t="s">
        <v>3394</v>
      </c>
      <c r="B1019" s="26" t="s">
        <v>3172</v>
      </c>
      <c r="C1019" s="28" t="s">
        <v>3394</v>
      </c>
      <c r="D1019" s="25" t="s">
        <v>13</v>
      </c>
      <c r="E1019" s="25" t="s">
        <v>3192</v>
      </c>
      <c r="F1019" s="25" t="s">
        <v>3395</v>
      </c>
      <c r="G1019" s="25">
        <v>500</v>
      </c>
      <c r="H1019" s="25"/>
    </row>
    <row r="1020" spans="1:8" ht="14">
      <c r="A1020" s="28" t="s">
        <v>3396</v>
      </c>
      <c r="B1020" s="26" t="s">
        <v>3172</v>
      </c>
      <c r="C1020" s="28" t="s">
        <v>3396</v>
      </c>
      <c r="D1020" s="25" t="s">
        <v>13</v>
      </c>
      <c r="E1020" s="25" t="s">
        <v>3193</v>
      </c>
      <c r="F1020" s="25" t="s">
        <v>3397</v>
      </c>
      <c r="G1020" s="25">
        <v>500</v>
      </c>
      <c r="H1020" s="25"/>
    </row>
    <row r="1021" spans="1:8" ht="14">
      <c r="A1021" s="28" t="s">
        <v>3398</v>
      </c>
      <c r="B1021" s="26" t="s">
        <v>3172</v>
      </c>
      <c r="C1021" s="28" t="s">
        <v>3398</v>
      </c>
      <c r="D1021" s="25" t="s">
        <v>13</v>
      </c>
      <c r="E1021" s="25" t="s">
        <v>3194</v>
      </c>
      <c r="F1021" s="25" t="s">
        <v>3399</v>
      </c>
      <c r="G1021" s="25">
        <v>500</v>
      </c>
      <c r="H1021" s="25"/>
    </row>
    <row r="1022" spans="1:8" ht="14">
      <c r="A1022" s="28" t="s">
        <v>3400</v>
      </c>
      <c r="B1022" s="26" t="s">
        <v>3172</v>
      </c>
      <c r="C1022" s="28" t="s">
        <v>3400</v>
      </c>
      <c r="D1022" s="25" t="s">
        <v>13</v>
      </c>
      <c r="E1022" s="25" t="s">
        <v>3195</v>
      </c>
      <c r="F1022" s="25" t="s">
        <v>3401</v>
      </c>
      <c r="G1022" s="25">
        <v>500</v>
      </c>
      <c r="H1022" s="25"/>
    </row>
    <row r="1023" spans="1:8" ht="14">
      <c r="A1023" s="28" t="s">
        <v>3402</v>
      </c>
      <c r="B1023" s="26" t="s">
        <v>3172</v>
      </c>
      <c r="C1023" s="28" t="s">
        <v>3402</v>
      </c>
      <c r="D1023" s="25" t="s">
        <v>13</v>
      </c>
      <c r="E1023" s="25" t="s">
        <v>3196</v>
      </c>
      <c r="F1023" s="25" t="s">
        <v>3403</v>
      </c>
      <c r="G1023" s="25">
        <v>500</v>
      </c>
      <c r="H1023" s="25"/>
    </row>
    <row r="1024" spans="1:8" ht="14">
      <c r="A1024" s="28" t="s">
        <v>3404</v>
      </c>
      <c r="B1024" s="26" t="s">
        <v>3172</v>
      </c>
      <c r="C1024" s="28" t="s">
        <v>3404</v>
      </c>
      <c r="D1024" s="25" t="s">
        <v>13</v>
      </c>
      <c r="E1024" s="25" t="s">
        <v>3197</v>
      </c>
      <c r="F1024" s="25" t="s">
        <v>3405</v>
      </c>
      <c r="G1024" s="25">
        <v>500</v>
      </c>
      <c r="H1024" s="25"/>
    </row>
    <row r="1025" spans="1:8" ht="14">
      <c r="A1025" s="28" t="s">
        <v>3406</v>
      </c>
      <c r="B1025" s="26" t="s">
        <v>3172</v>
      </c>
      <c r="C1025" s="28" t="s">
        <v>3406</v>
      </c>
      <c r="D1025" s="25" t="s">
        <v>13</v>
      </c>
      <c r="E1025" s="25" t="s">
        <v>3198</v>
      </c>
      <c r="F1025" s="25" t="s">
        <v>3407</v>
      </c>
      <c r="G1025" s="25">
        <v>500</v>
      </c>
      <c r="H1025" s="25"/>
    </row>
    <row r="1026" spans="1:8" ht="14">
      <c r="A1026" s="28" t="s">
        <v>3408</v>
      </c>
      <c r="B1026" s="26" t="s">
        <v>3172</v>
      </c>
      <c r="C1026" s="28" t="s">
        <v>3408</v>
      </c>
      <c r="D1026" s="25" t="s">
        <v>13</v>
      </c>
      <c r="E1026" s="25" t="s">
        <v>3199</v>
      </c>
      <c r="F1026" s="25" t="s">
        <v>3409</v>
      </c>
      <c r="G1026" s="25">
        <v>500</v>
      </c>
      <c r="H1026" s="25"/>
    </row>
    <row r="1027" spans="1:8" ht="14">
      <c r="A1027" s="28" t="s">
        <v>3410</v>
      </c>
      <c r="B1027" s="26" t="s">
        <v>3172</v>
      </c>
      <c r="C1027" s="28" t="s">
        <v>3410</v>
      </c>
      <c r="D1027" s="25" t="s">
        <v>13</v>
      </c>
      <c r="E1027" s="25" t="s">
        <v>3200</v>
      </c>
      <c r="F1027" s="25" t="s">
        <v>3411</v>
      </c>
      <c r="G1027" s="25">
        <v>500</v>
      </c>
      <c r="H1027" s="25"/>
    </row>
    <row r="1028" spans="1:8" ht="14">
      <c r="A1028" s="28" t="s">
        <v>3412</v>
      </c>
      <c r="B1028" s="26" t="s">
        <v>3172</v>
      </c>
      <c r="C1028" s="28" t="s">
        <v>3412</v>
      </c>
      <c r="D1028" s="25" t="s">
        <v>13</v>
      </c>
      <c r="E1028" s="25" t="s">
        <v>3201</v>
      </c>
      <c r="F1028" s="25" t="s">
        <v>3413</v>
      </c>
      <c r="G1028" s="25">
        <v>500</v>
      </c>
      <c r="H1028" s="25"/>
    </row>
    <row r="1029" spans="1:8" ht="14">
      <c r="A1029" s="28" t="s">
        <v>3414</v>
      </c>
      <c r="B1029" s="26" t="s">
        <v>3172</v>
      </c>
      <c r="C1029" s="28" t="s">
        <v>3414</v>
      </c>
      <c r="D1029" s="25" t="s">
        <v>13</v>
      </c>
      <c r="E1029" s="25" t="s">
        <v>3202</v>
      </c>
      <c r="F1029" s="25" t="s">
        <v>3415</v>
      </c>
      <c r="G1029" s="25">
        <v>500</v>
      </c>
      <c r="H1029" s="25"/>
    </row>
    <row r="1030" spans="1:8" ht="14">
      <c r="A1030" s="28" t="s">
        <v>3416</v>
      </c>
      <c r="B1030" s="26" t="s">
        <v>3172</v>
      </c>
      <c r="C1030" s="28" t="s">
        <v>3416</v>
      </c>
      <c r="D1030" s="25" t="s">
        <v>13</v>
      </c>
      <c r="E1030" s="25" t="s">
        <v>3203</v>
      </c>
      <c r="F1030" s="25" t="s">
        <v>3417</v>
      </c>
      <c r="G1030" s="25">
        <v>500</v>
      </c>
      <c r="H1030" s="25"/>
    </row>
    <row r="1031" spans="1:8" ht="14">
      <c r="A1031" s="28" t="s">
        <v>3418</v>
      </c>
      <c r="B1031" s="26" t="s">
        <v>3172</v>
      </c>
      <c r="C1031" s="28" t="s">
        <v>3418</v>
      </c>
      <c r="D1031" s="25" t="s">
        <v>13</v>
      </c>
      <c r="E1031" s="25" t="s">
        <v>3204</v>
      </c>
      <c r="F1031" s="25" t="s">
        <v>3419</v>
      </c>
      <c r="G1031" s="25">
        <v>500</v>
      </c>
      <c r="H1031" s="25"/>
    </row>
    <row r="1032" spans="1:8" ht="14">
      <c r="A1032" s="28" t="s">
        <v>3420</v>
      </c>
      <c r="B1032" s="26" t="s">
        <v>3172</v>
      </c>
      <c r="C1032" s="28" t="s">
        <v>3420</v>
      </c>
      <c r="D1032" s="25" t="s">
        <v>13</v>
      </c>
      <c r="E1032" s="25" t="s">
        <v>3205</v>
      </c>
      <c r="F1032" s="25" t="s">
        <v>3421</v>
      </c>
      <c r="G1032" s="25">
        <v>500</v>
      </c>
      <c r="H1032" s="25"/>
    </row>
    <row r="1033" spans="1:8" ht="14">
      <c r="A1033" s="28" t="s">
        <v>3422</v>
      </c>
      <c r="B1033" s="26" t="s">
        <v>3172</v>
      </c>
      <c r="C1033" s="28" t="s">
        <v>3422</v>
      </c>
      <c r="D1033" s="25" t="s">
        <v>13</v>
      </c>
      <c r="E1033" s="25" t="s">
        <v>3206</v>
      </c>
      <c r="F1033" s="25" t="s">
        <v>3423</v>
      </c>
      <c r="G1033" s="25">
        <v>500</v>
      </c>
      <c r="H1033" s="25"/>
    </row>
    <row r="1034" spans="1:8" ht="14">
      <c r="A1034" s="28" t="s">
        <v>3424</v>
      </c>
      <c r="B1034" s="26" t="s">
        <v>3172</v>
      </c>
      <c r="C1034" s="28" t="s">
        <v>3424</v>
      </c>
      <c r="D1034" s="25" t="s">
        <v>13</v>
      </c>
      <c r="E1034" s="25" t="s">
        <v>3207</v>
      </c>
      <c r="F1034" s="25" t="s">
        <v>3425</v>
      </c>
      <c r="G1034" s="25">
        <v>500</v>
      </c>
      <c r="H1034" s="25"/>
    </row>
    <row r="1035" spans="1:8" ht="14">
      <c r="A1035" s="28" t="s">
        <v>3426</v>
      </c>
      <c r="B1035" s="26" t="s">
        <v>3172</v>
      </c>
      <c r="C1035" s="28" t="s">
        <v>3426</v>
      </c>
      <c r="D1035" s="25" t="s">
        <v>13</v>
      </c>
      <c r="E1035" s="25" t="s">
        <v>3208</v>
      </c>
      <c r="F1035" s="25" t="s">
        <v>3427</v>
      </c>
      <c r="G1035" s="25">
        <v>500</v>
      </c>
      <c r="H1035" s="25"/>
    </row>
    <row r="1036" spans="1:8" ht="14">
      <c r="A1036" s="28" t="s">
        <v>3428</v>
      </c>
      <c r="B1036" s="26" t="s">
        <v>3172</v>
      </c>
      <c r="C1036" s="28" t="s">
        <v>3428</v>
      </c>
      <c r="D1036" s="25" t="s">
        <v>13</v>
      </c>
      <c r="E1036" s="25" t="s">
        <v>3209</v>
      </c>
      <c r="F1036" s="25" t="s">
        <v>3429</v>
      </c>
      <c r="G1036" s="25">
        <v>500</v>
      </c>
      <c r="H1036" s="25"/>
    </row>
    <row r="1037" spans="1:8" ht="14">
      <c r="A1037" s="28" t="s">
        <v>3430</v>
      </c>
      <c r="B1037" s="26" t="s">
        <v>3172</v>
      </c>
      <c r="C1037" s="28" t="s">
        <v>3430</v>
      </c>
      <c r="D1037" s="25" t="s">
        <v>13</v>
      </c>
      <c r="E1037" s="25" t="s">
        <v>3210</v>
      </c>
      <c r="F1037" s="25" t="s">
        <v>3431</v>
      </c>
      <c r="G1037" s="25">
        <v>500</v>
      </c>
      <c r="H1037" s="25"/>
    </row>
    <row r="1038" spans="1:8" ht="14">
      <c r="A1038" s="28" t="s">
        <v>3432</v>
      </c>
      <c r="B1038" s="26" t="s">
        <v>3172</v>
      </c>
      <c r="C1038" s="28" t="s">
        <v>3432</v>
      </c>
      <c r="D1038" s="25" t="s">
        <v>13</v>
      </c>
      <c r="E1038" s="25" t="s">
        <v>3211</v>
      </c>
      <c r="F1038" s="25" t="s">
        <v>3433</v>
      </c>
      <c r="G1038" s="25">
        <v>500</v>
      </c>
      <c r="H1038" s="25"/>
    </row>
    <row r="1039" spans="1:8" ht="14">
      <c r="A1039" s="28" t="s">
        <v>3434</v>
      </c>
      <c r="B1039" s="26" t="s">
        <v>3172</v>
      </c>
      <c r="C1039" s="28" t="s">
        <v>3434</v>
      </c>
      <c r="D1039" s="25" t="s">
        <v>13</v>
      </c>
      <c r="E1039" s="25" t="s">
        <v>3212</v>
      </c>
      <c r="F1039" s="25" t="s">
        <v>3435</v>
      </c>
      <c r="G1039" s="25">
        <v>500</v>
      </c>
      <c r="H1039" s="25"/>
    </row>
    <row r="1040" spans="1:8" ht="14">
      <c r="A1040" s="28" t="s">
        <v>3436</v>
      </c>
      <c r="B1040" s="26" t="s">
        <v>3172</v>
      </c>
      <c r="C1040" s="28" t="s">
        <v>3436</v>
      </c>
      <c r="D1040" s="25" t="s">
        <v>13</v>
      </c>
      <c r="E1040" s="25" t="s">
        <v>3213</v>
      </c>
      <c r="F1040" s="25" t="s">
        <v>3437</v>
      </c>
      <c r="G1040" s="25">
        <v>500</v>
      </c>
      <c r="H1040" s="25"/>
    </row>
    <row r="1041" spans="1:8" ht="14">
      <c r="A1041" s="28" t="s">
        <v>3438</v>
      </c>
      <c r="B1041" s="26" t="s">
        <v>3172</v>
      </c>
      <c r="C1041" s="28" t="s">
        <v>3438</v>
      </c>
      <c r="D1041" s="25" t="s">
        <v>13</v>
      </c>
      <c r="E1041" s="25" t="s">
        <v>3214</v>
      </c>
      <c r="F1041" s="25" t="s">
        <v>3439</v>
      </c>
      <c r="G1041" s="25">
        <v>500</v>
      </c>
      <c r="H1041" s="25"/>
    </row>
    <row r="1042" spans="1:8" ht="14">
      <c r="A1042" s="28" t="s">
        <v>3440</v>
      </c>
      <c r="B1042" s="26" t="s">
        <v>3172</v>
      </c>
      <c r="C1042" s="28" t="s">
        <v>3440</v>
      </c>
      <c r="D1042" s="25" t="s">
        <v>13</v>
      </c>
      <c r="E1042" s="25" t="s">
        <v>3215</v>
      </c>
      <c r="F1042" s="25" t="s">
        <v>3441</v>
      </c>
      <c r="G1042" s="25">
        <v>500</v>
      </c>
      <c r="H1042" s="25"/>
    </row>
    <row r="1043" spans="1:8" ht="14">
      <c r="A1043" s="28" t="s">
        <v>3442</v>
      </c>
      <c r="B1043" s="26" t="s">
        <v>3172</v>
      </c>
      <c r="C1043" s="28" t="s">
        <v>3442</v>
      </c>
      <c r="D1043" s="25" t="s">
        <v>13</v>
      </c>
      <c r="E1043" s="25" t="s">
        <v>3216</v>
      </c>
      <c r="F1043" s="25" t="s">
        <v>3443</v>
      </c>
      <c r="G1043" s="25">
        <v>500</v>
      </c>
      <c r="H1043" s="25"/>
    </row>
    <row r="1044" spans="1:8" ht="14">
      <c r="A1044" s="28" t="s">
        <v>3444</v>
      </c>
      <c r="B1044" s="26" t="s">
        <v>3172</v>
      </c>
      <c r="C1044" s="28" t="s">
        <v>3444</v>
      </c>
      <c r="D1044" s="25" t="s">
        <v>13</v>
      </c>
      <c r="E1044" s="25" t="s">
        <v>3217</v>
      </c>
      <c r="F1044" s="25" t="s">
        <v>3445</v>
      </c>
      <c r="G1044" s="25">
        <v>500</v>
      </c>
      <c r="H1044" s="25"/>
    </row>
    <row r="1045" spans="1:8" ht="14">
      <c r="A1045" s="28" t="s">
        <v>3446</v>
      </c>
      <c r="B1045" s="26" t="s">
        <v>3172</v>
      </c>
      <c r="C1045" s="28" t="s">
        <v>3446</v>
      </c>
      <c r="D1045" s="25" t="s">
        <v>13</v>
      </c>
      <c r="E1045" s="25" t="s">
        <v>3218</v>
      </c>
      <c r="F1045" s="25" t="s">
        <v>3447</v>
      </c>
      <c r="G1045" s="25">
        <v>500</v>
      </c>
      <c r="H1045" s="25"/>
    </row>
    <row r="1046" spans="1:8" ht="14">
      <c r="A1046" s="28" t="s">
        <v>3448</v>
      </c>
      <c r="B1046" s="26" t="s">
        <v>3172</v>
      </c>
      <c r="C1046" s="28" t="s">
        <v>3448</v>
      </c>
      <c r="D1046" s="25" t="s">
        <v>13</v>
      </c>
      <c r="E1046" s="25" t="s">
        <v>3219</v>
      </c>
      <c r="F1046" s="25" t="s">
        <v>3449</v>
      </c>
      <c r="G1046" s="25">
        <v>500</v>
      </c>
      <c r="H1046" s="25"/>
    </row>
    <row r="1047" spans="1:8" ht="14">
      <c r="A1047" s="28" t="s">
        <v>3450</v>
      </c>
      <c r="B1047" s="26" t="s">
        <v>3172</v>
      </c>
      <c r="C1047" s="28" t="s">
        <v>3450</v>
      </c>
      <c r="D1047" s="25" t="s">
        <v>13</v>
      </c>
      <c r="E1047" s="25" t="s">
        <v>3220</v>
      </c>
      <c r="F1047" s="25" t="s">
        <v>3451</v>
      </c>
      <c r="G1047" s="25">
        <v>500</v>
      </c>
      <c r="H1047" s="25"/>
    </row>
    <row r="1048" spans="1:8" ht="14">
      <c r="A1048" s="28" t="s">
        <v>3452</v>
      </c>
      <c r="B1048" s="26" t="s">
        <v>3172</v>
      </c>
      <c r="C1048" s="28" t="s">
        <v>3452</v>
      </c>
      <c r="D1048" s="25" t="s">
        <v>13</v>
      </c>
      <c r="E1048" s="25" t="s">
        <v>3221</v>
      </c>
      <c r="F1048" s="25" t="s">
        <v>3453</v>
      </c>
      <c r="G1048" s="25">
        <v>500</v>
      </c>
      <c r="H1048" s="25"/>
    </row>
    <row r="1049" spans="1:8" ht="14">
      <c r="A1049" s="28" t="s">
        <v>3454</v>
      </c>
      <c r="B1049" s="26" t="s">
        <v>3172</v>
      </c>
      <c r="C1049" s="28" t="s">
        <v>3454</v>
      </c>
      <c r="D1049" s="25" t="s">
        <v>13</v>
      </c>
      <c r="E1049" s="25" t="s">
        <v>3222</v>
      </c>
      <c r="F1049" s="25" t="s">
        <v>3455</v>
      </c>
      <c r="G1049" s="25">
        <v>500</v>
      </c>
      <c r="H1049" s="25"/>
    </row>
    <row r="1050" spans="1:8" ht="14">
      <c r="A1050" s="28" t="s">
        <v>3456</v>
      </c>
      <c r="B1050" s="26" t="s">
        <v>3172</v>
      </c>
      <c r="C1050" s="28" t="s">
        <v>3456</v>
      </c>
      <c r="D1050" s="25" t="s">
        <v>13</v>
      </c>
      <c r="E1050" s="25" t="s">
        <v>3223</v>
      </c>
      <c r="F1050" s="25" t="s">
        <v>3457</v>
      </c>
      <c r="G1050" s="25">
        <v>500</v>
      </c>
      <c r="H1050" s="25"/>
    </row>
    <row r="1051" spans="1:8" ht="14">
      <c r="A1051" s="28" t="s">
        <v>3458</v>
      </c>
      <c r="B1051" s="26" t="s">
        <v>3172</v>
      </c>
      <c r="C1051" s="28" t="s">
        <v>3458</v>
      </c>
      <c r="D1051" s="25" t="s">
        <v>13</v>
      </c>
      <c r="E1051" s="25" t="s">
        <v>3224</v>
      </c>
      <c r="F1051" s="25" t="s">
        <v>3459</v>
      </c>
      <c r="G1051" s="25">
        <v>500</v>
      </c>
      <c r="H1051" s="25"/>
    </row>
    <row r="1052" spans="1:8" ht="14">
      <c r="A1052" s="28" t="s">
        <v>3460</v>
      </c>
      <c r="B1052" s="26" t="s">
        <v>3172</v>
      </c>
      <c r="C1052" s="28" t="s">
        <v>3460</v>
      </c>
      <c r="D1052" s="25" t="s">
        <v>13</v>
      </c>
      <c r="E1052" s="25" t="s">
        <v>3225</v>
      </c>
      <c r="F1052" s="25" t="s">
        <v>3461</v>
      </c>
      <c r="G1052" s="25">
        <v>500</v>
      </c>
      <c r="H1052" s="25"/>
    </row>
    <row r="1053" spans="1:8" ht="14">
      <c r="A1053" s="28" t="s">
        <v>3462</v>
      </c>
      <c r="B1053" s="26" t="s">
        <v>3172</v>
      </c>
      <c r="C1053" s="28" t="s">
        <v>3462</v>
      </c>
      <c r="D1053" s="25" t="s">
        <v>13</v>
      </c>
      <c r="E1053" s="25" t="s">
        <v>3226</v>
      </c>
      <c r="F1053" s="25" t="s">
        <v>3463</v>
      </c>
      <c r="G1053" s="25">
        <v>500</v>
      </c>
      <c r="H1053" s="25"/>
    </row>
    <row r="1054" spans="1:8" ht="14">
      <c r="A1054" s="28" t="s">
        <v>3464</v>
      </c>
      <c r="B1054" s="26" t="s">
        <v>3172</v>
      </c>
      <c r="C1054" s="28" t="s">
        <v>3464</v>
      </c>
      <c r="D1054" s="25" t="s">
        <v>13</v>
      </c>
      <c r="E1054" s="25" t="s">
        <v>3465</v>
      </c>
      <c r="F1054" s="25" t="s">
        <v>3466</v>
      </c>
      <c r="G1054" s="25">
        <v>500</v>
      </c>
      <c r="H1054" s="25"/>
    </row>
    <row r="1055" spans="1:8" ht="14">
      <c r="A1055" s="28" t="s">
        <v>3467</v>
      </c>
      <c r="B1055" s="26" t="s">
        <v>3172</v>
      </c>
      <c r="C1055" s="28" t="s">
        <v>3467</v>
      </c>
      <c r="D1055" s="25" t="s">
        <v>13</v>
      </c>
      <c r="E1055" s="25" t="s">
        <v>3468</v>
      </c>
      <c r="F1055" s="25" t="s">
        <v>3469</v>
      </c>
      <c r="G1055" s="25">
        <v>500</v>
      </c>
      <c r="H1055" s="25"/>
    </row>
    <row r="1056" spans="1:8" ht="14">
      <c r="A1056" s="28" t="s">
        <v>3470</v>
      </c>
      <c r="B1056" s="26" t="s">
        <v>3172</v>
      </c>
      <c r="C1056" s="28" t="s">
        <v>3470</v>
      </c>
      <c r="D1056" s="25" t="s">
        <v>13</v>
      </c>
      <c r="E1056" s="25" t="s">
        <v>3227</v>
      </c>
      <c r="F1056" s="25" t="s">
        <v>3471</v>
      </c>
      <c r="G1056" s="25">
        <v>500</v>
      </c>
      <c r="H1056" s="25"/>
    </row>
    <row r="1057" spans="1:8" ht="14">
      <c r="A1057" s="28" t="s">
        <v>3472</v>
      </c>
      <c r="B1057" s="26" t="s">
        <v>3172</v>
      </c>
      <c r="C1057" s="28" t="s">
        <v>3472</v>
      </c>
      <c r="D1057" s="25" t="s">
        <v>13</v>
      </c>
      <c r="E1057" s="25" t="s">
        <v>3228</v>
      </c>
      <c r="F1057" s="25" t="s">
        <v>3473</v>
      </c>
      <c r="G1057" s="25">
        <v>500</v>
      </c>
      <c r="H1057" s="25"/>
    </row>
    <row r="1058" spans="1:8" ht="14">
      <c r="A1058" s="28" t="s">
        <v>3474</v>
      </c>
      <c r="B1058" s="26" t="s">
        <v>3172</v>
      </c>
      <c r="C1058" s="28" t="s">
        <v>3474</v>
      </c>
      <c r="D1058" s="25" t="s">
        <v>13</v>
      </c>
      <c r="E1058" s="25" t="s">
        <v>3229</v>
      </c>
      <c r="F1058" s="25" t="s">
        <v>3475</v>
      </c>
      <c r="G1058" s="25">
        <v>500</v>
      </c>
      <c r="H1058" s="25"/>
    </row>
    <row r="1059" spans="1:8" ht="14">
      <c r="A1059" s="28" t="s">
        <v>3476</v>
      </c>
      <c r="B1059" s="26" t="s">
        <v>3172</v>
      </c>
      <c r="C1059" s="28" t="s">
        <v>3476</v>
      </c>
      <c r="D1059" s="25" t="s">
        <v>13</v>
      </c>
      <c r="E1059" s="25" t="s">
        <v>3230</v>
      </c>
      <c r="F1059" s="25" t="s">
        <v>3477</v>
      </c>
      <c r="G1059" s="25">
        <v>500</v>
      </c>
      <c r="H1059" s="25"/>
    </row>
    <row r="1060" spans="1:8" ht="14">
      <c r="A1060" s="28" t="s">
        <v>3478</v>
      </c>
      <c r="B1060" s="26" t="s">
        <v>3172</v>
      </c>
      <c r="C1060" s="28" t="s">
        <v>3478</v>
      </c>
      <c r="D1060" s="25" t="s">
        <v>13</v>
      </c>
      <c r="E1060" s="25" t="s">
        <v>3231</v>
      </c>
      <c r="F1060" s="25" t="s">
        <v>3479</v>
      </c>
      <c r="G1060" s="25">
        <v>500</v>
      </c>
      <c r="H1060" s="25"/>
    </row>
    <row r="1061" spans="1:8" ht="14">
      <c r="A1061" s="28" t="s">
        <v>3480</v>
      </c>
      <c r="B1061" s="26" t="s">
        <v>3172</v>
      </c>
      <c r="C1061" s="28" t="s">
        <v>3480</v>
      </c>
      <c r="D1061" s="25" t="s">
        <v>13</v>
      </c>
      <c r="E1061" s="25" t="s">
        <v>3232</v>
      </c>
      <c r="F1061" s="25" t="s">
        <v>3481</v>
      </c>
      <c r="G1061" s="25">
        <v>500</v>
      </c>
      <c r="H1061" s="25"/>
    </row>
    <row r="1062" spans="1:8" ht="14">
      <c r="A1062" s="28" t="s">
        <v>3482</v>
      </c>
      <c r="B1062" s="26" t="s">
        <v>3172</v>
      </c>
      <c r="C1062" s="28" t="s">
        <v>3482</v>
      </c>
      <c r="D1062" s="25" t="s">
        <v>13</v>
      </c>
      <c r="E1062" s="25" t="s">
        <v>3233</v>
      </c>
      <c r="F1062" s="25" t="s">
        <v>3483</v>
      </c>
      <c r="G1062" s="25">
        <v>500</v>
      </c>
      <c r="H1062" s="25"/>
    </row>
    <row r="1063" spans="1:8" ht="14">
      <c r="A1063" s="28" t="s">
        <v>3484</v>
      </c>
      <c r="B1063" s="26" t="s">
        <v>3172</v>
      </c>
      <c r="C1063" s="28" t="s">
        <v>3484</v>
      </c>
      <c r="D1063" s="25" t="s">
        <v>13</v>
      </c>
      <c r="E1063" s="25" t="s">
        <v>3485</v>
      </c>
      <c r="F1063" s="25" t="s">
        <v>3486</v>
      </c>
      <c r="G1063" s="25">
        <v>500</v>
      </c>
      <c r="H1063" s="25"/>
    </row>
    <row r="1064" spans="1:8" ht="14">
      <c r="A1064" s="28" t="s">
        <v>3487</v>
      </c>
      <c r="B1064" s="26" t="s">
        <v>3172</v>
      </c>
      <c r="C1064" s="28" t="s">
        <v>3487</v>
      </c>
      <c r="D1064" s="25" t="s">
        <v>13</v>
      </c>
      <c r="E1064" s="25" t="s">
        <v>3488</v>
      </c>
      <c r="F1064" s="25" t="s">
        <v>3489</v>
      </c>
      <c r="G1064" s="25">
        <v>500</v>
      </c>
      <c r="H1064" s="25"/>
    </row>
    <row r="1065" spans="1:8" ht="14">
      <c r="A1065" s="28" t="s">
        <v>3490</v>
      </c>
      <c r="B1065" s="26" t="s">
        <v>3172</v>
      </c>
      <c r="C1065" s="28" t="s">
        <v>3490</v>
      </c>
      <c r="D1065" s="25" t="s">
        <v>13</v>
      </c>
      <c r="E1065" s="25" t="s">
        <v>3488</v>
      </c>
      <c r="F1065" s="25" t="s">
        <v>3491</v>
      </c>
      <c r="G1065" s="25">
        <v>500</v>
      </c>
      <c r="H1065" s="25"/>
    </row>
    <row r="1066" spans="1:8" ht="14">
      <c r="A1066" s="28" t="s">
        <v>3492</v>
      </c>
      <c r="B1066" s="26" t="s">
        <v>3172</v>
      </c>
      <c r="C1066" s="28" t="s">
        <v>3492</v>
      </c>
      <c r="D1066" s="25" t="s">
        <v>13</v>
      </c>
      <c r="E1066" s="25" t="s">
        <v>3234</v>
      </c>
      <c r="F1066" s="25" t="s">
        <v>3493</v>
      </c>
      <c r="G1066" s="25">
        <v>500</v>
      </c>
      <c r="H1066" s="25"/>
    </row>
    <row r="1067" spans="1:8" ht="14">
      <c r="A1067" s="28" t="s">
        <v>3494</v>
      </c>
      <c r="B1067" s="26" t="s">
        <v>3172</v>
      </c>
      <c r="C1067" s="28" t="s">
        <v>3494</v>
      </c>
      <c r="D1067" s="25" t="s">
        <v>13</v>
      </c>
      <c r="E1067" s="25" t="s">
        <v>3235</v>
      </c>
      <c r="F1067" s="25" t="s">
        <v>3495</v>
      </c>
      <c r="G1067" s="25">
        <v>500</v>
      </c>
      <c r="H1067" s="25"/>
    </row>
    <row r="1068" spans="1:8" ht="14">
      <c r="A1068" s="28" t="s">
        <v>3496</v>
      </c>
      <c r="B1068" s="26" t="s">
        <v>3172</v>
      </c>
      <c r="C1068" s="28" t="s">
        <v>3496</v>
      </c>
      <c r="D1068" s="25" t="s">
        <v>13</v>
      </c>
      <c r="E1068" s="25" t="s">
        <v>3236</v>
      </c>
      <c r="F1068" s="25" t="s">
        <v>3497</v>
      </c>
      <c r="G1068" s="25">
        <v>500</v>
      </c>
      <c r="H1068" s="25"/>
    </row>
    <row r="1069" spans="1:8" ht="14">
      <c r="A1069" s="28" t="s">
        <v>3498</v>
      </c>
      <c r="B1069" s="26" t="s">
        <v>3172</v>
      </c>
      <c r="C1069" s="28" t="s">
        <v>3498</v>
      </c>
      <c r="D1069" s="25" t="s">
        <v>13</v>
      </c>
      <c r="E1069" s="25" t="s">
        <v>3237</v>
      </c>
      <c r="F1069" s="25" t="s">
        <v>3499</v>
      </c>
      <c r="G1069" s="25">
        <v>500</v>
      </c>
      <c r="H1069" s="25"/>
    </row>
    <row r="1070" spans="1:8" ht="14">
      <c r="A1070" s="28" t="s">
        <v>3500</v>
      </c>
      <c r="B1070" s="26" t="s">
        <v>3172</v>
      </c>
      <c r="C1070" s="28" t="s">
        <v>3500</v>
      </c>
      <c r="D1070" s="25" t="s">
        <v>13</v>
      </c>
      <c r="E1070" s="25" t="s">
        <v>3238</v>
      </c>
      <c r="F1070" s="25" t="s">
        <v>3501</v>
      </c>
      <c r="G1070" s="25">
        <v>500</v>
      </c>
      <c r="H1070" s="25"/>
    </row>
    <row r="1071" spans="1:8" ht="14">
      <c r="A1071" s="28" t="s">
        <v>3502</v>
      </c>
      <c r="B1071" s="26" t="s">
        <v>3172</v>
      </c>
      <c r="C1071" s="28" t="s">
        <v>3502</v>
      </c>
      <c r="D1071" s="25" t="s">
        <v>13</v>
      </c>
      <c r="E1071" s="25" t="s">
        <v>3239</v>
      </c>
      <c r="F1071" s="25" t="s">
        <v>3503</v>
      </c>
      <c r="G1071" s="25">
        <v>500</v>
      </c>
      <c r="H1071" s="25"/>
    </row>
    <row r="1072" spans="1:8" ht="14">
      <c r="A1072" s="28" t="s">
        <v>3504</v>
      </c>
      <c r="B1072" s="26" t="s">
        <v>3172</v>
      </c>
      <c r="C1072" s="28" t="s">
        <v>3504</v>
      </c>
      <c r="D1072" s="25" t="s">
        <v>13</v>
      </c>
      <c r="E1072" s="25" t="s">
        <v>3240</v>
      </c>
      <c r="F1072" s="25" t="s">
        <v>3505</v>
      </c>
      <c r="G1072" s="25">
        <v>500</v>
      </c>
      <c r="H1072" s="25"/>
    </row>
    <row r="1073" spans="1:8" ht="14">
      <c r="A1073" s="28" t="s">
        <v>3506</v>
      </c>
      <c r="B1073" s="26" t="s">
        <v>3172</v>
      </c>
      <c r="C1073" s="28" t="s">
        <v>3506</v>
      </c>
      <c r="D1073" s="25" t="s">
        <v>13</v>
      </c>
      <c r="E1073" s="25" t="s">
        <v>3241</v>
      </c>
      <c r="F1073" s="25" t="s">
        <v>3507</v>
      </c>
      <c r="G1073" s="25">
        <v>500</v>
      </c>
      <c r="H1073" s="25"/>
    </row>
    <row r="1074" spans="1:8" ht="14">
      <c r="A1074" s="28" t="s">
        <v>3508</v>
      </c>
      <c r="B1074" s="26" t="s">
        <v>3172</v>
      </c>
      <c r="C1074" s="28" t="s">
        <v>3508</v>
      </c>
      <c r="D1074" s="25" t="s">
        <v>13</v>
      </c>
      <c r="E1074" s="25" t="s">
        <v>3242</v>
      </c>
      <c r="F1074" s="25" t="s">
        <v>3509</v>
      </c>
      <c r="G1074" s="25">
        <v>500</v>
      </c>
      <c r="H1074" s="25"/>
    </row>
    <row r="1075" spans="1:8" ht="14">
      <c r="A1075" s="28" t="s">
        <v>3510</v>
      </c>
      <c r="B1075" s="26" t="s">
        <v>3172</v>
      </c>
      <c r="C1075" s="28" t="s">
        <v>3510</v>
      </c>
      <c r="D1075" s="25" t="s">
        <v>13</v>
      </c>
      <c r="E1075" s="25" t="s">
        <v>3243</v>
      </c>
      <c r="F1075" s="25" t="s">
        <v>3511</v>
      </c>
      <c r="G1075" s="25">
        <v>500</v>
      </c>
      <c r="H1075" s="25"/>
    </row>
    <row r="1076" spans="1:8" ht="14">
      <c r="A1076" s="28" t="s">
        <v>3512</v>
      </c>
      <c r="B1076" s="26" t="s">
        <v>3172</v>
      </c>
      <c r="C1076" s="28" t="s">
        <v>3512</v>
      </c>
      <c r="D1076" s="25" t="s">
        <v>13</v>
      </c>
      <c r="E1076" s="25" t="s">
        <v>3244</v>
      </c>
      <c r="F1076" s="25" t="s">
        <v>3513</v>
      </c>
      <c r="G1076" s="25">
        <v>500</v>
      </c>
      <c r="H1076" s="25"/>
    </row>
    <row r="1077" spans="1:8" ht="14">
      <c r="A1077" s="28" t="s">
        <v>3514</v>
      </c>
      <c r="B1077" s="26" t="s">
        <v>3172</v>
      </c>
      <c r="C1077" s="28" t="s">
        <v>3514</v>
      </c>
      <c r="D1077" s="25" t="s">
        <v>13</v>
      </c>
      <c r="E1077" s="25" t="s">
        <v>3245</v>
      </c>
      <c r="F1077" s="25" t="s">
        <v>3515</v>
      </c>
      <c r="G1077" s="25">
        <v>500</v>
      </c>
      <c r="H1077" s="25"/>
    </row>
    <row r="1078" spans="1:8" ht="14">
      <c r="A1078" s="28" t="s">
        <v>3516</v>
      </c>
      <c r="B1078" s="26" t="s">
        <v>3172</v>
      </c>
      <c r="C1078" s="28" t="s">
        <v>3516</v>
      </c>
      <c r="D1078" s="25" t="s">
        <v>13</v>
      </c>
      <c r="E1078" s="25" t="s">
        <v>3246</v>
      </c>
      <c r="F1078" s="25" t="s">
        <v>3517</v>
      </c>
      <c r="G1078" s="25">
        <v>500</v>
      </c>
      <c r="H1078" s="25"/>
    </row>
    <row r="1079" spans="1:8" ht="14">
      <c r="A1079" s="28" t="s">
        <v>3518</v>
      </c>
      <c r="B1079" s="26" t="s">
        <v>3172</v>
      </c>
      <c r="C1079" s="28" t="s">
        <v>3518</v>
      </c>
      <c r="D1079" s="25" t="s">
        <v>13</v>
      </c>
      <c r="E1079" s="25" t="s">
        <v>3247</v>
      </c>
      <c r="F1079" s="25" t="s">
        <v>3519</v>
      </c>
      <c r="G1079" s="25">
        <v>500</v>
      </c>
      <c r="H1079" s="25"/>
    </row>
    <row r="1080" spans="1:8" ht="14">
      <c r="A1080" s="28" t="s">
        <v>3520</v>
      </c>
      <c r="B1080" s="26" t="s">
        <v>3172</v>
      </c>
      <c r="C1080" s="28" t="s">
        <v>3520</v>
      </c>
      <c r="D1080" s="25" t="s">
        <v>13</v>
      </c>
      <c r="E1080" s="25" t="s">
        <v>3248</v>
      </c>
      <c r="F1080" s="25" t="s">
        <v>3521</v>
      </c>
      <c r="G1080" s="25">
        <v>500</v>
      </c>
      <c r="H1080" s="25"/>
    </row>
    <row r="1081" spans="1:8" ht="14">
      <c r="A1081" s="28" t="s">
        <v>3522</v>
      </c>
      <c r="B1081" s="26" t="s">
        <v>3172</v>
      </c>
      <c r="C1081" s="28" t="s">
        <v>3522</v>
      </c>
      <c r="D1081" s="25" t="s">
        <v>13</v>
      </c>
      <c r="E1081" s="25" t="s">
        <v>3249</v>
      </c>
      <c r="F1081" s="25" t="s">
        <v>3523</v>
      </c>
      <c r="G1081" s="25">
        <v>500</v>
      </c>
      <c r="H1081" s="25"/>
    </row>
    <row r="1082" spans="1:8" ht="14">
      <c r="A1082" s="28" t="s">
        <v>3524</v>
      </c>
      <c r="B1082" s="26" t="s">
        <v>3172</v>
      </c>
      <c r="C1082" s="28" t="s">
        <v>3524</v>
      </c>
      <c r="D1082" s="25" t="s">
        <v>13</v>
      </c>
      <c r="E1082" s="25" t="s">
        <v>3250</v>
      </c>
      <c r="F1082" s="25" t="s">
        <v>3525</v>
      </c>
      <c r="G1082" s="25">
        <v>500</v>
      </c>
      <c r="H1082" s="25"/>
    </row>
    <row r="1083" spans="1:8" ht="14">
      <c r="A1083" s="28" t="s">
        <v>3526</v>
      </c>
      <c r="B1083" s="26" t="s">
        <v>3172</v>
      </c>
      <c r="C1083" s="28" t="s">
        <v>3526</v>
      </c>
      <c r="D1083" s="25" t="s">
        <v>13</v>
      </c>
      <c r="E1083" s="25" t="s">
        <v>3768</v>
      </c>
      <c r="F1083" s="25" t="s">
        <v>3769</v>
      </c>
      <c r="G1083" s="25">
        <v>500</v>
      </c>
      <c r="H1083" s="25"/>
    </row>
    <row r="1084" spans="1:8" ht="14">
      <c r="A1084" s="28" t="s">
        <v>3527</v>
      </c>
      <c r="B1084" s="26" t="s">
        <v>3172</v>
      </c>
      <c r="C1084" s="28" t="s">
        <v>3527</v>
      </c>
      <c r="D1084" s="25" t="s">
        <v>13</v>
      </c>
      <c r="E1084" s="25" t="s">
        <v>3251</v>
      </c>
      <c r="F1084" s="25" t="s">
        <v>3528</v>
      </c>
      <c r="G1084" s="25">
        <v>500</v>
      </c>
      <c r="H1084" s="25"/>
    </row>
    <row r="1085" spans="1:8" ht="14">
      <c r="A1085" s="28" t="s">
        <v>3529</v>
      </c>
      <c r="B1085" s="26" t="s">
        <v>3172</v>
      </c>
      <c r="C1085" s="28" t="s">
        <v>3529</v>
      </c>
      <c r="D1085" s="25" t="s">
        <v>13</v>
      </c>
      <c r="E1085" s="25" t="s">
        <v>3252</v>
      </c>
      <c r="F1085" s="25" t="s">
        <v>3530</v>
      </c>
      <c r="G1085" s="25">
        <v>500</v>
      </c>
      <c r="H1085" s="25"/>
    </row>
    <row r="1086" spans="1:8" ht="14">
      <c r="A1086" s="28" t="s">
        <v>3531</v>
      </c>
      <c r="B1086" s="26" t="s">
        <v>3172</v>
      </c>
      <c r="C1086" s="28" t="s">
        <v>3531</v>
      </c>
      <c r="D1086" s="25" t="s">
        <v>13</v>
      </c>
      <c r="E1086" s="25" t="s">
        <v>3253</v>
      </c>
      <c r="F1086" s="25" t="s">
        <v>3532</v>
      </c>
      <c r="G1086" s="25">
        <v>500</v>
      </c>
      <c r="H1086" s="25"/>
    </row>
    <row r="1087" spans="1:8" ht="14">
      <c r="A1087" s="28" t="s">
        <v>3533</v>
      </c>
      <c r="B1087" s="26" t="s">
        <v>3172</v>
      </c>
      <c r="C1087" s="28" t="s">
        <v>3533</v>
      </c>
      <c r="D1087" s="25" t="s">
        <v>13</v>
      </c>
      <c r="E1087" s="25" t="s">
        <v>3254</v>
      </c>
      <c r="F1087" s="25" t="s">
        <v>3534</v>
      </c>
      <c r="G1087" s="25">
        <v>500</v>
      </c>
      <c r="H1087" s="25"/>
    </row>
    <row r="1088" spans="1:8" ht="14">
      <c r="A1088" s="28" t="s">
        <v>3535</v>
      </c>
      <c r="B1088" s="26" t="s">
        <v>3172</v>
      </c>
      <c r="C1088" s="28" t="s">
        <v>3535</v>
      </c>
      <c r="D1088" s="25" t="s">
        <v>13</v>
      </c>
      <c r="E1088" s="25" t="s">
        <v>3255</v>
      </c>
      <c r="F1088" s="25" t="s">
        <v>3536</v>
      </c>
      <c r="G1088" s="25">
        <v>500</v>
      </c>
      <c r="H1088" s="25"/>
    </row>
    <row r="1089" spans="1:8" ht="14">
      <c r="A1089" s="28" t="s">
        <v>3537</v>
      </c>
      <c r="B1089" s="26" t="s">
        <v>3172</v>
      </c>
      <c r="C1089" s="28" t="s">
        <v>3537</v>
      </c>
      <c r="D1089" s="25" t="s">
        <v>13</v>
      </c>
      <c r="E1089" s="25" t="s">
        <v>3538</v>
      </c>
      <c r="F1089" s="25" t="s">
        <v>3539</v>
      </c>
      <c r="G1089" s="25">
        <v>500</v>
      </c>
      <c r="H1089" s="25"/>
    </row>
    <row r="1090" spans="1:8" ht="14">
      <c r="A1090" s="28" t="s">
        <v>3540</v>
      </c>
      <c r="B1090" s="26" t="s">
        <v>3172</v>
      </c>
      <c r="C1090" s="28" t="s">
        <v>3540</v>
      </c>
      <c r="D1090" s="25" t="s">
        <v>13</v>
      </c>
      <c r="E1090" s="25" t="s">
        <v>3541</v>
      </c>
      <c r="F1090" s="25" t="s">
        <v>3542</v>
      </c>
      <c r="G1090" s="25">
        <v>500</v>
      </c>
      <c r="H1090" s="25"/>
    </row>
    <row r="1091" spans="1:8" ht="14">
      <c r="A1091" s="28" t="s">
        <v>3543</v>
      </c>
      <c r="B1091" s="26" t="s">
        <v>3172</v>
      </c>
      <c r="C1091" s="28" t="s">
        <v>3543</v>
      </c>
      <c r="D1091" s="25" t="s">
        <v>13</v>
      </c>
      <c r="E1091" s="25" t="s">
        <v>3256</v>
      </c>
      <c r="F1091" s="25" t="s">
        <v>3544</v>
      </c>
      <c r="G1091" s="25">
        <v>500</v>
      </c>
      <c r="H1091" s="25"/>
    </row>
    <row r="1092" spans="1:8" ht="14">
      <c r="A1092" s="28" t="s">
        <v>3545</v>
      </c>
      <c r="B1092" s="26" t="s">
        <v>3172</v>
      </c>
      <c r="C1092" s="28" t="s">
        <v>3545</v>
      </c>
      <c r="D1092" s="25" t="s">
        <v>13</v>
      </c>
      <c r="E1092" s="25" t="s">
        <v>3257</v>
      </c>
      <c r="F1092" s="25" t="s">
        <v>3546</v>
      </c>
      <c r="G1092" s="25">
        <v>500</v>
      </c>
      <c r="H1092" s="25"/>
    </row>
    <row r="1093" spans="1:8" ht="14">
      <c r="A1093" s="28" t="s">
        <v>3547</v>
      </c>
      <c r="B1093" s="26" t="s">
        <v>3172</v>
      </c>
      <c r="C1093" s="28" t="s">
        <v>3547</v>
      </c>
      <c r="D1093" s="25" t="s">
        <v>13</v>
      </c>
      <c r="E1093" s="25" t="s">
        <v>3258</v>
      </c>
      <c r="F1093" s="25" t="s">
        <v>3548</v>
      </c>
      <c r="G1093" s="25">
        <v>500</v>
      </c>
      <c r="H1093" s="25"/>
    </row>
    <row r="1094" spans="1:8" ht="14">
      <c r="A1094" s="28" t="s">
        <v>3549</v>
      </c>
      <c r="B1094" s="26" t="s">
        <v>3172</v>
      </c>
      <c r="C1094" s="28" t="s">
        <v>3549</v>
      </c>
      <c r="D1094" s="25" t="s">
        <v>13</v>
      </c>
      <c r="E1094" s="25" t="s">
        <v>3259</v>
      </c>
      <c r="F1094" s="25" t="s">
        <v>3550</v>
      </c>
      <c r="G1094" s="25">
        <v>500</v>
      </c>
      <c r="H1094" s="25"/>
    </row>
    <row r="1095" spans="1:8" ht="14">
      <c r="A1095" s="28" t="s">
        <v>3551</v>
      </c>
      <c r="B1095" s="26" t="s">
        <v>3172</v>
      </c>
      <c r="C1095" s="28" t="s">
        <v>3551</v>
      </c>
      <c r="D1095" s="25" t="s">
        <v>13</v>
      </c>
      <c r="E1095" s="25" t="s">
        <v>3260</v>
      </c>
      <c r="F1095" s="25" t="s">
        <v>3552</v>
      </c>
      <c r="G1095" s="25">
        <v>500</v>
      </c>
      <c r="H1095" s="25"/>
    </row>
    <row r="1096" spans="1:8" ht="14">
      <c r="A1096" s="28" t="s">
        <v>3553</v>
      </c>
      <c r="B1096" s="26" t="s">
        <v>3172</v>
      </c>
      <c r="C1096" s="28" t="s">
        <v>3553</v>
      </c>
      <c r="D1096" s="25" t="s">
        <v>13</v>
      </c>
      <c r="E1096" s="25" t="s">
        <v>3261</v>
      </c>
      <c r="F1096" s="25" t="s">
        <v>3554</v>
      </c>
      <c r="G1096" s="25">
        <v>500</v>
      </c>
      <c r="H1096" s="25"/>
    </row>
    <row r="1097" spans="1:8" ht="14">
      <c r="A1097" s="28" t="s">
        <v>3555</v>
      </c>
      <c r="B1097" s="26" t="s">
        <v>3172</v>
      </c>
      <c r="C1097" s="28" t="s">
        <v>3555</v>
      </c>
      <c r="D1097" s="25" t="s">
        <v>13</v>
      </c>
      <c r="E1097" s="25" t="s">
        <v>3262</v>
      </c>
      <c r="F1097" s="25" t="s">
        <v>3556</v>
      </c>
      <c r="G1097" s="25">
        <v>500</v>
      </c>
      <c r="H1097" s="25"/>
    </row>
    <row r="1098" spans="1:8" ht="14">
      <c r="A1098" s="28" t="s">
        <v>3557</v>
      </c>
      <c r="B1098" s="26" t="s">
        <v>3172</v>
      </c>
      <c r="C1098" s="28" t="s">
        <v>3557</v>
      </c>
      <c r="D1098" s="25" t="s">
        <v>13</v>
      </c>
      <c r="E1098" s="25" t="s">
        <v>3558</v>
      </c>
      <c r="F1098" s="25" t="s">
        <v>3559</v>
      </c>
      <c r="G1098" s="25">
        <v>500</v>
      </c>
      <c r="H1098" s="25"/>
    </row>
    <row r="1099" spans="1:8" ht="14">
      <c r="A1099" s="28" t="s">
        <v>3560</v>
      </c>
      <c r="B1099" s="26" t="s">
        <v>3172</v>
      </c>
      <c r="C1099" s="28" t="s">
        <v>3560</v>
      </c>
      <c r="D1099" s="25" t="s">
        <v>13</v>
      </c>
      <c r="E1099" s="25" t="s">
        <v>3263</v>
      </c>
      <c r="F1099" s="25" t="s">
        <v>3561</v>
      </c>
      <c r="G1099" s="25">
        <v>500</v>
      </c>
      <c r="H1099" s="25"/>
    </row>
    <row r="1100" spans="1:8" ht="14">
      <c r="A1100" s="28" t="s">
        <v>3562</v>
      </c>
      <c r="B1100" s="26" t="s">
        <v>3172</v>
      </c>
      <c r="C1100" s="28" t="s">
        <v>3562</v>
      </c>
      <c r="D1100" s="25" t="s">
        <v>13</v>
      </c>
      <c r="E1100" s="25" t="s">
        <v>3264</v>
      </c>
      <c r="F1100" s="25" t="s">
        <v>3563</v>
      </c>
      <c r="G1100" s="25">
        <v>500</v>
      </c>
      <c r="H1100" s="25"/>
    </row>
    <row r="1101" spans="1:8" ht="14">
      <c r="A1101" s="28" t="s">
        <v>3564</v>
      </c>
      <c r="B1101" s="26" t="s">
        <v>3172</v>
      </c>
      <c r="C1101" s="28" t="s">
        <v>3564</v>
      </c>
      <c r="D1101" s="25" t="s">
        <v>13</v>
      </c>
      <c r="E1101" s="25" t="s">
        <v>3265</v>
      </c>
      <c r="F1101" s="25" t="s">
        <v>3565</v>
      </c>
      <c r="G1101" s="25">
        <v>500</v>
      </c>
      <c r="H1101" s="25"/>
    </row>
    <row r="1102" spans="1:8" ht="14">
      <c r="A1102" s="28" t="s">
        <v>3566</v>
      </c>
      <c r="B1102" s="26" t="s">
        <v>3172</v>
      </c>
      <c r="C1102" s="28" t="s">
        <v>3566</v>
      </c>
      <c r="D1102" s="25" t="s">
        <v>13</v>
      </c>
      <c r="E1102" s="25" t="s">
        <v>3266</v>
      </c>
      <c r="F1102" s="25" t="s">
        <v>3567</v>
      </c>
      <c r="G1102" s="25">
        <v>500</v>
      </c>
      <c r="H1102" s="25"/>
    </row>
    <row r="1103" spans="1:8" ht="14">
      <c r="A1103" s="28" t="s">
        <v>3568</v>
      </c>
      <c r="B1103" s="26" t="s">
        <v>3172</v>
      </c>
      <c r="C1103" s="28" t="s">
        <v>3568</v>
      </c>
      <c r="D1103" s="25" t="s">
        <v>13</v>
      </c>
      <c r="E1103" s="25" t="s">
        <v>3267</v>
      </c>
      <c r="F1103" s="25" t="s">
        <v>3569</v>
      </c>
      <c r="G1103" s="25">
        <v>500</v>
      </c>
      <c r="H1103" s="25"/>
    </row>
    <row r="1104" spans="1:8" ht="14">
      <c r="A1104" s="28" t="s">
        <v>3570</v>
      </c>
      <c r="B1104" s="26" t="s">
        <v>3172</v>
      </c>
      <c r="C1104" s="28" t="s">
        <v>3570</v>
      </c>
      <c r="D1104" s="25" t="s">
        <v>13</v>
      </c>
      <c r="E1104" s="25" t="s">
        <v>3268</v>
      </c>
      <c r="F1104" s="25" t="s">
        <v>3571</v>
      </c>
      <c r="G1104" s="25">
        <v>500</v>
      </c>
      <c r="H1104" s="25"/>
    </row>
    <row r="1105" spans="1:8" ht="14">
      <c r="A1105" s="28" t="s">
        <v>3572</v>
      </c>
      <c r="B1105" s="26" t="s">
        <v>3172</v>
      </c>
      <c r="C1105" s="28" t="s">
        <v>3572</v>
      </c>
      <c r="D1105" s="25" t="s">
        <v>13</v>
      </c>
      <c r="E1105" s="25" t="s">
        <v>3269</v>
      </c>
      <c r="F1105" s="25" t="s">
        <v>3573</v>
      </c>
      <c r="G1105" s="25">
        <v>500</v>
      </c>
      <c r="H1105" s="25"/>
    </row>
    <row r="1106" spans="1:8" ht="14">
      <c r="A1106" s="28" t="s">
        <v>3574</v>
      </c>
      <c r="B1106" s="26" t="s">
        <v>3172</v>
      </c>
      <c r="C1106" s="28" t="s">
        <v>3574</v>
      </c>
      <c r="D1106" s="25" t="s">
        <v>13</v>
      </c>
      <c r="E1106" s="25" t="s">
        <v>3270</v>
      </c>
      <c r="F1106" s="25" t="s">
        <v>3575</v>
      </c>
      <c r="G1106" s="25">
        <v>500</v>
      </c>
      <c r="H1106" s="25"/>
    </row>
    <row r="1107" spans="1:8" ht="14">
      <c r="A1107" s="28" t="s">
        <v>3576</v>
      </c>
      <c r="B1107" s="26" t="s">
        <v>3172</v>
      </c>
      <c r="C1107" s="28" t="s">
        <v>3576</v>
      </c>
      <c r="D1107" s="25" t="s">
        <v>13</v>
      </c>
      <c r="E1107" s="25" t="s">
        <v>3271</v>
      </c>
      <c r="F1107" s="25" t="s">
        <v>3577</v>
      </c>
      <c r="G1107" s="25">
        <v>500</v>
      </c>
      <c r="H1107" s="25"/>
    </row>
    <row r="1108" spans="1:8" ht="14">
      <c r="A1108" s="28" t="s">
        <v>3578</v>
      </c>
      <c r="B1108" s="26" t="s">
        <v>3172</v>
      </c>
      <c r="C1108" s="28" t="s">
        <v>3578</v>
      </c>
      <c r="D1108" s="25" t="s">
        <v>13</v>
      </c>
      <c r="E1108" s="25" t="s">
        <v>3272</v>
      </c>
      <c r="F1108" s="25" t="s">
        <v>3579</v>
      </c>
      <c r="G1108" s="25">
        <v>500</v>
      </c>
      <c r="H1108" s="25"/>
    </row>
    <row r="1109" spans="1:8" ht="14">
      <c r="A1109" s="28" t="s">
        <v>3580</v>
      </c>
      <c r="B1109" s="26" t="s">
        <v>3172</v>
      </c>
      <c r="C1109" s="28" t="s">
        <v>3580</v>
      </c>
      <c r="D1109" s="25" t="s">
        <v>13</v>
      </c>
      <c r="E1109" s="25" t="s">
        <v>3273</v>
      </c>
      <c r="F1109" s="25" t="s">
        <v>3581</v>
      </c>
      <c r="G1109" s="25">
        <v>500</v>
      </c>
      <c r="H1109" s="25"/>
    </row>
    <row r="1110" spans="1:8" ht="14">
      <c r="A1110" s="28" t="s">
        <v>3582</v>
      </c>
      <c r="B1110" s="26" t="s">
        <v>3172</v>
      </c>
      <c r="C1110" s="28" t="s">
        <v>3582</v>
      </c>
      <c r="D1110" s="25" t="s">
        <v>13</v>
      </c>
      <c r="E1110" s="25" t="s">
        <v>3274</v>
      </c>
      <c r="F1110" s="25" t="s">
        <v>3583</v>
      </c>
      <c r="G1110" s="25">
        <v>500</v>
      </c>
      <c r="H1110" s="25"/>
    </row>
    <row r="1111" spans="1:8" ht="14">
      <c r="A1111" s="28" t="s">
        <v>3584</v>
      </c>
      <c r="B1111" s="26" t="s">
        <v>3172</v>
      </c>
      <c r="C1111" s="28" t="s">
        <v>3584</v>
      </c>
      <c r="D1111" s="25" t="s">
        <v>13</v>
      </c>
      <c r="E1111" s="25" t="s">
        <v>3275</v>
      </c>
      <c r="F1111" s="25" t="s">
        <v>3585</v>
      </c>
      <c r="G1111" s="25">
        <v>500</v>
      </c>
      <c r="H1111" s="25"/>
    </row>
    <row r="1112" spans="1:8" ht="14">
      <c r="A1112" s="28" t="s">
        <v>3586</v>
      </c>
      <c r="B1112" s="26" t="s">
        <v>3172</v>
      </c>
      <c r="C1112" s="28" t="s">
        <v>3586</v>
      </c>
      <c r="D1112" s="25" t="s">
        <v>13</v>
      </c>
      <c r="E1112" s="25" t="s">
        <v>3276</v>
      </c>
      <c r="F1112" s="25" t="s">
        <v>3587</v>
      </c>
      <c r="G1112" s="25">
        <v>500</v>
      </c>
      <c r="H1112" s="25"/>
    </row>
    <row r="1113" spans="1:8" ht="14">
      <c r="A1113" s="28" t="s">
        <v>3588</v>
      </c>
      <c r="B1113" s="26" t="s">
        <v>3172</v>
      </c>
      <c r="C1113" s="28" t="s">
        <v>3588</v>
      </c>
      <c r="D1113" s="25" t="s">
        <v>13</v>
      </c>
      <c r="E1113" s="25" t="s">
        <v>3277</v>
      </c>
      <c r="F1113" s="25" t="s">
        <v>3589</v>
      </c>
      <c r="G1113" s="25">
        <v>500</v>
      </c>
      <c r="H1113" s="25"/>
    </row>
    <row r="1114" spans="1:8" ht="14">
      <c r="A1114" s="28" t="s">
        <v>3590</v>
      </c>
      <c r="B1114" s="26" t="s">
        <v>3172</v>
      </c>
      <c r="C1114" s="28" t="s">
        <v>3590</v>
      </c>
      <c r="D1114" s="25" t="s">
        <v>13</v>
      </c>
      <c r="E1114" s="25" t="s">
        <v>3278</v>
      </c>
      <c r="F1114" s="25" t="s">
        <v>3591</v>
      </c>
      <c r="G1114" s="25">
        <v>500</v>
      </c>
      <c r="H1114" s="25"/>
    </row>
    <row r="1115" spans="1:8" ht="14">
      <c r="A1115" s="28" t="s">
        <v>3592</v>
      </c>
      <c r="B1115" s="26" t="s">
        <v>3172</v>
      </c>
      <c r="C1115" s="28" t="s">
        <v>3592</v>
      </c>
      <c r="D1115" s="25" t="s">
        <v>13</v>
      </c>
      <c r="E1115" s="25" t="s">
        <v>3279</v>
      </c>
      <c r="F1115" s="25" t="s">
        <v>3593</v>
      </c>
      <c r="G1115" s="25">
        <v>500</v>
      </c>
      <c r="H1115" s="25"/>
    </row>
    <row r="1116" spans="1:8" ht="14">
      <c r="A1116" s="28" t="s">
        <v>3594</v>
      </c>
      <c r="B1116" s="26" t="s">
        <v>3172</v>
      </c>
      <c r="C1116" s="28" t="s">
        <v>3594</v>
      </c>
      <c r="D1116" s="25" t="s">
        <v>13</v>
      </c>
      <c r="E1116" s="25" t="s">
        <v>3280</v>
      </c>
      <c r="F1116" s="25" t="s">
        <v>3595</v>
      </c>
      <c r="G1116" s="25">
        <v>500</v>
      </c>
      <c r="H1116" s="25"/>
    </row>
    <row r="1117" spans="1:8" ht="14">
      <c r="A1117" s="28" t="s">
        <v>3596</v>
      </c>
      <c r="B1117" s="26" t="s">
        <v>3172</v>
      </c>
      <c r="C1117" s="28" t="s">
        <v>3596</v>
      </c>
      <c r="D1117" s="25" t="s">
        <v>13</v>
      </c>
      <c r="E1117" s="25" t="s">
        <v>3281</v>
      </c>
      <c r="F1117" s="25" t="s">
        <v>3597</v>
      </c>
      <c r="G1117" s="25">
        <v>500</v>
      </c>
      <c r="H1117" s="25"/>
    </row>
    <row r="1118" spans="1:8" ht="14">
      <c r="A1118" s="28" t="s">
        <v>3598</v>
      </c>
      <c r="B1118" s="26" t="s">
        <v>3172</v>
      </c>
      <c r="C1118" s="28" t="s">
        <v>3598</v>
      </c>
      <c r="D1118" s="25" t="s">
        <v>13</v>
      </c>
      <c r="E1118" s="25" t="s">
        <v>3282</v>
      </c>
      <c r="F1118" s="25" t="s">
        <v>3599</v>
      </c>
      <c r="G1118" s="25">
        <v>500</v>
      </c>
      <c r="H1118" s="25"/>
    </row>
    <row r="1119" spans="1:8" ht="14">
      <c r="A1119" s="28" t="s">
        <v>3600</v>
      </c>
      <c r="B1119" s="26" t="s">
        <v>3172</v>
      </c>
      <c r="C1119" s="28" t="s">
        <v>3600</v>
      </c>
      <c r="D1119" s="25" t="s">
        <v>13</v>
      </c>
      <c r="E1119" s="25" t="s">
        <v>3601</v>
      </c>
      <c r="F1119" s="25" t="s">
        <v>3602</v>
      </c>
      <c r="G1119" s="25">
        <v>500</v>
      </c>
      <c r="H1119" s="25"/>
    </row>
    <row r="1120" spans="1:8" ht="14">
      <c r="A1120" s="28" t="s">
        <v>3603</v>
      </c>
      <c r="B1120" s="26" t="s">
        <v>3172</v>
      </c>
      <c r="C1120" s="28" t="s">
        <v>3603</v>
      </c>
      <c r="D1120" s="25" t="s">
        <v>13</v>
      </c>
      <c r="E1120" s="25" t="s">
        <v>3283</v>
      </c>
      <c r="F1120" s="25" t="s">
        <v>3604</v>
      </c>
      <c r="G1120" s="25">
        <v>500</v>
      </c>
      <c r="H1120" s="25"/>
    </row>
    <row r="1121" spans="1:8" ht="14">
      <c r="A1121" s="28" t="s">
        <v>3605</v>
      </c>
      <c r="B1121" s="26" t="s">
        <v>3172</v>
      </c>
      <c r="C1121" s="28" t="s">
        <v>3605</v>
      </c>
      <c r="D1121" s="25" t="s">
        <v>13</v>
      </c>
      <c r="E1121" s="25" t="s">
        <v>3284</v>
      </c>
      <c r="F1121" s="25" t="s">
        <v>3606</v>
      </c>
      <c r="G1121" s="25">
        <v>500</v>
      </c>
      <c r="H1121" s="25"/>
    </row>
    <row r="1122" spans="1:8" ht="14">
      <c r="A1122" s="28" t="s">
        <v>3607</v>
      </c>
      <c r="B1122" s="26" t="s">
        <v>3172</v>
      </c>
      <c r="C1122" s="28" t="s">
        <v>3607</v>
      </c>
      <c r="D1122" s="25" t="s">
        <v>13</v>
      </c>
      <c r="E1122" s="25" t="s">
        <v>3285</v>
      </c>
      <c r="F1122" s="25" t="s">
        <v>3608</v>
      </c>
      <c r="G1122" s="25">
        <v>500</v>
      </c>
      <c r="H1122" s="25"/>
    </row>
    <row r="1123" spans="1:8" ht="14">
      <c r="A1123" s="28" t="s">
        <v>3609</v>
      </c>
      <c r="B1123" s="26" t="s">
        <v>3172</v>
      </c>
      <c r="C1123" s="28" t="s">
        <v>3609</v>
      </c>
      <c r="D1123" s="25" t="s">
        <v>13</v>
      </c>
      <c r="E1123" s="25" t="s">
        <v>3610</v>
      </c>
      <c r="F1123" s="25" t="s">
        <v>3611</v>
      </c>
      <c r="G1123" s="25">
        <v>500</v>
      </c>
      <c r="H1123" s="25"/>
    </row>
    <row r="1124" spans="1:8" ht="14">
      <c r="A1124" s="28" t="s">
        <v>3612</v>
      </c>
      <c r="B1124" s="26" t="s">
        <v>3172</v>
      </c>
      <c r="C1124" s="28" t="s">
        <v>3612</v>
      </c>
      <c r="D1124" s="25" t="s">
        <v>13</v>
      </c>
      <c r="E1124" s="25" t="s">
        <v>3286</v>
      </c>
      <c r="F1124" s="25" t="s">
        <v>3613</v>
      </c>
      <c r="G1124" s="25">
        <v>500</v>
      </c>
      <c r="H1124" s="25"/>
    </row>
    <row r="1125" spans="1:8" ht="14">
      <c r="A1125" s="28" t="s">
        <v>3614</v>
      </c>
      <c r="B1125" s="26" t="s">
        <v>3172</v>
      </c>
      <c r="C1125" s="28" t="s">
        <v>3614</v>
      </c>
      <c r="D1125" s="25" t="s">
        <v>13</v>
      </c>
      <c r="E1125" s="25" t="s">
        <v>3287</v>
      </c>
      <c r="F1125" s="25" t="s">
        <v>3615</v>
      </c>
      <c r="G1125" s="25">
        <v>500</v>
      </c>
      <c r="H1125" s="25"/>
    </row>
    <row r="1126" spans="1:8" ht="14">
      <c r="A1126" s="28" t="s">
        <v>3616</v>
      </c>
      <c r="B1126" s="26" t="s">
        <v>3172</v>
      </c>
      <c r="C1126" s="28" t="s">
        <v>3616</v>
      </c>
      <c r="D1126" s="25" t="s">
        <v>13</v>
      </c>
      <c r="E1126" s="25" t="s">
        <v>3288</v>
      </c>
      <c r="F1126" s="25" t="s">
        <v>3617</v>
      </c>
      <c r="G1126" s="25">
        <v>500</v>
      </c>
      <c r="H1126" s="25"/>
    </row>
    <row r="1127" spans="1:8" ht="14">
      <c r="A1127" s="28" t="s">
        <v>3618</v>
      </c>
      <c r="B1127" s="26" t="s">
        <v>3172</v>
      </c>
      <c r="C1127" s="28" t="s">
        <v>3618</v>
      </c>
      <c r="D1127" s="25" t="s">
        <v>13</v>
      </c>
      <c r="E1127" s="25" t="s">
        <v>3289</v>
      </c>
      <c r="F1127" s="25" t="s">
        <v>3619</v>
      </c>
      <c r="G1127" s="25">
        <v>500</v>
      </c>
      <c r="H1127" s="25"/>
    </row>
    <row r="1128" spans="1:8" ht="14">
      <c r="A1128" s="28" t="s">
        <v>3620</v>
      </c>
      <c r="B1128" s="26" t="s">
        <v>3172</v>
      </c>
      <c r="C1128" s="28" t="s">
        <v>3620</v>
      </c>
      <c r="D1128" s="25" t="s">
        <v>13</v>
      </c>
      <c r="E1128" s="25" t="s">
        <v>3290</v>
      </c>
      <c r="F1128" s="25" t="s">
        <v>3621</v>
      </c>
      <c r="G1128" s="25">
        <v>500</v>
      </c>
      <c r="H1128" s="25"/>
    </row>
    <row r="1129" spans="1:8" ht="14">
      <c r="A1129" s="28" t="s">
        <v>3622</v>
      </c>
      <c r="B1129" s="26" t="s">
        <v>3172</v>
      </c>
      <c r="C1129" s="28" t="s">
        <v>3622</v>
      </c>
      <c r="D1129" s="25" t="s">
        <v>13</v>
      </c>
      <c r="E1129" s="25" t="s">
        <v>3291</v>
      </c>
      <c r="F1129" s="25" t="s">
        <v>3623</v>
      </c>
      <c r="G1129" s="25">
        <v>500</v>
      </c>
      <c r="H1129" s="25"/>
    </row>
    <row r="1130" spans="1:8" ht="14">
      <c r="A1130" s="28" t="s">
        <v>3624</v>
      </c>
      <c r="B1130" s="26" t="s">
        <v>3172</v>
      </c>
      <c r="C1130" s="28" t="s">
        <v>3624</v>
      </c>
      <c r="D1130" s="25" t="s">
        <v>13</v>
      </c>
      <c r="E1130" s="25" t="s">
        <v>3292</v>
      </c>
      <c r="F1130" s="25" t="s">
        <v>3625</v>
      </c>
      <c r="G1130" s="25">
        <v>500</v>
      </c>
      <c r="H1130" s="25"/>
    </row>
    <row r="1131" spans="1:8" ht="14">
      <c r="A1131" s="28" t="s">
        <v>3626</v>
      </c>
      <c r="B1131" s="26" t="s">
        <v>3172</v>
      </c>
      <c r="C1131" s="28" t="s">
        <v>3626</v>
      </c>
      <c r="D1131" s="25" t="s">
        <v>13</v>
      </c>
      <c r="E1131" s="25" t="s">
        <v>3293</v>
      </c>
      <c r="F1131" s="25" t="s">
        <v>3627</v>
      </c>
      <c r="G1131" s="25">
        <v>500</v>
      </c>
      <c r="H1131" s="25"/>
    </row>
    <row r="1132" spans="1:8" ht="14">
      <c r="A1132" s="28" t="s">
        <v>3628</v>
      </c>
      <c r="B1132" s="26" t="s">
        <v>3172</v>
      </c>
      <c r="C1132" s="28" t="s">
        <v>3628</v>
      </c>
      <c r="D1132" s="25" t="s">
        <v>13</v>
      </c>
      <c r="E1132" s="25" t="s">
        <v>3294</v>
      </c>
      <c r="F1132" s="25" t="s">
        <v>3629</v>
      </c>
      <c r="G1132" s="25">
        <v>500</v>
      </c>
      <c r="H1132" s="25"/>
    </row>
    <row r="1133" spans="1:8" ht="14">
      <c r="A1133" s="28" t="s">
        <v>3630</v>
      </c>
      <c r="B1133" s="26" t="s">
        <v>3172</v>
      </c>
      <c r="C1133" s="28" t="s">
        <v>3630</v>
      </c>
      <c r="D1133" s="25" t="s">
        <v>13</v>
      </c>
      <c r="E1133" s="25" t="s">
        <v>3295</v>
      </c>
      <c r="F1133" s="25" t="s">
        <v>3631</v>
      </c>
      <c r="G1133" s="25">
        <v>500</v>
      </c>
      <c r="H1133" s="25"/>
    </row>
    <row r="1134" spans="1:8" ht="14">
      <c r="A1134" s="28" t="s">
        <v>3632</v>
      </c>
      <c r="B1134" s="26" t="s">
        <v>3172</v>
      </c>
      <c r="C1134" s="28" t="s">
        <v>3632</v>
      </c>
      <c r="D1134" s="25" t="s">
        <v>13</v>
      </c>
      <c r="E1134" s="25" t="s">
        <v>3296</v>
      </c>
      <c r="F1134" s="25" t="s">
        <v>3633</v>
      </c>
      <c r="G1134" s="25">
        <v>500</v>
      </c>
      <c r="H1134" s="25"/>
    </row>
    <row r="1135" spans="1:8" ht="14">
      <c r="A1135" s="28" t="s">
        <v>3634</v>
      </c>
      <c r="B1135" s="26" t="s">
        <v>3172</v>
      </c>
      <c r="C1135" s="28" t="s">
        <v>3634</v>
      </c>
      <c r="D1135" s="25" t="s">
        <v>13</v>
      </c>
      <c r="E1135" s="25" t="s">
        <v>3297</v>
      </c>
      <c r="F1135" s="25" t="s">
        <v>3635</v>
      </c>
      <c r="G1135" s="25">
        <v>500</v>
      </c>
      <c r="H1135" s="25"/>
    </row>
    <row r="1136" spans="1:8" ht="14">
      <c r="A1136" s="28" t="s">
        <v>3636</v>
      </c>
      <c r="B1136" s="26" t="s">
        <v>3172</v>
      </c>
      <c r="C1136" s="28" t="s">
        <v>3636</v>
      </c>
      <c r="D1136" s="25" t="s">
        <v>13</v>
      </c>
      <c r="E1136" s="25" t="s">
        <v>3298</v>
      </c>
      <c r="F1136" s="25" t="s">
        <v>3637</v>
      </c>
      <c r="G1136" s="25">
        <v>500</v>
      </c>
      <c r="H1136" s="25"/>
    </row>
    <row r="1137" spans="1:8" ht="14">
      <c r="A1137" s="28" t="s">
        <v>3638</v>
      </c>
      <c r="B1137" s="26" t="s">
        <v>3172</v>
      </c>
      <c r="C1137" s="28" t="s">
        <v>3638</v>
      </c>
      <c r="D1137" s="25" t="s">
        <v>13</v>
      </c>
      <c r="E1137" s="25" t="s">
        <v>3299</v>
      </c>
      <c r="F1137" s="25" t="s">
        <v>3639</v>
      </c>
      <c r="G1137" s="25">
        <v>500</v>
      </c>
      <c r="H1137" s="25"/>
    </row>
    <row r="1138" spans="1:8" ht="14">
      <c r="A1138" s="28" t="s">
        <v>3640</v>
      </c>
      <c r="B1138" s="26" t="s">
        <v>3172</v>
      </c>
      <c r="C1138" s="28" t="s">
        <v>3640</v>
      </c>
      <c r="D1138" s="25" t="s">
        <v>13</v>
      </c>
      <c r="E1138" s="25" t="s">
        <v>3300</v>
      </c>
      <c r="F1138" s="25" t="s">
        <v>3641</v>
      </c>
      <c r="G1138" s="25">
        <v>500</v>
      </c>
      <c r="H1138" s="25"/>
    </row>
    <row r="1139" spans="1:8" ht="14">
      <c r="A1139" s="28" t="s">
        <v>3642</v>
      </c>
      <c r="B1139" s="26" t="s">
        <v>3172</v>
      </c>
      <c r="C1139" s="28" t="s">
        <v>3642</v>
      </c>
      <c r="D1139" s="25" t="s">
        <v>13</v>
      </c>
      <c r="E1139" s="25" t="s">
        <v>3301</v>
      </c>
      <c r="F1139" s="25" t="s">
        <v>3643</v>
      </c>
      <c r="G1139" s="25">
        <v>500</v>
      </c>
      <c r="H1139" s="25"/>
    </row>
    <row r="1140" spans="1:8" ht="14">
      <c r="A1140" s="28" t="s">
        <v>3644</v>
      </c>
      <c r="B1140" s="26" t="s">
        <v>3172</v>
      </c>
      <c r="C1140" s="28" t="s">
        <v>3644</v>
      </c>
      <c r="D1140" s="25" t="s">
        <v>13</v>
      </c>
      <c r="E1140" s="25" t="s">
        <v>3302</v>
      </c>
      <c r="F1140" s="25" t="s">
        <v>3645</v>
      </c>
      <c r="G1140" s="25">
        <v>500</v>
      </c>
      <c r="H1140" s="25"/>
    </row>
    <row r="1141" spans="1:8" ht="14">
      <c r="A1141" s="28" t="s">
        <v>3646</v>
      </c>
      <c r="B1141" s="26" t="s">
        <v>3172</v>
      </c>
      <c r="C1141" s="28" t="s">
        <v>3646</v>
      </c>
      <c r="D1141" s="25" t="s">
        <v>13</v>
      </c>
      <c r="E1141" s="25" t="s">
        <v>3303</v>
      </c>
      <c r="F1141" s="25" t="s">
        <v>3647</v>
      </c>
      <c r="G1141" s="25">
        <v>500</v>
      </c>
      <c r="H1141" s="25"/>
    </row>
    <row r="1142" spans="1:8" ht="14">
      <c r="A1142" s="28" t="s">
        <v>3648</v>
      </c>
      <c r="B1142" s="26" t="s">
        <v>3172</v>
      </c>
      <c r="C1142" s="28" t="s">
        <v>3648</v>
      </c>
      <c r="D1142" s="25" t="s">
        <v>13</v>
      </c>
      <c r="E1142" s="25" t="s">
        <v>3304</v>
      </c>
      <c r="F1142" s="25" t="s">
        <v>3649</v>
      </c>
      <c r="G1142" s="25">
        <v>500</v>
      </c>
      <c r="H1142" s="25"/>
    </row>
    <row r="1143" spans="1:8" ht="14">
      <c r="A1143" s="28" t="s">
        <v>3650</v>
      </c>
      <c r="B1143" s="26" t="s">
        <v>3172</v>
      </c>
      <c r="C1143" s="28" t="s">
        <v>3650</v>
      </c>
      <c r="D1143" s="25" t="s">
        <v>13</v>
      </c>
      <c r="E1143" s="25" t="s">
        <v>3305</v>
      </c>
      <c r="F1143" s="25" t="s">
        <v>3651</v>
      </c>
      <c r="G1143" s="25">
        <v>500</v>
      </c>
      <c r="H1143" s="25"/>
    </row>
    <row r="1144" spans="1:8" ht="14">
      <c r="A1144" s="28" t="s">
        <v>3652</v>
      </c>
      <c r="B1144" s="26" t="s">
        <v>3172</v>
      </c>
      <c r="C1144" s="28" t="s">
        <v>3652</v>
      </c>
      <c r="D1144" s="25" t="s">
        <v>13</v>
      </c>
      <c r="E1144" s="25" t="s">
        <v>3306</v>
      </c>
      <c r="F1144" s="25" t="s">
        <v>3653</v>
      </c>
      <c r="G1144" s="25">
        <v>500</v>
      </c>
      <c r="H1144" s="25"/>
    </row>
    <row r="1145" spans="1:8" ht="14">
      <c r="A1145" s="28" t="s">
        <v>3654</v>
      </c>
      <c r="B1145" s="26" t="s">
        <v>3172</v>
      </c>
      <c r="C1145" s="28" t="s">
        <v>3654</v>
      </c>
      <c r="D1145" s="25" t="s">
        <v>13</v>
      </c>
      <c r="E1145" s="25" t="s">
        <v>3307</v>
      </c>
      <c r="F1145" s="25" t="s">
        <v>3655</v>
      </c>
      <c r="G1145" s="25">
        <v>500</v>
      </c>
      <c r="H1145" s="25"/>
    </row>
    <row r="1146" spans="1:8" ht="14">
      <c r="A1146" s="28" t="s">
        <v>3656</v>
      </c>
      <c r="B1146" s="26" t="s">
        <v>3172</v>
      </c>
      <c r="C1146" s="28" t="s">
        <v>3656</v>
      </c>
      <c r="D1146" s="25" t="s">
        <v>13</v>
      </c>
      <c r="E1146" s="25" t="s">
        <v>3308</v>
      </c>
      <c r="F1146" s="25" t="s">
        <v>3657</v>
      </c>
      <c r="G1146" s="25">
        <v>500</v>
      </c>
      <c r="H1146" s="25"/>
    </row>
    <row r="1147" spans="1:8" ht="14">
      <c r="A1147" s="28" t="s">
        <v>3658</v>
      </c>
      <c r="B1147" s="26" t="s">
        <v>3172</v>
      </c>
      <c r="C1147" s="28" t="s">
        <v>3658</v>
      </c>
      <c r="D1147" s="25" t="s">
        <v>13</v>
      </c>
      <c r="E1147" s="25" t="s">
        <v>3309</v>
      </c>
      <c r="F1147" s="25" t="s">
        <v>3659</v>
      </c>
      <c r="G1147" s="25">
        <v>500</v>
      </c>
      <c r="H1147" s="25"/>
    </row>
    <row r="1148" spans="1:8" ht="14">
      <c r="A1148" s="28" t="s">
        <v>3660</v>
      </c>
      <c r="B1148" s="26" t="s">
        <v>3172</v>
      </c>
      <c r="C1148" s="28" t="s">
        <v>3660</v>
      </c>
      <c r="D1148" s="25" t="s">
        <v>13</v>
      </c>
      <c r="E1148" s="25" t="s">
        <v>3310</v>
      </c>
      <c r="F1148" s="25" t="s">
        <v>3661</v>
      </c>
      <c r="G1148" s="25">
        <v>500</v>
      </c>
      <c r="H1148" s="25"/>
    </row>
    <row r="1149" spans="1:8" ht="14">
      <c r="A1149" s="28" t="s">
        <v>3662</v>
      </c>
      <c r="B1149" s="26" t="s">
        <v>3172</v>
      </c>
      <c r="C1149" s="28" t="s">
        <v>3662</v>
      </c>
      <c r="D1149" s="25" t="s">
        <v>13</v>
      </c>
      <c r="E1149" s="25" t="s">
        <v>3311</v>
      </c>
      <c r="F1149" s="25" t="s">
        <v>3663</v>
      </c>
      <c r="G1149" s="25">
        <v>500</v>
      </c>
      <c r="H1149" s="25"/>
    </row>
    <row r="1150" spans="1:8" ht="14">
      <c r="A1150" s="28" t="s">
        <v>3664</v>
      </c>
      <c r="B1150" s="26" t="s">
        <v>3172</v>
      </c>
      <c r="C1150" s="28" t="s">
        <v>3664</v>
      </c>
      <c r="D1150" s="25" t="s">
        <v>13</v>
      </c>
      <c r="E1150" s="25" t="s">
        <v>3312</v>
      </c>
      <c r="F1150" s="25" t="s">
        <v>3665</v>
      </c>
      <c r="G1150" s="25">
        <v>500</v>
      </c>
      <c r="H1150" s="25"/>
    </row>
    <row r="1151" spans="1:8" ht="14">
      <c r="A1151" s="28" t="s">
        <v>3666</v>
      </c>
      <c r="B1151" s="26" t="s">
        <v>3172</v>
      </c>
      <c r="C1151" s="28" t="s">
        <v>3666</v>
      </c>
      <c r="D1151" s="25" t="s">
        <v>13</v>
      </c>
      <c r="E1151" s="25" t="s">
        <v>3313</v>
      </c>
      <c r="F1151" s="25" t="s">
        <v>3667</v>
      </c>
      <c r="G1151" s="25">
        <v>500</v>
      </c>
      <c r="H1151" s="25"/>
    </row>
    <row r="1152" spans="1:8" ht="14">
      <c r="A1152" s="28" t="s">
        <v>3668</v>
      </c>
      <c r="B1152" s="26" t="s">
        <v>3172</v>
      </c>
      <c r="C1152" s="28" t="s">
        <v>3668</v>
      </c>
      <c r="D1152" s="25" t="s">
        <v>13</v>
      </c>
      <c r="E1152" s="25" t="s">
        <v>3314</v>
      </c>
      <c r="F1152" s="25" t="s">
        <v>3669</v>
      </c>
      <c r="G1152" s="25">
        <v>500</v>
      </c>
      <c r="H1152" s="25"/>
    </row>
    <row r="1153" spans="1:8" ht="14">
      <c r="A1153" s="28" t="s">
        <v>3670</v>
      </c>
      <c r="B1153" s="26" t="s">
        <v>3172</v>
      </c>
      <c r="C1153" s="28" t="s">
        <v>3670</v>
      </c>
      <c r="D1153" s="25" t="s">
        <v>13</v>
      </c>
      <c r="E1153" s="25" t="s">
        <v>3315</v>
      </c>
      <c r="F1153" s="25" t="s">
        <v>3671</v>
      </c>
      <c r="G1153" s="25">
        <v>500</v>
      </c>
      <c r="H1153" s="25"/>
    </row>
    <row r="1154" spans="1:8" ht="14">
      <c r="A1154" s="28" t="s">
        <v>3672</v>
      </c>
      <c r="B1154" s="26" t="s">
        <v>3172</v>
      </c>
      <c r="C1154" s="28" t="s">
        <v>3672</v>
      </c>
      <c r="D1154" s="25" t="s">
        <v>13</v>
      </c>
      <c r="E1154" s="25" t="s">
        <v>3316</v>
      </c>
      <c r="F1154" s="25" t="s">
        <v>3673</v>
      </c>
      <c r="G1154" s="25">
        <v>500</v>
      </c>
      <c r="H1154" s="25"/>
    </row>
    <row r="1155" spans="1:8" ht="14">
      <c r="A1155" s="28" t="s">
        <v>3674</v>
      </c>
      <c r="B1155" s="26" t="s">
        <v>3172</v>
      </c>
      <c r="C1155" s="28" t="s">
        <v>3674</v>
      </c>
      <c r="D1155" s="25" t="s">
        <v>13</v>
      </c>
      <c r="E1155" s="25" t="s">
        <v>3317</v>
      </c>
      <c r="F1155" s="25" t="s">
        <v>3675</v>
      </c>
      <c r="G1155" s="25">
        <v>500</v>
      </c>
      <c r="H1155" s="25"/>
    </row>
    <row r="1156" spans="1:8" ht="14">
      <c r="A1156" s="28" t="s">
        <v>3676</v>
      </c>
      <c r="B1156" s="26" t="s">
        <v>3172</v>
      </c>
      <c r="C1156" s="28" t="s">
        <v>3676</v>
      </c>
      <c r="D1156" s="25" t="s">
        <v>13</v>
      </c>
      <c r="E1156" s="25" t="s">
        <v>3318</v>
      </c>
      <c r="F1156" s="25" t="s">
        <v>3677</v>
      </c>
      <c r="G1156" s="25">
        <v>500</v>
      </c>
      <c r="H1156" s="25"/>
    </row>
    <row r="1157" spans="1:8" ht="14">
      <c r="A1157" s="28" t="s">
        <v>3678</v>
      </c>
      <c r="B1157" s="26" t="s">
        <v>3172</v>
      </c>
      <c r="C1157" s="28" t="s">
        <v>3678</v>
      </c>
      <c r="D1157" s="25" t="s">
        <v>13</v>
      </c>
      <c r="E1157" s="25" t="s">
        <v>3679</v>
      </c>
      <c r="F1157" s="25" t="s">
        <v>3680</v>
      </c>
      <c r="G1157" s="25">
        <v>500</v>
      </c>
      <c r="H1157" s="25"/>
    </row>
    <row r="1158" spans="1:8" ht="14">
      <c r="A1158" s="28" t="s">
        <v>3681</v>
      </c>
      <c r="B1158" s="26" t="s">
        <v>3172</v>
      </c>
      <c r="C1158" s="28" t="s">
        <v>3681</v>
      </c>
      <c r="D1158" s="25" t="s">
        <v>13</v>
      </c>
      <c r="E1158" s="25" t="s">
        <v>3319</v>
      </c>
      <c r="F1158" s="25" t="s">
        <v>3682</v>
      </c>
      <c r="G1158" s="25">
        <v>500</v>
      </c>
      <c r="H1158" s="25"/>
    </row>
    <row r="1159" spans="1:8" ht="14">
      <c r="A1159" s="28" t="s">
        <v>3683</v>
      </c>
      <c r="B1159" s="26" t="s">
        <v>3172</v>
      </c>
      <c r="C1159" s="28" t="s">
        <v>3683</v>
      </c>
      <c r="D1159" s="25" t="s">
        <v>13</v>
      </c>
      <c r="E1159" s="25" t="s">
        <v>3684</v>
      </c>
      <c r="F1159" s="25" t="s">
        <v>3685</v>
      </c>
      <c r="G1159" s="25">
        <v>500</v>
      </c>
      <c r="H1159" s="25"/>
    </row>
    <row r="1160" spans="1:8" ht="14">
      <c r="A1160" s="28" t="s">
        <v>3686</v>
      </c>
      <c r="B1160" s="26" t="s">
        <v>3172</v>
      </c>
      <c r="C1160" s="28" t="s">
        <v>3686</v>
      </c>
      <c r="D1160" s="25" t="s">
        <v>13</v>
      </c>
      <c r="E1160" s="25" t="s">
        <v>3320</v>
      </c>
      <c r="F1160" s="25" t="s">
        <v>3687</v>
      </c>
      <c r="G1160" s="25">
        <v>500</v>
      </c>
      <c r="H1160" s="25"/>
    </row>
    <row r="1161" spans="1:8" ht="14">
      <c r="A1161" s="28" t="s">
        <v>3688</v>
      </c>
      <c r="B1161" s="26" t="s">
        <v>3172</v>
      </c>
      <c r="C1161" s="28" t="s">
        <v>3688</v>
      </c>
      <c r="D1161" s="25" t="s">
        <v>13</v>
      </c>
      <c r="E1161" s="25" t="s">
        <v>3689</v>
      </c>
      <c r="F1161" s="25" t="s">
        <v>3690</v>
      </c>
      <c r="G1161" s="25">
        <v>500</v>
      </c>
      <c r="H1161" s="25"/>
    </row>
    <row r="1162" spans="1:8" ht="14">
      <c r="A1162" s="28" t="s">
        <v>3691</v>
      </c>
      <c r="B1162" s="26" t="s">
        <v>3172</v>
      </c>
      <c r="C1162" s="28" t="s">
        <v>3691</v>
      </c>
      <c r="D1162" s="25" t="s">
        <v>13</v>
      </c>
      <c r="E1162" s="25" t="s">
        <v>3692</v>
      </c>
      <c r="F1162" s="25" t="s">
        <v>3693</v>
      </c>
      <c r="G1162" s="25">
        <v>500</v>
      </c>
      <c r="H1162" s="25"/>
    </row>
    <row r="1163" spans="1:8" ht="14">
      <c r="A1163" s="28" t="s">
        <v>3694</v>
      </c>
      <c r="B1163" s="26" t="s">
        <v>3172</v>
      </c>
      <c r="C1163" s="28" t="s">
        <v>3694</v>
      </c>
      <c r="D1163" s="25" t="s">
        <v>13</v>
      </c>
      <c r="E1163" s="25" t="s">
        <v>3321</v>
      </c>
      <c r="F1163" s="25" t="s">
        <v>3695</v>
      </c>
      <c r="G1163" s="25">
        <v>500</v>
      </c>
      <c r="H1163" s="25"/>
    </row>
    <row r="1164" spans="1:8" ht="14">
      <c r="A1164" s="28" t="s">
        <v>3696</v>
      </c>
      <c r="B1164" s="26" t="s">
        <v>3172</v>
      </c>
      <c r="C1164" s="28" t="s">
        <v>3696</v>
      </c>
      <c r="D1164" s="25" t="s">
        <v>13</v>
      </c>
      <c r="E1164" s="25" t="s">
        <v>3322</v>
      </c>
      <c r="F1164" s="25" t="s">
        <v>3697</v>
      </c>
      <c r="G1164" s="25">
        <v>500</v>
      </c>
      <c r="H1164" s="25"/>
    </row>
    <row r="1165" spans="1:8" ht="14">
      <c r="A1165" s="28" t="s">
        <v>3698</v>
      </c>
      <c r="B1165" s="26" t="s">
        <v>3172</v>
      </c>
      <c r="C1165" s="28" t="s">
        <v>3698</v>
      </c>
      <c r="D1165" s="25" t="s">
        <v>13</v>
      </c>
      <c r="E1165" s="25" t="s">
        <v>3323</v>
      </c>
      <c r="F1165" s="25" t="s">
        <v>3699</v>
      </c>
      <c r="G1165" s="25">
        <v>500</v>
      </c>
      <c r="H1165" s="25"/>
    </row>
    <row r="1166" spans="1:8" ht="14">
      <c r="A1166" s="28" t="s">
        <v>3700</v>
      </c>
      <c r="B1166" s="26" t="s">
        <v>3172</v>
      </c>
      <c r="C1166" s="28" t="s">
        <v>3700</v>
      </c>
      <c r="D1166" s="25" t="s">
        <v>13</v>
      </c>
      <c r="E1166" s="25" t="s">
        <v>3324</v>
      </c>
      <c r="F1166" s="25" t="s">
        <v>3701</v>
      </c>
      <c r="G1166" s="25">
        <v>500</v>
      </c>
      <c r="H1166" s="25"/>
    </row>
    <row r="1167" spans="1:8" ht="14">
      <c r="A1167" s="28" t="s">
        <v>3702</v>
      </c>
      <c r="B1167" s="26" t="s">
        <v>3172</v>
      </c>
      <c r="C1167" s="28" t="s">
        <v>3702</v>
      </c>
      <c r="D1167" s="25" t="s">
        <v>13</v>
      </c>
      <c r="E1167" s="25" t="s">
        <v>3325</v>
      </c>
      <c r="F1167" s="25" t="s">
        <v>3703</v>
      </c>
      <c r="G1167" s="25">
        <v>500</v>
      </c>
      <c r="H1167" s="25"/>
    </row>
    <row r="1168" spans="1:8" ht="14">
      <c r="A1168" s="28" t="s">
        <v>3704</v>
      </c>
      <c r="B1168" s="26" t="s">
        <v>3172</v>
      </c>
      <c r="C1168" s="28" t="s">
        <v>3704</v>
      </c>
      <c r="D1168" s="25" t="s">
        <v>13</v>
      </c>
      <c r="E1168" s="25" t="s">
        <v>3326</v>
      </c>
      <c r="F1168" s="25" t="s">
        <v>3705</v>
      </c>
      <c r="G1168" s="25">
        <v>500</v>
      </c>
      <c r="H1168" s="25"/>
    </row>
    <row r="1169" spans="1:8" ht="14">
      <c r="A1169" s="28" t="s">
        <v>3706</v>
      </c>
      <c r="B1169" s="26" t="s">
        <v>3172</v>
      </c>
      <c r="C1169" s="28" t="s">
        <v>3706</v>
      </c>
      <c r="D1169" s="25" t="s">
        <v>13</v>
      </c>
      <c r="E1169" s="25" t="s">
        <v>3327</v>
      </c>
      <c r="F1169" s="25" t="s">
        <v>3707</v>
      </c>
      <c r="G1169" s="25">
        <v>500</v>
      </c>
      <c r="H1169" s="25"/>
    </row>
    <row r="1170" spans="1:8" ht="14">
      <c r="A1170" s="28" t="s">
        <v>3708</v>
      </c>
      <c r="B1170" s="26" t="s">
        <v>3172</v>
      </c>
      <c r="C1170" s="28" t="s">
        <v>3708</v>
      </c>
      <c r="D1170" s="25" t="s">
        <v>13</v>
      </c>
      <c r="E1170" s="25" t="s">
        <v>3328</v>
      </c>
      <c r="F1170" s="25" t="s">
        <v>3709</v>
      </c>
      <c r="G1170" s="25">
        <v>500</v>
      </c>
      <c r="H1170" s="25"/>
    </row>
    <row r="1171" spans="1:8" ht="14">
      <c r="A1171" s="28" t="s">
        <v>3710</v>
      </c>
      <c r="B1171" s="26" t="s">
        <v>3172</v>
      </c>
      <c r="C1171" s="28" t="s">
        <v>3710</v>
      </c>
      <c r="D1171" s="25" t="s">
        <v>13</v>
      </c>
      <c r="E1171" s="25" t="s">
        <v>3329</v>
      </c>
      <c r="F1171" s="25" t="s">
        <v>3711</v>
      </c>
      <c r="G1171" s="25">
        <v>500</v>
      </c>
      <c r="H1171" s="25"/>
    </row>
    <row r="1172" spans="1:8" ht="14">
      <c r="A1172" s="28" t="s">
        <v>3712</v>
      </c>
      <c r="B1172" s="26" t="s">
        <v>3172</v>
      </c>
      <c r="C1172" s="28" t="s">
        <v>3712</v>
      </c>
      <c r="D1172" s="25" t="s">
        <v>13</v>
      </c>
      <c r="E1172" s="25" t="s">
        <v>3330</v>
      </c>
      <c r="F1172" s="25" t="s">
        <v>3713</v>
      </c>
      <c r="G1172" s="25">
        <v>500</v>
      </c>
      <c r="H1172" s="25"/>
    </row>
    <row r="1173" spans="1:8" ht="14">
      <c r="A1173" s="28" t="s">
        <v>3714</v>
      </c>
      <c r="B1173" s="26" t="s">
        <v>3172</v>
      </c>
      <c r="C1173" s="28" t="s">
        <v>3714</v>
      </c>
      <c r="D1173" s="25" t="s">
        <v>13</v>
      </c>
      <c r="E1173" s="25" t="s">
        <v>3331</v>
      </c>
      <c r="F1173" s="25" t="s">
        <v>3715</v>
      </c>
      <c r="G1173" s="25">
        <v>500</v>
      </c>
      <c r="H1173" s="25"/>
    </row>
    <row r="1174" spans="1:8" ht="14">
      <c r="A1174" s="28" t="s">
        <v>3716</v>
      </c>
      <c r="B1174" s="26" t="s">
        <v>3172</v>
      </c>
      <c r="C1174" s="28" t="s">
        <v>3716</v>
      </c>
      <c r="D1174" s="25" t="s">
        <v>13</v>
      </c>
      <c r="E1174" s="25" t="s">
        <v>3332</v>
      </c>
      <c r="F1174" s="25" t="s">
        <v>3717</v>
      </c>
      <c r="G1174" s="25">
        <v>500</v>
      </c>
      <c r="H1174" s="25"/>
    </row>
    <row r="1175" spans="1:8" ht="14">
      <c r="A1175" s="28" t="s">
        <v>3718</v>
      </c>
      <c r="B1175" s="26" t="s">
        <v>3172</v>
      </c>
      <c r="C1175" s="28" t="s">
        <v>3718</v>
      </c>
      <c r="D1175" s="25" t="s">
        <v>13</v>
      </c>
      <c r="E1175" s="25" t="s">
        <v>3333</v>
      </c>
      <c r="F1175" s="25" t="s">
        <v>3719</v>
      </c>
      <c r="G1175" s="25">
        <v>500</v>
      </c>
      <c r="H1175" s="25"/>
    </row>
    <row r="1176" spans="1:8" ht="14">
      <c r="A1176" s="28" t="s">
        <v>3720</v>
      </c>
      <c r="B1176" s="26" t="s">
        <v>3172</v>
      </c>
      <c r="C1176" s="28" t="s">
        <v>3720</v>
      </c>
      <c r="D1176" s="25" t="s">
        <v>13</v>
      </c>
      <c r="E1176" s="25" t="s">
        <v>3334</v>
      </c>
      <c r="F1176" s="25" t="s">
        <v>3721</v>
      </c>
      <c r="G1176" s="25">
        <v>500</v>
      </c>
      <c r="H1176" s="25"/>
    </row>
    <row r="1177" spans="1:8" ht="14">
      <c r="A1177" s="28" t="s">
        <v>3722</v>
      </c>
      <c r="B1177" s="26" t="s">
        <v>3172</v>
      </c>
      <c r="C1177" s="28" t="s">
        <v>3722</v>
      </c>
      <c r="D1177" s="25" t="s">
        <v>13</v>
      </c>
      <c r="E1177" s="25" t="s">
        <v>3335</v>
      </c>
      <c r="F1177" s="25" t="s">
        <v>3723</v>
      </c>
      <c r="G1177" s="25">
        <v>500</v>
      </c>
      <c r="H1177" s="25"/>
    </row>
    <row r="1178" spans="1:8" ht="14">
      <c r="A1178" s="28" t="s">
        <v>3724</v>
      </c>
      <c r="B1178" s="26" t="s">
        <v>3172</v>
      </c>
      <c r="C1178" s="28" t="s">
        <v>3724</v>
      </c>
      <c r="D1178" s="25" t="s">
        <v>13</v>
      </c>
      <c r="E1178" s="25" t="s">
        <v>3336</v>
      </c>
      <c r="F1178" s="25" t="s">
        <v>3725</v>
      </c>
      <c r="G1178" s="25">
        <v>500</v>
      </c>
      <c r="H1178" s="25"/>
    </row>
    <row r="1179" spans="1:8" ht="14">
      <c r="A1179" s="28" t="s">
        <v>3726</v>
      </c>
      <c r="B1179" s="26" t="s">
        <v>3172</v>
      </c>
      <c r="C1179" s="28" t="s">
        <v>3726</v>
      </c>
      <c r="D1179" s="25" t="s">
        <v>13</v>
      </c>
      <c r="E1179" s="25" t="s">
        <v>3337</v>
      </c>
      <c r="F1179" s="25" t="s">
        <v>3727</v>
      </c>
      <c r="G1179" s="25">
        <v>500</v>
      </c>
      <c r="H1179" s="25"/>
    </row>
    <row r="1180" spans="1:8" ht="14">
      <c r="A1180" s="28" t="s">
        <v>3728</v>
      </c>
      <c r="B1180" s="26" t="s">
        <v>3172</v>
      </c>
      <c r="C1180" s="28" t="s">
        <v>3728</v>
      </c>
      <c r="D1180" s="25" t="s">
        <v>13</v>
      </c>
      <c r="E1180" s="25" t="s">
        <v>3338</v>
      </c>
      <c r="F1180" s="25" t="s">
        <v>3729</v>
      </c>
      <c r="G1180" s="25">
        <v>500</v>
      </c>
      <c r="H1180" s="25"/>
    </row>
    <row r="1181" spans="1:8" ht="14">
      <c r="A1181" s="28" t="s">
        <v>3730</v>
      </c>
      <c r="B1181" s="26" t="s">
        <v>3172</v>
      </c>
      <c r="C1181" s="28" t="s">
        <v>3730</v>
      </c>
      <c r="D1181" s="25" t="s">
        <v>13</v>
      </c>
      <c r="E1181" s="25" t="s">
        <v>3339</v>
      </c>
      <c r="F1181" s="25" t="s">
        <v>3731</v>
      </c>
      <c r="G1181" s="25">
        <v>500</v>
      </c>
      <c r="H1181" s="25"/>
    </row>
    <row r="1182" spans="1:8" ht="14">
      <c r="A1182" s="28" t="s">
        <v>3732</v>
      </c>
      <c r="B1182" s="26" t="s">
        <v>3172</v>
      </c>
      <c r="C1182" s="28" t="s">
        <v>3732</v>
      </c>
      <c r="D1182" s="25" t="s">
        <v>13</v>
      </c>
      <c r="E1182" s="25" t="s">
        <v>3340</v>
      </c>
      <c r="F1182" s="25" t="s">
        <v>3733</v>
      </c>
      <c r="G1182" s="25">
        <v>500</v>
      </c>
      <c r="H1182" s="25"/>
    </row>
    <row r="1183" spans="1:8" ht="14">
      <c r="A1183" s="28" t="s">
        <v>3734</v>
      </c>
      <c r="B1183" s="26" t="s">
        <v>3172</v>
      </c>
      <c r="C1183" s="28" t="s">
        <v>3734</v>
      </c>
      <c r="D1183" s="25" t="s">
        <v>13</v>
      </c>
      <c r="E1183" s="25" t="s">
        <v>3341</v>
      </c>
      <c r="F1183" s="25" t="s">
        <v>3735</v>
      </c>
      <c r="G1183" s="25">
        <v>500</v>
      </c>
      <c r="H1183" s="25"/>
    </row>
    <row r="1184" spans="1:8" ht="14">
      <c r="A1184" s="28" t="s">
        <v>3736</v>
      </c>
      <c r="B1184" s="26" t="s">
        <v>3172</v>
      </c>
      <c r="C1184" s="28" t="s">
        <v>3736</v>
      </c>
      <c r="D1184" s="25" t="s">
        <v>13</v>
      </c>
      <c r="E1184" s="25" t="s">
        <v>3342</v>
      </c>
      <c r="F1184" s="25" t="s">
        <v>3737</v>
      </c>
      <c r="G1184" s="25">
        <v>500</v>
      </c>
      <c r="H1184" s="25"/>
    </row>
    <row r="1185" spans="1:8" ht="14">
      <c r="A1185" s="28" t="s">
        <v>3738</v>
      </c>
      <c r="B1185" s="26" t="s">
        <v>3172</v>
      </c>
      <c r="C1185" s="28" t="s">
        <v>3738</v>
      </c>
      <c r="D1185" s="25" t="s">
        <v>13</v>
      </c>
      <c r="E1185" s="25" t="s">
        <v>3343</v>
      </c>
      <c r="F1185" s="25" t="s">
        <v>3739</v>
      </c>
      <c r="G1185" s="25">
        <v>500</v>
      </c>
      <c r="H1185" s="25"/>
    </row>
    <row r="1186" spans="1:8" ht="14">
      <c r="A1186" s="28" t="s">
        <v>3740</v>
      </c>
      <c r="B1186" s="26" t="s">
        <v>3172</v>
      </c>
      <c r="C1186" s="28" t="s">
        <v>3740</v>
      </c>
      <c r="D1186" s="25" t="s">
        <v>13</v>
      </c>
      <c r="E1186" s="25" t="s">
        <v>3344</v>
      </c>
      <c r="F1186" s="25" t="s">
        <v>3741</v>
      </c>
      <c r="G1186" s="25">
        <v>500</v>
      </c>
      <c r="H1186" s="25"/>
    </row>
    <row r="1187" spans="1:8" ht="14">
      <c r="A1187" s="28" t="s">
        <v>3742</v>
      </c>
      <c r="B1187" s="26" t="s">
        <v>3172</v>
      </c>
      <c r="C1187" s="28" t="s">
        <v>3742</v>
      </c>
      <c r="D1187" s="25" t="s">
        <v>13</v>
      </c>
      <c r="E1187" s="25" t="s">
        <v>3345</v>
      </c>
      <c r="F1187" s="25" t="s">
        <v>3743</v>
      </c>
      <c r="G1187" s="25">
        <v>500</v>
      </c>
      <c r="H1187" s="25"/>
    </row>
    <row r="1188" spans="1:8" ht="14">
      <c r="A1188" s="28" t="s">
        <v>3744</v>
      </c>
      <c r="B1188" s="26" t="s">
        <v>3172</v>
      </c>
      <c r="C1188" s="28" t="s">
        <v>3744</v>
      </c>
      <c r="D1188" s="25" t="s">
        <v>13</v>
      </c>
      <c r="E1188" s="25" t="s">
        <v>3346</v>
      </c>
      <c r="F1188" s="25" t="s">
        <v>3745</v>
      </c>
      <c r="G1188" s="25">
        <v>500</v>
      </c>
      <c r="H1188" s="25"/>
    </row>
    <row r="1189" spans="1:8" ht="14">
      <c r="A1189" s="28" t="s">
        <v>3746</v>
      </c>
      <c r="B1189" s="26" t="s">
        <v>3172</v>
      </c>
      <c r="C1189" s="28" t="s">
        <v>3746</v>
      </c>
      <c r="D1189" s="25" t="s">
        <v>13</v>
      </c>
      <c r="E1189" s="25" t="s">
        <v>3347</v>
      </c>
      <c r="F1189" s="25" t="s">
        <v>3747</v>
      </c>
      <c r="G1189" s="25">
        <v>500</v>
      </c>
      <c r="H1189" s="25"/>
    </row>
    <row r="1190" spans="1:8" ht="14">
      <c r="A1190" s="28" t="s">
        <v>3748</v>
      </c>
      <c r="B1190" s="26" t="s">
        <v>3172</v>
      </c>
      <c r="C1190" s="28" t="s">
        <v>3748</v>
      </c>
      <c r="D1190" s="25" t="s">
        <v>13</v>
      </c>
      <c r="E1190" s="25" t="s">
        <v>3348</v>
      </c>
      <c r="F1190" s="25" t="s">
        <v>3749</v>
      </c>
      <c r="G1190" s="25">
        <v>500</v>
      </c>
      <c r="H1190" s="25"/>
    </row>
    <row r="1191" spans="1:8" ht="14">
      <c r="A1191" s="28" t="s">
        <v>3750</v>
      </c>
      <c r="B1191" s="26" t="s">
        <v>3172</v>
      </c>
      <c r="C1191" s="28" t="s">
        <v>3750</v>
      </c>
      <c r="D1191" s="25" t="s">
        <v>13</v>
      </c>
      <c r="E1191" s="25" t="s">
        <v>3349</v>
      </c>
      <c r="F1191" s="25" t="s">
        <v>3751</v>
      </c>
      <c r="G1191" s="25">
        <v>500</v>
      </c>
      <c r="H1191" s="25"/>
    </row>
    <row r="1192" spans="1:8" ht="14">
      <c r="A1192" s="28" t="s">
        <v>3752</v>
      </c>
      <c r="B1192" s="26" t="s">
        <v>3172</v>
      </c>
      <c r="C1192" s="28" t="s">
        <v>3752</v>
      </c>
      <c r="D1192" s="25" t="s">
        <v>13</v>
      </c>
      <c r="E1192" s="25" t="s">
        <v>3350</v>
      </c>
      <c r="F1192" s="25" t="s">
        <v>3753</v>
      </c>
      <c r="G1192" s="25">
        <v>500</v>
      </c>
      <c r="H1192" s="25"/>
    </row>
    <row r="1193" spans="1:8" ht="14">
      <c r="A1193" s="28" t="s">
        <v>3754</v>
      </c>
      <c r="B1193" s="26" t="s">
        <v>3172</v>
      </c>
      <c r="C1193" s="28" t="s">
        <v>3754</v>
      </c>
      <c r="D1193" s="25" t="s">
        <v>13</v>
      </c>
      <c r="E1193" s="25" t="s">
        <v>3351</v>
      </c>
      <c r="F1193" s="25" t="s">
        <v>3755</v>
      </c>
      <c r="G1193" s="25">
        <v>500</v>
      </c>
      <c r="H1193" s="25"/>
    </row>
    <row r="1194" spans="1:8" ht="14">
      <c r="A1194" s="28" t="s">
        <v>3756</v>
      </c>
      <c r="B1194" s="26" t="s">
        <v>3172</v>
      </c>
      <c r="C1194" s="28" t="s">
        <v>3756</v>
      </c>
      <c r="D1194" s="25" t="s">
        <v>13</v>
      </c>
      <c r="E1194" s="25" t="s">
        <v>3352</v>
      </c>
      <c r="F1194" s="25" t="s">
        <v>3757</v>
      </c>
      <c r="G1194" s="25">
        <v>500</v>
      </c>
      <c r="H1194" s="25"/>
    </row>
    <row r="1195" spans="1:8" ht="14">
      <c r="A1195" s="28" t="s">
        <v>3758</v>
      </c>
      <c r="B1195" s="26" t="s">
        <v>3172</v>
      </c>
      <c r="C1195" s="28" t="s">
        <v>3758</v>
      </c>
      <c r="D1195" s="25" t="s">
        <v>13</v>
      </c>
      <c r="E1195" s="25" t="s">
        <v>3353</v>
      </c>
      <c r="F1195" s="25" t="s">
        <v>3759</v>
      </c>
      <c r="G1195" s="25">
        <v>500</v>
      </c>
      <c r="H1195" s="25"/>
    </row>
    <row r="1196" spans="1:8" ht="14">
      <c r="A1196" s="28" t="s">
        <v>3760</v>
      </c>
      <c r="B1196" s="26" t="s">
        <v>3172</v>
      </c>
      <c r="C1196" s="28" t="s">
        <v>3760</v>
      </c>
      <c r="D1196" s="25" t="s">
        <v>13</v>
      </c>
      <c r="E1196" s="25" t="s">
        <v>3354</v>
      </c>
      <c r="F1196" s="25" t="s">
        <v>3761</v>
      </c>
      <c r="G1196" s="25">
        <v>500</v>
      </c>
      <c r="H1196" s="25"/>
    </row>
    <row r="1197" spans="1:8" ht="14">
      <c r="A1197" s="28" t="s">
        <v>3762</v>
      </c>
      <c r="B1197" s="26" t="s">
        <v>3172</v>
      </c>
      <c r="C1197" s="28" t="s">
        <v>3762</v>
      </c>
      <c r="D1197" s="25" t="s">
        <v>13</v>
      </c>
      <c r="E1197" s="25" t="s">
        <v>3355</v>
      </c>
      <c r="F1197" s="25" t="s">
        <v>3763</v>
      </c>
      <c r="G1197" s="25">
        <v>500</v>
      </c>
      <c r="H1197" s="25"/>
    </row>
    <row r="1198" spans="1:8" ht="14">
      <c r="A1198" s="28" t="s">
        <v>3764</v>
      </c>
      <c r="B1198" s="26" t="s">
        <v>3172</v>
      </c>
      <c r="C1198" s="28" t="s">
        <v>3764</v>
      </c>
      <c r="D1198" s="25" t="s">
        <v>13</v>
      </c>
      <c r="E1198" s="25" t="s">
        <v>3356</v>
      </c>
      <c r="F1198" s="25" t="s">
        <v>3765</v>
      </c>
      <c r="G1198" s="25">
        <v>500</v>
      </c>
      <c r="H1198" s="25"/>
    </row>
    <row r="1199" spans="1:8" ht="14">
      <c r="A1199" s="28" t="s">
        <v>3766</v>
      </c>
      <c r="B1199" s="26" t="s">
        <v>3172</v>
      </c>
      <c r="C1199" s="28" t="s">
        <v>3766</v>
      </c>
      <c r="D1199" s="25" t="s">
        <v>13</v>
      </c>
      <c r="E1199" s="25" t="s">
        <v>3357</v>
      </c>
      <c r="F1199" s="25" t="s">
        <v>3767</v>
      </c>
      <c r="G1199" s="25">
        <v>500</v>
      </c>
      <c r="H1199" s="25"/>
    </row>
    <row r="1200" spans="1:8" ht="14">
      <c r="A1200" s="28" t="s">
        <v>4367</v>
      </c>
      <c r="B1200" s="26" t="s">
        <v>3172</v>
      </c>
      <c r="C1200" s="28" t="s">
        <v>4367</v>
      </c>
      <c r="D1200" s="25" t="s">
        <v>13</v>
      </c>
      <c r="E1200" s="33" t="s">
        <v>4366</v>
      </c>
      <c r="F1200" s="33" t="s">
        <v>4366</v>
      </c>
      <c r="G1200" s="25">
        <v>500</v>
      </c>
      <c r="H1200" s="25"/>
    </row>
    <row r="1201" spans="1:8" ht="14">
      <c r="A1201" s="25" t="s">
        <v>101</v>
      </c>
      <c r="B1201" s="26" t="s">
        <v>3770</v>
      </c>
      <c r="C1201" s="25" t="s">
        <v>101</v>
      </c>
      <c r="D1201" s="25" t="s">
        <v>13</v>
      </c>
      <c r="E1201" s="25" t="s">
        <v>3773</v>
      </c>
      <c r="F1201" s="25" t="s">
        <v>3774</v>
      </c>
      <c r="G1201" s="25">
        <v>500</v>
      </c>
      <c r="H1201" s="25"/>
    </row>
    <row r="1202" spans="1:8" ht="14">
      <c r="A1202" s="25" t="s">
        <v>3772</v>
      </c>
      <c r="B1202" s="26" t="s">
        <v>3770</v>
      </c>
      <c r="C1202" s="25" t="s">
        <v>3772</v>
      </c>
      <c r="D1202" s="25" t="s">
        <v>13</v>
      </c>
      <c r="E1202" s="25" t="s">
        <v>1877</v>
      </c>
      <c r="F1202" s="25" t="s">
        <v>3775</v>
      </c>
      <c r="G1202" s="25">
        <v>500</v>
      </c>
      <c r="H1202" s="25"/>
    </row>
    <row r="1203" spans="1:8" ht="14">
      <c r="A1203" s="25" t="s">
        <v>3776</v>
      </c>
      <c r="B1203" s="26" t="s">
        <v>51</v>
      </c>
      <c r="C1203" s="25" t="s">
        <v>3776</v>
      </c>
      <c r="D1203" s="25" t="s">
        <v>13</v>
      </c>
      <c r="E1203" s="25" t="s">
        <v>3777</v>
      </c>
      <c r="F1203" s="25" t="s">
        <v>3778</v>
      </c>
      <c r="G1203" s="25">
        <v>500</v>
      </c>
      <c r="H1203" s="25"/>
    </row>
    <row r="1204" spans="1:8" ht="14">
      <c r="A1204" s="25" t="s">
        <v>3840</v>
      </c>
      <c r="B1204" s="26" t="s">
        <v>3871</v>
      </c>
      <c r="C1204" s="25" t="s">
        <v>3840</v>
      </c>
      <c r="D1204" s="25" t="s">
        <v>13</v>
      </c>
      <c r="E1204" s="25" t="s">
        <v>3781</v>
      </c>
      <c r="F1204" s="25" t="s">
        <v>3782</v>
      </c>
      <c r="G1204" s="25">
        <v>500</v>
      </c>
      <c r="H1204" s="25"/>
    </row>
    <row r="1205" spans="1:8" ht="14">
      <c r="A1205" s="25" t="s">
        <v>3841</v>
      </c>
      <c r="B1205" s="26" t="s">
        <v>3871</v>
      </c>
      <c r="C1205" s="25" t="s">
        <v>3841</v>
      </c>
      <c r="D1205" s="25" t="s">
        <v>13</v>
      </c>
      <c r="E1205" s="25" t="s">
        <v>3783</v>
      </c>
      <c r="F1205" s="25" t="s">
        <v>3784</v>
      </c>
      <c r="G1205" s="25">
        <v>500</v>
      </c>
      <c r="H1205" s="25"/>
    </row>
    <row r="1206" spans="1:8" ht="14">
      <c r="A1206" s="25" t="s">
        <v>3842</v>
      </c>
      <c r="B1206" s="26" t="s">
        <v>3871</v>
      </c>
      <c r="C1206" s="25" t="s">
        <v>3842</v>
      </c>
      <c r="D1206" s="25" t="s">
        <v>13</v>
      </c>
      <c r="E1206" s="25" t="s">
        <v>3785</v>
      </c>
      <c r="F1206" s="25" t="s">
        <v>3786</v>
      </c>
      <c r="G1206" s="25">
        <v>500</v>
      </c>
      <c r="H1206" s="25"/>
    </row>
    <row r="1207" spans="1:8" ht="14">
      <c r="A1207" s="25" t="s">
        <v>3850</v>
      </c>
      <c r="B1207" s="26" t="s">
        <v>3871</v>
      </c>
      <c r="C1207" s="25" t="s">
        <v>3850</v>
      </c>
      <c r="D1207" s="25" t="s">
        <v>13</v>
      </c>
      <c r="E1207" s="25" t="s">
        <v>3787</v>
      </c>
      <c r="F1207" s="25" t="s">
        <v>3788</v>
      </c>
      <c r="G1207" s="25">
        <v>500</v>
      </c>
      <c r="H1207" s="25"/>
    </row>
    <row r="1208" spans="1:8" ht="14">
      <c r="A1208" s="25" t="s">
        <v>3843</v>
      </c>
      <c r="B1208" s="26" t="s">
        <v>3871</v>
      </c>
      <c r="C1208" s="25" t="s">
        <v>3843</v>
      </c>
      <c r="D1208" s="25" t="s">
        <v>13</v>
      </c>
      <c r="E1208" s="25" t="s">
        <v>3789</v>
      </c>
      <c r="F1208" s="25" t="s">
        <v>3790</v>
      </c>
      <c r="G1208" s="25">
        <v>500</v>
      </c>
      <c r="H1208" s="25"/>
    </row>
    <row r="1209" spans="1:8" ht="14">
      <c r="A1209" s="25" t="s">
        <v>3844</v>
      </c>
      <c r="B1209" s="26" t="s">
        <v>3871</v>
      </c>
      <c r="C1209" s="25" t="s">
        <v>3844</v>
      </c>
      <c r="D1209" s="25" t="s">
        <v>13</v>
      </c>
      <c r="E1209" s="25" t="s">
        <v>3791</v>
      </c>
      <c r="F1209" s="25" t="s">
        <v>3792</v>
      </c>
      <c r="G1209" s="25">
        <v>500</v>
      </c>
      <c r="H1209" s="25"/>
    </row>
    <row r="1210" spans="1:8" ht="14">
      <c r="A1210" s="25" t="s">
        <v>3845</v>
      </c>
      <c r="B1210" s="26" t="s">
        <v>3871</v>
      </c>
      <c r="C1210" s="25" t="s">
        <v>3845</v>
      </c>
      <c r="D1210" s="25" t="s">
        <v>13</v>
      </c>
      <c r="E1210" s="25" t="s">
        <v>3793</v>
      </c>
      <c r="F1210" s="25" t="s">
        <v>3794</v>
      </c>
      <c r="G1210" s="25">
        <v>500</v>
      </c>
      <c r="H1210" s="25"/>
    </row>
    <row r="1211" spans="1:8" ht="14">
      <c r="A1211" s="25" t="s">
        <v>3846</v>
      </c>
      <c r="B1211" s="26" t="s">
        <v>3871</v>
      </c>
      <c r="C1211" s="25" t="s">
        <v>3846</v>
      </c>
      <c r="D1211" s="25" t="s">
        <v>13</v>
      </c>
      <c r="E1211" s="25" t="s">
        <v>3795</v>
      </c>
      <c r="F1211" s="25" t="s">
        <v>3796</v>
      </c>
      <c r="G1211" s="25">
        <v>500</v>
      </c>
      <c r="H1211" s="25"/>
    </row>
    <row r="1212" spans="1:8" ht="14">
      <c r="A1212" s="25" t="s">
        <v>3847</v>
      </c>
      <c r="B1212" s="26" t="s">
        <v>3871</v>
      </c>
      <c r="C1212" s="25" t="s">
        <v>3847</v>
      </c>
      <c r="D1212" s="25" t="s">
        <v>13</v>
      </c>
      <c r="E1212" s="25" t="s">
        <v>3797</v>
      </c>
      <c r="F1212" s="25" t="s">
        <v>3798</v>
      </c>
      <c r="G1212" s="25">
        <v>500</v>
      </c>
      <c r="H1212" s="25"/>
    </row>
    <row r="1213" spans="1:8" ht="14">
      <c r="A1213" s="25" t="s">
        <v>3848</v>
      </c>
      <c r="B1213" s="26" t="s">
        <v>3871</v>
      </c>
      <c r="C1213" s="25" t="s">
        <v>3848</v>
      </c>
      <c r="D1213" s="25" t="s">
        <v>13</v>
      </c>
      <c r="E1213" s="25" t="s">
        <v>3799</v>
      </c>
      <c r="F1213" s="25" t="s">
        <v>3800</v>
      </c>
      <c r="G1213" s="25">
        <v>500</v>
      </c>
      <c r="H1213" s="25"/>
    </row>
    <row r="1214" spans="1:8" ht="14">
      <c r="A1214" s="25" t="s">
        <v>3849</v>
      </c>
      <c r="B1214" s="26" t="s">
        <v>3871</v>
      </c>
      <c r="C1214" s="25" t="s">
        <v>3849</v>
      </c>
      <c r="D1214" s="25" t="s">
        <v>13</v>
      </c>
      <c r="E1214" s="25" t="s">
        <v>3801</v>
      </c>
      <c r="F1214" s="25" t="s">
        <v>3802</v>
      </c>
      <c r="G1214" s="25">
        <v>500</v>
      </c>
      <c r="H1214" s="25"/>
    </row>
    <row r="1215" spans="1:8" ht="14">
      <c r="A1215" s="25" t="s">
        <v>3851</v>
      </c>
      <c r="B1215" s="26" t="s">
        <v>3871</v>
      </c>
      <c r="C1215" s="25" t="s">
        <v>3851</v>
      </c>
      <c r="D1215" s="25" t="s">
        <v>13</v>
      </c>
      <c r="E1215" s="25" t="s">
        <v>3803</v>
      </c>
      <c r="F1215" s="25" t="s">
        <v>3804</v>
      </c>
      <c r="G1215" s="25">
        <v>500</v>
      </c>
      <c r="H1215" s="25"/>
    </row>
    <row r="1216" spans="1:8" ht="14">
      <c r="A1216" s="25" t="s">
        <v>3852</v>
      </c>
      <c r="B1216" s="26" t="s">
        <v>3871</v>
      </c>
      <c r="C1216" s="25" t="s">
        <v>3852</v>
      </c>
      <c r="D1216" s="25" t="s">
        <v>13</v>
      </c>
      <c r="E1216" s="25" t="s">
        <v>3805</v>
      </c>
      <c r="F1216" s="25" t="s">
        <v>3806</v>
      </c>
      <c r="G1216" s="25">
        <v>500</v>
      </c>
      <c r="H1216" s="25"/>
    </row>
    <row r="1217" spans="1:8" ht="14">
      <c r="A1217" s="25" t="s">
        <v>3853</v>
      </c>
      <c r="B1217" s="26" t="s">
        <v>3871</v>
      </c>
      <c r="C1217" s="25" t="s">
        <v>3853</v>
      </c>
      <c r="D1217" s="25" t="s">
        <v>13</v>
      </c>
      <c r="E1217" s="25" t="s">
        <v>3807</v>
      </c>
      <c r="F1217" s="25" t="s">
        <v>3808</v>
      </c>
      <c r="G1217" s="25">
        <v>500</v>
      </c>
      <c r="H1217" s="25"/>
    </row>
    <row r="1218" spans="1:8" ht="14">
      <c r="A1218" s="25" t="s">
        <v>3854</v>
      </c>
      <c r="B1218" s="26" t="s">
        <v>3871</v>
      </c>
      <c r="C1218" s="25" t="s">
        <v>3854</v>
      </c>
      <c r="D1218" s="25" t="s">
        <v>13</v>
      </c>
      <c r="E1218" s="25" t="s">
        <v>3809</v>
      </c>
      <c r="F1218" s="25" t="s">
        <v>3810</v>
      </c>
      <c r="G1218" s="25">
        <v>500</v>
      </c>
      <c r="H1218" s="25"/>
    </row>
    <row r="1219" spans="1:8" ht="14">
      <c r="A1219" s="25" t="s">
        <v>3855</v>
      </c>
      <c r="B1219" s="26" t="s">
        <v>3871</v>
      </c>
      <c r="C1219" s="25" t="s">
        <v>3855</v>
      </c>
      <c r="D1219" s="25" t="s">
        <v>13</v>
      </c>
      <c r="E1219" s="25" t="s">
        <v>3811</v>
      </c>
      <c r="F1219" s="25" t="s">
        <v>3812</v>
      </c>
      <c r="G1219" s="25">
        <v>500</v>
      </c>
      <c r="H1219" s="25"/>
    </row>
    <row r="1220" spans="1:8" ht="14">
      <c r="A1220" s="25" t="s">
        <v>3856</v>
      </c>
      <c r="B1220" s="26" t="s">
        <v>3871</v>
      </c>
      <c r="C1220" s="25" t="s">
        <v>3856</v>
      </c>
      <c r="D1220" s="25" t="s">
        <v>13</v>
      </c>
      <c r="E1220" s="25" t="s">
        <v>3813</v>
      </c>
      <c r="F1220" s="25" t="s">
        <v>3814</v>
      </c>
      <c r="G1220" s="25">
        <v>500</v>
      </c>
      <c r="H1220" s="25"/>
    </row>
    <row r="1221" spans="1:8" ht="14">
      <c r="A1221" s="25" t="s">
        <v>3857</v>
      </c>
      <c r="B1221" s="26" t="s">
        <v>3871</v>
      </c>
      <c r="C1221" s="25" t="s">
        <v>3857</v>
      </c>
      <c r="D1221" s="25" t="s">
        <v>13</v>
      </c>
      <c r="E1221" s="25" t="s">
        <v>3815</v>
      </c>
      <c r="F1221" s="25" t="s">
        <v>3816</v>
      </c>
      <c r="G1221" s="25">
        <v>500</v>
      </c>
      <c r="H1221" s="25"/>
    </row>
    <row r="1222" spans="1:8" ht="14">
      <c r="A1222" s="25" t="s">
        <v>3858</v>
      </c>
      <c r="B1222" s="26" t="s">
        <v>3871</v>
      </c>
      <c r="C1222" s="25" t="s">
        <v>3858</v>
      </c>
      <c r="D1222" s="25" t="s">
        <v>13</v>
      </c>
      <c r="E1222" s="25" t="s">
        <v>3817</v>
      </c>
      <c r="F1222" s="25" t="s">
        <v>3818</v>
      </c>
      <c r="G1222" s="25">
        <v>500</v>
      </c>
      <c r="H1222" s="25"/>
    </row>
    <row r="1223" spans="1:8" ht="14">
      <c r="A1223" s="25" t="s">
        <v>3859</v>
      </c>
      <c r="B1223" s="26" t="s">
        <v>3871</v>
      </c>
      <c r="C1223" s="25" t="s">
        <v>3859</v>
      </c>
      <c r="D1223" s="25" t="s">
        <v>13</v>
      </c>
      <c r="E1223" s="25" t="s">
        <v>3819</v>
      </c>
      <c r="F1223" s="25" t="s">
        <v>3820</v>
      </c>
      <c r="G1223" s="25">
        <v>500</v>
      </c>
      <c r="H1223" s="25"/>
    </row>
    <row r="1224" spans="1:8" ht="14">
      <c r="A1224" s="25" t="s">
        <v>3860</v>
      </c>
      <c r="B1224" s="26" t="s">
        <v>3871</v>
      </c>
      <c r="C1224" s="25" t="s">
        <v>3860</v>
      </c>
      <c r="D1224" s="25" t="s">
        <v>13</v>
      </c>
      <c r="E1224" s="25" t="s">
        <v>3821</v>
      </c>
      <c r="F1224" s="25" t="s">
        <v>3822</v>
      </c>
      <c r="G1224" s="25">
        <v>500</v>
      </c>
      <c r="H1224" s="25"/>
    </row>
    <row r="1225" spans="1:8" ht="14">
      <c r="A1225" s="25" t="s">
        <v>3861</v>
      </c>
      <c r="B1225" s="26" t="s">
        <v>3871</v>
      </c>
      <c r="C1225" s="25" t="s">
        <v>3861</v>
      </c>
      <c r="D1225" s="25" t="s">
        <v>13</v>
      </c>
      <c r="E1225" s="25" t="s">
        <v>3823</v>
      </c>
      <c r="F1225" s="25" t="s">
        <v>3824</v>
      </c>
      <c r="G1225" s="25">
        <v>500</v>
      </c>
      <c r="H1225" s="25"/>
    </row>
    <row r="1226" spans="1:8" ht="14">
      <c r="A1226" s="25" t="s">
        <v>3862</v>
      </c>
      <c r="B1226" s="26" t="s">
        <v>3871</v>
      </c>
      <c r="C1226" s="25" t="s">
        <v>3862</v>
      </c>
      <c r="D1226" s="25" t="s">
        <v>13</v>
      </c>
      <c r="E1226" s="25" t="s">
        <v>3825</v>
      </c>
      <c r="F1226" s="25" t="s">
        <v>3826</v>
      </c>
      <c r="G1226" s="25">
        <v>500</v>
      </c>
      <c r="H1226" s="25"/>
    </row>
    <row r="1227" spans="1:8" ht="14">
      <c r="A1227" s="25" t="s">
        <v>3863</v>
      </c>
      <c r="B1227" s="26" t="s">
        <v>3871</v>
      </c>
      <c r="C1227" s="25" t="s">
        <v>3863</v>
      </c>
      <c r="D1227" s="25" t="s">
        <v>13</v>
      </c>
      <c r="E1227" s="25" t="s">
        <v>3827</v>
      </c>
      <c r="F1227" s="25" t="s">
        <v>3828</v>
      </c>
      <c r="G1227" s="25">
        <v>500</v>
      </c>
      <c r="H1227" s="25"/>
    </row>
    <row r="1228" spans="1:8" ht="14">
      <c r="A1228" s="25" t="s">
        <v>3864</v>
      </c>
      <c r="B1228" s="26" t="s">
        <v>3871</v>
      </c>
      <c r="C1228" s="25" t="s">
        <v>3864</v>
      </c>
      <c r="D1228" s="25" t="s">
        <v>13</v>
      </c>
      <c r="E1228" s="25" t="s">
        <v>3829</v>
      </c>
      <c r="F1228" s="25" t="s">
        <v>3830</v>
      </c>
      <c r="G1228" s="25">
        <v>500</v>
      </c>
      <c r="H1228" s="25"/>
    </row>
    <row r="1229" spans="1:8" ht="14">
      <c r="A1229" s="25" t="s">
        <v>3865</v>
      </c>
      <c r="B1229" s="26" t="s">
        <v>3871</v>
      </c>
      <c r="C1229" s="25" t="s">
        <v>3865</v>
      </c>
      <c r="D1229" s="25" t="s">
        <v>13</v>
      </c>
      <c r="E1229" s="25" t="s">
        <v>3831</v>
      </c>
      <c r="F1229" s="25" t="s">
        <v>3832</v>
      </c>
      <c r="G1229" s="25">
        <v>500</v>
      </c>
      <c r="H1229" s="25"/>
    </row>
    <row r="1230" spans="1:8" ht="14">
      <c r="A1230" s="25" t="s">
        <v>3866</v>
      </c>
      <c r="B1230" s="26" t="s">
        <v>3871</v>
      </c>
      <c r="C1230" s="25" t="s">
        <v>3866</v>
      </c>
      <c r="D1230" s="25" t="s">
        <v>13</v>
      </c>
      <c r="E1230" s="25" t="s">
        <v>3833</v>
      </c>
      <c r="F1230" s="25" t="s">
        <v>3834</v>
      </c>
      <c r="G1230" s="25">
        <v>500</v>
      </c>
      <c r="H1230" s="25"/>
    </row>
    <row r="1231" spans="1:8" ht="14">
      <c r="A1231" s="25" t="s">
        <v>3867</v>
      </c>
      <c r="B1231" s="26" t="s">
        <v>3871</v>
      </c>
      <c r="C1231" s="25" t="s">
        <v>3867</v>
      </c>
      <c r="D1231" s="25" t="s">
        <v>13</v>
      </c>
      <c r="E1231" s="25" t="s">
        <v>3868</v>
      </c>
      <c r="F1231" s="25" t="s">
        <v>3835</v>
      </c>
      <c r="G1231" s="25">
        <v>500</v>
      </c>
      <c r="H1231" s="25"/>
    </row>
    <row r="1232" spans="1:8" ht="14">
      <c r="A1232" s="25" t="s">
        <v>3869</v>
      </c>
      <c r="B1232" s="26" t="s">
        <v>3871</v>
      </c>
      <c r="C1232" s="25" t="s">
        <v>3869</v>
      </c>
      <c r="D1232" s="25" t="s">
        <v>13</v>
      </c>
      <c r="E1232" s="25" t="s">
        <v>3836</v>
      </c>
      <c r="F1232" s="25" t="s">
        <v>3837</v>
      </c>
      <c r="G1232" s="25">
        <v>500</v>
      </c>
      <c r="H1232" s="25"/>
    </row>
    <row r="1233" spans="1:1008" ht="14">
      <c r="A1233" s="25" t="s">
        <v>3870</v>
      </c>
      <c r="B1233" s="26" t="s">
        <v>3871</v>
      </c>
      <c r="C1233" s="25" t="s">
        <v>3870</v>
      </c>
      <c r="D1233" s="25" t="s">
        <v>13</v>
      </c>
      <c r="E1233" s="25" t="s">
        <v>3838</v>
      </c>
      <c r="F1233" s="25" t="s">
        <v>3839</v>
      </c>
      <c r="G1233" s="25">
        <v>500</v>
      </c>
      <c r="H1233" s="25"/>
    </row>
    <row r="1234" spans="1:1008" ht="14">
      <c r="A1234" s="25" t="s">
        <v>3881</v>
      </c>
      <c r="B1234" s="26" t="s">
        <v>3879</v>
      </c>
      <c r="C1234" s="25" t="s">
        <v>3881</v>
      </c>
      <c r="D1234" s="25" t="s">
        <v>3881</v>
      </c>
      <c r="E1234" s="25" t="s">
        <v>3882</v>
      </c>
      <c r="F1234" s="25" t="s">
        <v>3883</v>
      </c>
      <c r="G1234" s="25">
        <v>500</v>
      </c>
      <c r="H1234" s="25"/>
    </row>
    <row r="1235" spans="1:1008" ht="14">
      <c r="A1235" s="25" t="s">
        <v>3884</v>
      </c>
      <c r="B1235" s="26" t="s">
        <v>3879</v>
      </c>
      <c r="C1235" s="25" t="s">
        <v>3884</v>
      </c>
      <c r="D1235" s="25" t="s">
        <v>3885</v>
      </c>
      <c r="E1235" s="25" t="s">
        <v>3886</v>
      </c>
      <c r="F1235" s="25" t="s">
        <v>3887</v>
      </c>
      <c r="G1235" s="25">
        <v>500</v>
      </c>
      <c r="H1235" s="25"/>
    </row>
    <row r="1236" spans="1:1008" ht="14">
      <c r="A1236" s="25" t="s">
        <v>3888</v>
      </c>
      <c r="B1236" s="26" t="s">
        <v>3879</v>
      </c>
      <c r="C1236" s="25" t="s">
        <v>3888</v>
      </c>
      <c r="D1236" s="25" t="s">
        <v>3888</v>
      </c>
      <c r="E1236" s="25" t="s">
        <v>3889</v>
      </c>
      <c r="F1236" s="25" t="s">
        <v>3890</v>
      </c>
      <c r="G1236" s="25">
        <v>500</v>
      </c>
      <c r="H1236" s="25"/>
    </row>
    <row r="1237" spans="1:1008" ht="14">
      <c r="A1237" s="28" t="s">
        <v>4036</v>
      </c>
      <c r="B1237" s="34" t="s">
        <v>3989</v>
      </c>
      <c r="C1237" s="28" t="s">
        <v>4036</v>
      </c>
      <c r="D1237" s="25" t="s">
        <v>13</v>
      </c>
      <c r="E1237" s="28" t="s">
        <v>3901</v>
      </c>
      <c r="F1237" s="28" t="s">
        <v>3902</v>
      </c>
      <c r="G1237" s="28">
        <v>500</v>
      </c>
      <c r="H1237" s="25"/>
    </row>
    <row r="1238" spans="1:1008" ht="14">
      <c r="A1238" s="28" t="s">
        <v>4037</v>
      </c>
      <c r="B1238" s="34" t="s">
        <v>3989</v>
      </c>
      <c r="C1238" s="28" t="s">
        <v>4037</v>
      </c>
      <c r="D1238" s="25" t="s">
        <v>13</v>
      </c>
      <c r="E1238" s="28" t="s">
        <v>3903</v>
      </c>
      <c r="F1238" s="28" t="s">
        <v>3904</v>
      </c>
      <c r="G1238" s="28">
        <v>500</v>
      </c>
      <c r="H1238" s="25"/>
    </row>
    <row r="1239" spans="1:1008" ht="14">
      <c r="A1239" s="28" t="s">
        <v>4038</v>
      </c>
      <c r="B1239" s="34" t="s">
        <v>3989</v>
      </c>
      <c r="C1239" s="28" t="s">
        <v>4038</v>
      </c>
      <c r="D1239" s="25" t="s">
        <v>13</v>
      </c>
      <c r="E1239" s="28" t="s">
        <v>4039</v>
      </c>
      <c r="F1239" s="28" t="s">
        <v>3905</v>
      </c>
      <c r="G1239" s="28">
        <v>500</v>
      </c>
      <c r="H1239" s="25"/>
    </row>
    <row r="1240" spans="1:1008" ht="14">
      <c r="A1240" s="28" t="s">
        <v>3906</v>
      </c>
      <c r="B1240" s="26" t="s">
        <v>3989</v>
      </c>
      <c r="C1240" s="28" t="s">
        <v>3906</v>
      </c>
      <c r="D1240" s="25" t="s">
        <v>13</v>
      </c>
      <c r="E1240" s="28" t="s">
        <v>3906</v>
      </c>
      <c r="F1240" s="28" t="s">
        <v>3907</v>
      </c>
      <c r="G1240" s="28">
        <v>500</v>
      </c>
      <c r="H1240" s="25"/>
    </row>
    <row r="1241" spans="1:1008" ht="14">
      <c r="A1241" s="28" t="s">
        <v>4028</v>
      </c>
      <c r="B1241" s="26" t="s">
        <v>3989</v>
      </c>
      <c r="C1241" s="28" t="s">
        <v>3908</v>
      </c>
      <c r="D1241" s="25" t="s">
        <v>13</v>
      </c>
      <c r="E1241" s="28" t="s">
        <v>3908</v>
      </c>
      <c r="F1241" s="28" t="s">
        <v>3909</v>
      </c>
      <c r="G1241" s="28">
        <v>600</v>
      </c>
      <c r="H1241" s="25"/>
    </row>
    <row r="1242" spans="1:1008" ht="14">
      <c r="A1242" s="28" t="s">
        <v>4027</v>
      </c>
      <c r="B1242" s="26" t="s">
        <v>3989</v>
      </c>
      <c r="C1242" s="28" t="s">
        <v>3910</v>
      </c>
      <c r="D1242" s="25" t="s">
        <v>13</v>
      </c>
      <c r="E1242" s="28" t="s">
        <v>3910</v>
      </c>
      <c r="F1242" s="28" t="s">
        <v>3911</v>
      </c>
      <c r="G1242" s="28">
        <v>450</v>
      </c>
      <c r="H1242" s="25"/>
    </row>
    <row r="1243" spans="1:1008" ht="14">
      <c r="A1243" s="28" t="s">
        <v>4029</v>
      </c>
      <c r="B1243" s="26" t="s">
        <v>3990</v>
      </c>
      <c r="C1243" s="28" t="s">
        <v>4029</v>
      </c>
      <c r="D1243" s="25" t="s">
        <v>13</v>
      </c>
      <c r="E1243" s="28" t="s">
        <v>3913</v>
      </c>
      <c r="F1243" s="28" t="s">
        <v>3914</v>
      </c>
      <c r="G1243" s="28">
        <v>500</v>
      </c>
      <c r="H1243" s="25"/>
    </row>
    <row r="1244" spans="1:1008" ht="14">
      <c r="A1244" s="28" t="s">
        <v>4030</v>
      </c>
      <c r="B1244" s="26" t="s">
        <v>3990</v>
      </c>
      <c r="C1244" s="28" t="s">
        <v>4030</v>
      </c>
      <c r="D1244" s="25" t="s">
        <v>13</v>
      </c>
      <c r="E1244" s="28" t="s">
        <v>3915</v>
      </c>
      <c r="F1244" s="28" t="s">
        <v>3916</v>
      </c>
      <c r="G1244" s="28">
        <v>550</v>
      </c>
      <c r="H1244" s="25"/>
    </row>
    <row r="1245" spans="1:1008" ht="14">
      <c r="A1245" s="28" t="s">
        <v>4031</v>
      </c>
      <c r="B1245" s="26" t="s">
        <v>3990</v>
      </c>
      <c r="C1245" s="28" t="s">
        <v>4031</v>
      </c>
      <c r="D1245" s="25" t="s">
        <v>13</v>
      </c>
      <c r="E1245" s="28" t="s">
        <v>3917</v>
      </c>
      <c r="F1245" s="28" t="s">
        <v>3918</v>
      </c>
      <c r="G1245" s="28">
        <v>500</v>
      </c>
      <c r="H1245" s="25"/>
    </row>
    <row r="1246" spans="1:1008" ht="14">
      <c r="A1246" s="28" t="s">
        <v>3920</v>
      </c>
      <c r="B1246" s="26" t="s">
        <v>3991</v>
      </c>
      <c r="C1246" s="28" t="s">
        <v>3920</v>
      </c>
      <c r="D1246" s="25" t="s">
        <v>13</v>
      </c>
      <c r="E1246" s="28" t="s">
        <v>3920</v>
      </c>
      <c r="F1246" s="28" t="s">
        <v>3921</v>
      </c>
      <c r="G1246" s="28">
        <v>550</v>
      </c>
      <c r="H1246" s="28"/>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c r="AT1246"/>
      <c r="AU1246"/>
      <c r="AV1246"/>
      <c r="AW1246"/>
      <c r="AX1246"/>
      <c r="AY1246"/>
      <c r="AZ1246"/>
      <c r="BA1246"/>
      <c r="BB1246"/>
      <c r="BC1246"/>
      <c r="BD1246"/>
      <c r="BE1246"/>
      <c r="BF1246"/>
      <c r="BG1246"/>
      <c r="BH1246"/>
      <c r="BI1246"/>
      <c r="BJ1246"/>
      <c r="BK1246"/>
      <c r="BL1246"/>
      <c r="BM1246"/>
      <c r="BN1246"/>
      <c r="BO1246"/>
      <c r="BP1246"/>
      <c r="BQ1246"/>
      <c r="BR1246"/>
      <c r="BS1246"/>
      <c r="BT1246"/>
      <c r="BU1246"/>
      <c r="BV1246"/>
      <c r="BW1246"/>
      <c r="BX1246"/>
      <c r="BY1246"/>
      <c r="BZ1246"/>
      <c r="CA1246"/>
      <c r="CB1246"/>
      <c r="CC1246"/>
      <c r="CD1246"/>
      <c r="CE1246"/>
      <c r="CF1246"/>
      <c r="CG1246"/>
      <c r="CH1246"/>
      <c r="CI1246"/>
      <c r="CJ1246"/>
      <c r="CK1246"/>
      <c r="CL1246"/>
      <c r="CM1246"/>
      <c r="CN1246"/>
      <c r="CO1246"/>
      <c r="CP1246"/>
      <c r="CQ1246"/>
      <c r="CR1246"/>
      <c r="CS1246"/>
      <c r="CT1246"/>
      <c r="CU1246"/>
      <c r="CV1246"/>
      <c r="CW1246"/>
      <c r="CX1246"/>
      <c r="CY1246"/>
      <c r="CZ1246"/>
      <c r="DA1246"/>
      <c r="DB1246"/>
      <c r="DC1246"/>
      <c r="DD1246"/>
      <c r="DE1246"/>
      <c r="DF1246"/>
      <c r="DG1246"/>
      <c r="DH1246"/>
      <c r="DI1246"/>
      <c r="DJ1246"/>
      <c r="DK1246"/>
      <c r="DL1246"/>
      <c r="DM1246"/>
      <c r="DN1246"/>
      <c r="DO1246"/>
      <c r="DP1246"/>
      <c r="DQ1246"/>
      <c r="DR1246"/>
      <c r="DS1246"/>
      <c r="DT1246"/>
      <c r="DU1246"/>
      <c r="DV1246"/>
      <c r="DW1246"/>
      <c r="DX1246"/>
      <c r="DY1246"/>
      <c r="DZ1246"/>
      <c r="EA1246"/>
      <c r="EB1246"/>
      <c r="EC1246"/>
      <c r="ED1246"/>
      <c r="EE1246"/>
      <c r="EF1246"/>
      <c r="EG1246"/>
      <c r="EH1246"/>
      <c r="EI1246"/>
      <c r="EJ1246"/>
      <c r="EK1246"/>
      <c r="EL1246"/>
      <c r="EM1246"/>
      <c r="EN1246"/>
      <c r="EO1246"/>
      <c r="EP1246"/>
      <c r="EQ1246"/>
      <c r="ER1246"/>
      <c r="ES1246"/>
      <c r="ET1246"/>
      <c r="EU1246"/>
      <c r="EV1246"/>
      <c r="EW1246"/>
      <c r="EX1246"/>
      <c r="EY1246"/>
      <c r="EZ1246"/>
      <c r="FA1246"/>
      <c r="FB1246"/>
      <c r="FC1246"/>
      <c r="FD1246"/>
      <c r="FE1246"/>
      <c r="FF1246"/>
      <c r="FG1246"/>
      <c r="FH1246"/>
      <c r="FI1246"/>
      <c r="FJ1246"/>
      <c r="FK1246"/>
      <c r="FL1246"/>
      <c r="FM1246"/>
      <c r="FN1246"/>
      <c r="FO1246"/>
      <c r="FP1246"/>
      <c r="FQ1246"/>
      <c r="FR1246"/>
      <c r="FS1246"/>
      <c r="FT1246"/>
      <c r="FU1246"/>
      <c r="FV1246"/>
      <c r="FW1246"/>
      <c r="FX1246"/>
      <c r="FY1246"/>
      <c r="FZ1246"/>
      <c r="GA1246"/>
      <c r="GB1246"/>
      <c r="GC1246"/>
      <c r="GD1246"/>
      <c r="GE1246"/>
      <c r="GF1246"/>
      <c r="GG1246"/>
      <c r="GH1246"/>
      <c r="GI1246"/>
      <c r="GJ1246"/>
      <c r="GK1246"/>
      <c r="GL1246"/>
      <c r="GM1246"/>
      <c r="GN1246"/>
      <c r="GO1246"/>
      <c r="GP1246"/>
      <c r="GQ1246"/>
      <c r="GR1246"/>
      <c r="GS1246"/>
      <c r="GT1246"/>
      <c r="GU1246"/>
      <c r="GV1246"/>
      <c r="GW1246"/>
      <c r="GX1246"/>
      <c r="GY1246"/>
      <c r="GZ1246"/>
      <c r="HA1246"/>
      <c r="HB1246"/>
      <c r="HC1246"/>
      <c r="HD1246"/>
      <c r="HE1246"/>
      <c r="HF1246"/>
      <c r="HG1246"/>
      <c r="HH1246"/>
      <c r="HI1246"/>
      <c r="HJ1246"/>
      <c r="HK1246"/>
      <c r="HL1246"/>
      <c r="HM1246"/>
      <c r="HN1246"/>
      <c r="HO1246"/>
      <c r="HP1246"/>
      <c r="HQ1246"/>
      <c r="HR1246"/>
      <c r="HS1246"/>
      <c r="HT1246"/>
      <c r="HU1246"/>
      <c r="HV1246"/>
      <c r="HW1246"/>
      <c r="HX1246"/>
      <c r="HY1246"/>
      <c r="HZ1246"/>
      <c r="IA1246"/>
      <c r="IB1246"/>
      <c r="IC1246"/>
      <c r="ID1246"/>
      <c r="IE1246"/>
      <c r="IF1246"/>
      <c r="IG1246"/>
      <c r="IH1246"/>
      <c r="II1246"/>
      <c r="IJ1246"/>
      <c r="IK1246"/>
      <c r="IL1246"/>
      <c r="IM1246"/>
      <c r="IN1246"/>
      <c r="IO1246"/>
      <c r="IP1246"/>
      <c r="IQ1246"/>
      <c r="IR1246"/>
      <c r="IS1246"/>
      <c r="IT1246"/>
      <c r="IU1246"/>
      <c r="IV1246"/>
      <c r="IW1246"/>
      <c r="IX1246"/>
      <c r="IY1246"/>
      <c r="IZ1246"/>
      <c r="JA1246"/>
      <c r="JB1246"/>
      <c r="JC1246"/>
      <c r="JD1246"/>
      <c r="JE1246"/>
      <c r="JF1246"/>
      <c r="JG1246"/>
      <c r="JH1246"/>
      <c r="JI1246"/>
      <c r="JJ1246"/>
      <c r="JK1246"/>
      <c r="JL1246"/>
      <c r="JM1246"/>
      <c r="JN1246"/>
      <c r="JO1246"/>
      <c r="JP1246"/>
      <c r="JQ1246"/>
      <c r="JR1246"/>
      <c r="JS1246"/>
      <c r="JT1246"/>
      <c r="JU1246"/>
      <c r="JV1246"/>
      <c r="JW1246"/>
      <c r="JX1246"/>
      <c r="JY1246"/>
      <c r="JZ1246"/>
      <c r="KA1246"/>
      <c r="KB1246"/>
      <c r="KC1246"/>
      <c r="KD1246"/>
      <c r="KE1246"/>
      <c r="KF1246"/>
      <c r="KG1246"/>
      <c r="KH1246"/>
      <c r="KI1246"/>
      <c r="KJ1246"/>
      <c r="KK1246"/>
      <c r="KL1246"/>
      <c r="KM1246"/>
      <c r="KN1246"/>
      <c r="KO1246"/>
      <c r="KP1246"/>
      <c r="KQ1246"/>
      <c r="KR1246"/>
      <c r="KS1246"/>
      <c r="KT1246"/>
      <c r="KU1246"/>
      <c r="KV1246"/>
      <c r="KW1246"/>
      <c r="KX1246"/>
      <c r="KY1246"/>
      <c r="KZ1246"/>
      <c r="LA1246"/>
      <c r="LB1246"/>
      <c r="LC1246"/>
      <c r="LD1246"/>
      <c r="LE1246"/>
      <c r="LF1246"/>
      <c r="LG1246"/>
      <c r="LH1246"/>
      <c r="LI1246"/>
      <c r="LJ1246"/>
      <c r="LK1246"/>
      <c r="LL1246"/>
      <c r="LM1246"/>
      <c r="LN1246"/>
      <c r="LO1246"/>
      <c r="LP1246"/>
      <c r="LQ1246"/>
      <c r="LR1246"/>
      <c r="LS1246"/>
      <c r="LT1246"/>
      <c r="LU1246"/>
      <c r="LV1246"/>
      <c r="LW1246"/>
      <c r="LX1246"/>
      <c r="LY1246"/>
      <c r="LZ1246"/>
      <c r="MA1246"/>
      <c r="MB1246"/>
      <c r="MC1246"/>
      <c r="MD1246"/>
      <c r="ME1246"/>
      <c r="MF1246"/>
      <c r="MG1246"/>
      <c r="MH1246"/>
      <c r="MI1246"/>
      <c r="MJ1246"/>
      <c r="MK1246"/>
      <c r="ML1246"/>
      <c r="MM1246"/>
      <c r="MN1246"/>
      <c r="MO1246"/>
      <c r="MP1246"/>
      <c r="MQ1246"/>
      <c r="MR1246"/>
      <c r="MS1246"/>
      <c r="MT1246"/>
      <c r="MU1246"/>
      <c r="MV1246"/>
      <c r="MW1246"/>
      <c r="MX1246"/>
      <c r="MY1246"/>
      <c r="MZ1246"/>
      <c r="NA1246"/>
      <c r="NB1246"/>
      <c r="NC1246"/>
      <c r="ND1246"/>
      <c r="NE1246"/>
      <c r="NF1246"/>
      <c r="NG1246"/>
      <c r="NH1246"/>
      <c r="NI1246"/>
      <c r="NJ1246"/>
      <c r="NK1246"/>
      <c r="NL1246"/>
      <c r="NM1246"/>
      <c r="NN1246"/>
      <c r="NO1246"/>
      <c r="NP1246"/>
      <c r="NQ1246"/>
      <c r="NR1246"/>
      <c r="NS1246"/>
      <c r="NT1246"/>
      <c r="NU1246"/>
      <c r="NV1246"/>
      <c r="NW1246"/>
      <c r="NX1246"/>
      <c r="NY1246"/>
      <c r="NZ1246"/>
      <c r="OA1246"/>
      <c r="OB1246"/>
      <c r="OC1246"/>
      <c r="OD1246"/>
      <c r="OE1246"/>
      <c r="OF1246"/>
      <c r="OG1246"/>
      <c r="OH1246"/>
      <c r="OI1246"/>
      <c r="OJ1246"/>
      <c r="OK1246"/>
      <c r="OL1246"/>
      <c r="OM1246"/>
      <c r="ON1246"/>
      <c r="OO1246"/>
      <c r="OP1246"/>
      <c r="OQ1246"/>
      <c r="OR1246"/>
      <c r="OS1246"/>
      <c r="OT1246"/>
      <c r="OU1246"/>
      <c r="OV1246"/>
      <c r="OW1246"/>
      <c r="OX1246"/>
      <c r="OY1246"/>
      <c r="OZ1246"/>
      <c r="PA1246"/>
      <c r="PB1246"/>
      <c r="PC1246"/>
      <c r="PD1246"/>
      <c r="PE1246"/>
      <c r="PF1246"/>
      <c r="PG1246"/>
      <c r="PH1246"/>
      <c r="PI1246"/>
      <c r="PJ1246"/>
      <c r="PK1246"/>
      <c r="PL1246"/>
      <c r="PM1246"/>
      <c r="PN1246"/>
      <c r="PO1246"/>
      <c r="PP1246"/>
      <c r="PQ1246"/>
      <c r="PR1246"/>
      <c r="PS1246"/>
      <c r="PT1246"/>
      <c r="PU1246"/>
      <c r="PV1246"/>
      <c r="PW1246"/>
      <c r="PX1246"/>
      <c r="PY1246"/>
      <c r="PZ1246"/>
      <c r="QA1246"/>
      <c r="QB1246"/>
      <c r="QC1246"/>
      <c r="QD1246"/>
      <c r="QE1246"/>
      <c r="QF1246"/>
      <c r="QG1246"/>
      <c r="QH1246"/>
      <c r="QI1246"/>
      <c r="QJ1246"/>
      <c r="QK1246"/>
      <c r="QL1246"/>
      <c r="QM1246"/>
      <c r="QN1246"/>
      <c r="QO1246"/>
      <c r="QP1246"/>
      <c r="QQ1246"/>
      <c r="QR1246"/>
      <c r="QS1246"/>
      <c r="QT1246"/>
      <c r="QU1246"/>
      <c r="QV1246"/>
      <c r="QW1246"/>
      <c r="QX1246"/>
      <c r="QY1246"/>
      <c r="QZ1246"/>
      <c r="RA1246"/>
      <c r="RB1246"/>
      <c r="RC1246"/>
      <c r="RD1246"/>
      <c r="RE1246"/>
      <c r="RF1246"/>
      <c r="RG1246"/>
      <c r="RH1246"/>
      <c r="RI1246"/>
      <c r="RJ1246"/>
      <c r="RK1246"/>
      <c r="RL1246"/>
      <c r="RM1246"/>
      <c r="RN1246"/>
      <c r="RO1246"/>
      <c r="RP1246"/>
      <c r="RQ1246"/>
      <c r="RR1246"/>
      <c r="RS1246"/>
      <c r="RT1246"/>
      <c r="RU1246"/>
      <c r="RV1246"/>
      <c r="RW1246"/>
      <c r="RX1246"/>
      <c r="RY1246"/>
      <c r="RZ1246"/>
      <c r="SA1246"/>
      <c r="SB1246"/>
      <c r="SC1246"/>
      <c r="SD1246"/>
      <c r="SE1246"/>
      <c r="SF1246"/>
      <c r="SG1246"/>
      <c r="SH1246"/>
      <c r="SI1246"/>
      <c r="SJ1246"/>
      <c r="SK1246"/>
      <c r="SL1246"/>
      <c r="SM1246"/>
      <c r="SN1246"/>
      <c r="SO1246"/>
      <c r="SP1246"/>
      <c r="SQ1246"/>
      <c r="SR1246"/>
      <c r="SS1246"/>
      <c r="ST1246"/>
      <c r="SU1246"/>
      <c r="SV1246"/>
      <c r="SW1246"/>
      <c r="SX1246"/>
      <c r="SY1246"/>
      <c r="SZ1246"/>
      <c r="TA1246"/>
      <c r="TB1246"/>
      <c r="TC1246"/>
      <c r="TD1246"/>
      <c r="TE1246"/>
      <c r="TF1246"/>
      <c r="TG1246"/>
      <c r="TH1246"/>
      <c r="TI1246"/>
      <c r="TJ1246"/>
      <c r="TK1246"/>
      <c r="TL1246"/>
      <c r="TM1246"/>
      <c r="TN1246"/>
      <c r="TO1246"/>
      <c r="TP1246"/>
      <c r="TQ1246"/>
      <c r="TR1246"/>
      <c r="TS1246"/>
      <c r="TT1246"/>
      <c r="TU1246"/>
      <c r="TV1246"/>
      <c r="TW1246"/>
      <c r="TX1246"/>
      <c r="TY1246"/>
      <c r="TZ1246"/>
      <c r="UA1246"/>
      <c r="UB1246"/>
      <c r="UC1246"/>
      <c r="UD1246"/>
      <c r="UE1246"/>
      <c r="UF1246"/>
      <c r="UG1246"/>
      <c r="UH1246"/>
      <c r="UI1246"/>
      <c r="UJ1246"/>
      <c r="UK1246"/>
      <c r="UL1246"/>
      <c r="UM1246"/>
      <c r="UN1246"/>
      <c r="UO1246"/>
      <c r="UP1246"/>
      <c r="UQ1246"/>
      <c r="UR1246"/>
      <c r="US1246"/>
      <c r="UT1246"/>
      <c r="UU1246"/>
      <c r="UV1246"/>
      <c r="UW1246"/>
      <c r="UX1246"/>
      <c r="UY1246"/>
      <c r="UZ1246"/>
      <c r="VA1246"/>
      <c r="VB1246"/>
      <c r="VC1246"/>
      <c r="VD1246"/>
      <c r="VE1246"/>
      <c r="VF1246"/>
      <c r="VG1246"/>
      <c r="VH1246"/>
      <c r="VI1246"/>
      <c r="VJ1246"/>
      <c r="VK1246"/>
      <c r="VL1246"/>
      <c r="VM1246"/>
      <c r="VN1246"/>
      <c r="VO1246"/>
      <c r="VP1246"/>
      <c r="VQ1246"/>
      <c r="VR1246"/>
      <c r="VS1246"/>
      <c r="VT1246"/>
      <c r="VU1246"/>
      <c r="VV1246"/>
      <c r="VW1246"/>
      <c r="VX1246"/>
      <c r="VY1246"/>
      <c r="VZ1246"/>
      <c r="WA1246"/>
      <c r="WB1246"/>
      <c r="WC1246"/>
      <c r="WD1246"/>
      <c r="WE1246"/>
      <c r="WF1246"/>
      <c r="WG1246"/>
      <c r="WH1246"/>
      <c r="WI1246"/>
      <c r="WJ1246"/>
      <c r="WK1246"/>
      <c r="WL1246"/>
      <c r="WM1246"/>
      <c r="WN1246"/>
      <c r="WO1246"/>
      <c r="WP1246"/>
      <c r="WQ1246"/>
      <c r="WR1246"/>
      <c r="WS1246"/>
      <c r="WT1246"/>
      <c r="WU1246"/>
      <c r="WV1246"/>
      <c r="WW1246"/>
      <c r="WX1246"/>
      <c r="WY1246"/>
      <c r="WZ1246"/>
      <c r="XA1246"/>
      <c r="XB1246"/>
      <c r="XC1246"/>
      <c r="XD1246"/>
      <c r="XE1246"/>
      <c r="XF1246"/>
      <c r="XG1246"/>
      <c r="XH1246"/>
      <c r="XI1246"/>
      <c r="XJ1246"/>
      <c r="XK1246"/>
      <c r="XL1246"/>
      <c r="XM1246"/>
      <c r="XN1246"/>
      <c r="XO1246"/>
      <c r="XP1246"/>
      <c r="XQ1246"/>
      <c r="XR1246"/>
      <c r="XS1246"/>
      <c r="XT1246"/>
      <c r="XU1246"/>
      <c r="XV1246"/>
      <c r="XW1246"/>
      <c r="XX1246"/>
      <c r="XY1246"/>
      <c r="XZ1246"/>
      <c r="YA1246"/>
      <c r="YB1246"/>
      <c r="YC1246"/>
      <c r="YD1246"/>
      <c r="YE1246"/>
      <c r="YF1246"/>
      <c r="YG1246"/>
      <c r="YH1246"/>
      <c r="YI1246"/>
      <c r="YJ1246"/>
      <c r="YK1246"/>
      <c r="YL1246"/>
      <c r="YM1246"/>
      <c r="YN1246"/>
      <c r="YO1246"/>
      <c r="YP1246"/>
      <c r="YQ1246"/>
      <c r="YR1246"/>
      <c r="YS1246"/>
      <c r="YT1246"/>
      <c r="YU1246"/>
      <c r="YV1246"/>
      <c r="YW1246"/>
      <c r="YX1246"/>
      <c r="YY1246"/>
      <c r="YZ1246"/>
      <c r="ZA1246"/>
      <c r="ZB1246"/>
      <c r="ZC1246"/>
      <c r="ZD1246"/>
      <c r="ZE1246"/>
      <c r="ZF1246"/>
      <c r="ZG1246"/>
      <c r="ZH1246"/>
      <c r="ZI1246"/>
      <c r="ZJ1246"/>
      <c r="ZK1246"/>
      <c r="ZL1246"/>
      <c r="ZM1246"/>
      <c r="ZN1246"/>
      <c r="ZO1246"/>
      <c r="ZP1246"/>
      <c r="ZQ1246"/>
      <c r="ZR1246"/>
      <c r="ZS1246"/>
      <c r="ZT1246"/>
      <c r="ZU1246"/>
      <c r="ZV1246"/>
      <c r="ZW1246"/>
      <c r="ZX1246"/>
      <c r="ZY1246"/>
      <c r="ZZ1246"/>
      <c r="AAA1246"/>
      <c r="AAB1246"/>
      <c r="AAC1246"/>
      <c r="AAD1246"/>
      <c r="AAE1246"/>
      <c r="AAF1246"/>
      <c r="AAG1246"/>
      <c r="AAH1246"/>
      <c r="AAI1246"/>
      <c r="AAJ1246"/>
      <c r="AAK1246"/>
      <c r="AAL1246"/>
      <c r="AAM1246"/>
      <c r="AAN1246"/>
      <c r="AAO1246"/>
      <c r="AAP1246"/>
      <c r="AAQ1246"/>
      <c r="AAR1246"/>
      <c r="AAS1246"/>
      <c r="AAT1246"/>
      <c r="AAU1246"/>
      <c r="AAV1246"/>
      <c r="AAW1246"/>
      <c r="AAX1246"/>
      <c r="AAY1246"/>
      <c r="AAZ1246"/>
      <c r="ABA1246"/>
      <c r="ABB1246"/>
      <c r="ABC1246"/>
      <c r="ABD1246"/>
      <c r="ABE1246"/>
      <c r="ABF1246"/>
      <c r="ABG1246"/>
      <c r="ABH1246"/>
      <c r="ABI1246"/>
      <c r="ABJ1246"/>
      <c r="ABK1246"/>
      <c r="ABL1246"/>
      <c r="ABM1246"/>
      <c r="ABN1246"/>
      <c r="ABO1246"/>
      <c r="ABP1246"/>
      <c r="ABQ1246"/>
      <c r="ABR1246"/>
      <c r="ABS1246"/>
      <c r="ABT1246"/>
      <c r="ABU1246"/>
      <c r="ABV1246"/>
      <c r="ABW1246"/>
      <c r="ABX1246"/>
      <c r="ABY1246"/>
      <c r="ABZ1246"/>
      <c r="ACA1246"/>
      <c r="ACB1246"/>
      <c r="ACC1246"/>
      <c r="ACD1246"/>
      <c r="ACE1246"/>
      <c r="ACF1246"/>
      <c r="ACG1246"/>
      <c r="ACH1246"/>
      <c r="ACI1246"/>
      <c r="ACJ1246"/>
      <c r="ACK1246"/>
      <c r="ACL1246"/>
      <c r="ACM1246"/>
      <c r="ACN1246"/>
      <c r="ACO1246"/>
      <c r="ACP1246"/>
      <c r="ACQ1246"/>
      <c r="ACR1246"/>
      <c r="ACS1246"/>
      <c r="ACT1246"/>
      <c r="ACU1246"/>
      <c r="ACV1246"/>
      <c r="ACW1246"/>
      <c r="ACX1246"/>
      <c r="ACY1246"/>
      <c r="ACZ1246"/>
      <c r="ADA1246"/>
      <c r="ADB1246"/>
      <c r="ADC1246"/>
      <c r="ADD1246"/>
      <c r="ADE1246"/>
      <c r="ADF1246"/>
      <c r="ADG1246"/>
      <c r="ADH1246"/>
      <c r="ADI1246"/>
      <c r="ADJ1246"/>
      <c r="ADK1246"/>
      <c r="ADL1246"/>
      <c r="ADM1246"/>
      <c r="ADN1246"/>
      <c r="ADO1246"/>
      <c r="ADP1246"/>
      <c r="ADQ1246"/>
      <c r="ADR1246"/>
      <c r="ADS1246"/>
      <c r="ADT1246"/>
      <c r="ADU1246"/>
      <c r="ADV1246"/>
      <c r="ADW1246"/>
      <c r="ADX1246"/>
      <c r="ADY1246"/>
      <c r="ADZ1246"/>
      <c r="AEA1246"/>
      <c r="AEB1246"/>
      <c r="AEC1246"/>
      <c r="AED1246"/>
      <c r="AEE1246"/>
      <c r="AEF1246"/>
      <c r="AEG1246"/>
      <c r="AEH1246"/>
      <c r="AEI1246"/>
      <c r="AEJ1246"/>
      <c r="AEK1246"/>
      <c r="AEL1246"/>
      <c r="AEM1246"/>
      <c r="AEN1246"/>
      <c r="AEO1246"/>
      <c r="AEP1246"/>
      <c r="AEQ1246"/>
      <c r="AER1246"/>
      <c r="AES1246"/>
      <c r="AET1246"/>
      <c r="AEU1246"/>
      <c r="AEV1246"/>
      <c r="AEW1246"/>
      <c r="AEX1246"/>
      <c r="AEY1246"/>
      <c r="AEZ1246"/>
      <c r="AFA1246"/>
      <c r="AFB1246"/>
      <c r="AFC1246"/>
      <c r="AFD1246"/>
      <c r="AFE1246"/>
      <c r="AFF1246"/>
      <c r="AFG1246"/>
      <c r="AFH1246"/>
      <c r="AFI1246"/>
      <c r="AFJ1246"/>
      <c r="AFK1246"/>
      <c r="AFL1246"/>
      <c r="AFM1246"/>
      <c r="AFN1246"/>
      <c r="AFO1246"/>
      <c r="AFP1246"/>
      <c r="AFQ1246"/>
      <c r="AFR1246"/>
      <c r="AFS1246"/>
      <c r="AFT1246"/>
      <c r="AFU1246"/>
      <c r="AFV1246"/>
      <c r="AFW1246"/>
      <c r="AFX1246"/>
      <c r="AFY1246"/>
      <c r="AFZ1246"/>
      <c r="AGA1246"/>
      <c r="AGB1246"/>
      <c r="AGC1246"/>
      <c r="AGD1246"/>
      <c r="AGE1246"/>
      <c r="AGF1246"/>
      <c r="AGG1246"/>
      <c r="AGH1246"/>
      <c r="AGI1246"/>
      <c r="AGJ1246"/>
      <c r="AGK1246"/>
      <c r="AGL1246"/>
      <c r="AGM1246"/>
      <c r="AGN1246"/>
      <c r="AGO1246"/>
      <c r="AGP1246"/>
      <c r="AGQ1246"/>
      <c r="AGR1246"/>
      <c r="AGS1246"/>
      <c r="AGT1246"/>
      <c r="AGU1246"/>
      <c r="AGV1246"/>
      <c r="AGW1246"/>
      <c r="AGX1246"/>
      <c r="AGY1246"/>
      <c r="AGZ1246"/>
      <c r="AHA1246"/>
      <c r="AHB1246"/>
      <c r="AHC1246"/>
      <c r="AHD1246"/>
      <c r="AHE1246"/>
      <c r="AHF1246"/>
      <c r="AHG1246"/>
      <c r="AHH1246"/>
      <c r="AHI1246"/>
      <c r="AHJ1246"/>
      <c r="AHK1246"/>
      <c r="AHL1246"/>
      <c r="AHM1246"/>
      <c r="AHN1246"/>
      <c r="AHO1246"/>
      <c r="AHP1246"/>
      <c r="AHQ1246"/>
      <c r="AHR1246"/>
      <c r="AHS1246"/>
      <c r="AHT1246"/>
      <c r="AHU1246"/>
      <c r="AHV1246"/>
      <c r="AHW1246"/>
      <c r="AHX1246"/>
      <c r="AHY1246"/>
      <c r="AHZ1246"/>
      <c r="AIA1246"/>
      <c r="AIB1246"/>
      <c r="AIC1246"/>
      <c r="AID1246"/>
      <c r="AIE1246"/>
      <c r="AIF1246"/>
      <c r="AIG1246"/>
      <c r="AIH1246"/>
      <c r="AII1246"/>
      <c r="AIJ1246"/>
      <c r="AIK1246"/>
      <c r="AIL1246"/>
      <c r="AIM1246"/>
      <c r="AIN1246"/>
      <c r="AIO1246"/>
      <c r="AIP1246"/>
      <c r="AIQ1246"/>
      <c r="AIR1246"/>
      <c r="AIS1246"/>
      <c r="AIT1246"/>
      <c r="AIU1246"/>
      <c r="AIV1246"/>
      <c r="AIW1246"/>
      <c r="AIX1246"/>
      <c r="AIY1246"/>
      <c r="AIZ1246"/>
      <c r="AJA1246"/>
      <c r="AJB1246"/>
      <c r="AJC1246"/>
      <c r="AJD1246"/>
      <c r="AJE1246"/>
      <c r="AJF1246"/>
      <c r="AJG1246"/>
      <c r="AJH1246"/>
      <c r="AJI1246"/>
      <c r="AJJ1246"/>
      <c r="AJK1246"/>
      <c r="AJL1246"/>
      <c r="AJM1246"/>
      <c r="AJN1246"/>
      <c r="AJO1246"/>
      <c r="AJP1246"/>
      <c r="AJQ1246"/>
      <c r="AJR1246"/>
      <c r="AJS1246"/>
      <c r="AJT1246"/>
      <c r="AJU1246"/>
      <c r="AJV1246"/>
      <c r="AJW1246"/>
      <c r="AJX1246"/>
      <c r="AJY1246"/>
      <c r="AJZ1246"/>
      <c r="AKA1246"/>
      <c r="AKB1246"/>
      <c r="AKC1246"/>
      <c r="AKD1246"/>
      <c r="AKE1246"/>
      <c r="AKF1246"/>
      <c r="AKG1246"/>
      <c r="AKH1246"/>
      <c r="AKI1246"/>
      <c r="AKJ1246"/>
      <c r="AKK1246"/>
      <c r="AKL1246"/>
      <c r="AKM1246"/>
      <c r="AKN1246"/>
      <c r="AKO1246"/>
      <c r="AKP1246"/>
      <c r="AKQ1246"/>
      <c r="AKR1246"/>
      <c r="AKS1246"/>
      <c r="AKT1246"/>
      <c r="AKU1246"/>
      <c r="AKV1246"/>
      <c r="AKW1246"/>
      <c r="AKX1246"/>
      <c r="AKY1246"/>
      <c r="AKZ1246"/>
      <c r="ALA1246"/>
      <c r="ALB1246"/>
      <c r="ALC1246"/>
      <c r="ALD1246"/>
      <c r="ALE1246"/>
      <c r="ALF1246"/>
      <c r="ALG1246"/>
      <c r="ALH1246"/>
      <c r="ALI1246"/>
      <c r="ALJ1246"/>
      <c r="ALK1246"/>
      <c r="ALL1246"/>
      <c r="ALM1246"/>
      <c r="ALN1246"/>
      <c r="ALO1246"/>
      <c r="ALP1246"/>
      <c r="ALQ1246"/>
      <c r="ALR1246"/>
      <c r="ALS1246"/>
      <c r="ALT1246"/>
    </row>
    <row r="1247" spans="1:1008" ht="14">
      <c r="A1247" s="28" t="s">
        <v>3922</v>
      </c>
      <c r="B1247" s="26" t="s">
        <v>3991</v>
      </c>
      <c r="C1247" s="28" t="s">
        <v>3922</v>
      </c>
      <c r="D1247" s="25" t="s">
        <v>13</v>
      </c>
      <c r="E1247" s="28" t="s">
        <v>3922</v>
      </c>
      <c r="F1247" s="28" t="s">
        <v>3923</v>
      </c>
      <c r="G1247" s="28">
        <v>500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3924</v>
      </c>
      <c r="B1248" s="26" t="s">
        <v>3991</v>
      </c>
      <c r="C1248" s="28" t="s">
        <v>3924</v>
      </c>
      <c r="D1248" s="25" t="s">
        <v>13</v>
      </c>
      <c r="E1248" s="28" t="s">
        <v>3924</v>
      </c>
      <c r="F1248" s="28" t="s">
        <v>3925</v>
      </c>
      <c r="G1248" s="28">
        <v>650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3926</v>
      </c>
      <c r="B1249" s="26" t="s">
        <v>3991</v>
      </c>
      <c r="C1249" s="28" t="s">
        <v>3926</v>
      </c>
      <c r="D1249" s="25" t="s">
        <v>13</v>
      </c>
      <c r="E1249" s="28" t="s">
        <v>3926</v>
      </c>
      <c r="F1249" s="28" t="s">
        <v>3927</v>
      </c>
      <c r="G1249" s="28">
        <v>600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3928</v>
      </c>
      <c r="B1250" s="26" t="s">
        <v>3991</v>
      </c>
      <c r="C1250" s="28" t="s">
        <v>3928</v>
      </c>
      <c r="D1250" s="25" t="s">
        <v>13</v>
      </c>
      <c r="E1250" s="28" t="s">
        <v>3928</v>
      </c>
      <c r="F1250" s="28" t="s">
        <v>3929</v>
      </c>
      <c r="G1250" s="28">
        <v>580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3930</v>
      </c>
      <c r="B1251" s="26" t="s">
        <v>3991</v>
      </c>
      <c r="C1251" s="28" t="s">
        <v>3930</v>
      </c>
      <c r="D1251" s="25" t="s">
        <v>13</v>
      </c>
      <c r="E1251" s="28" t="s">
        <v>3930</v>
      </c>
      <c r="F1251" s="28" t="s">
        <v>3931</v>
      </c>
      <c r="G1251" s="28">
        <v>500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3932</v>
      </c>
      <c r="B1252" s="26" t="s">
        <v>3993</v>
      </c>
      <c r="C1252" s="28" t="s">
        <v>3932</v>
      </c>
      <c r="D1252" s="25" t="s">
        <v>13</v>
      </c>
      <c r="E1252" s="28" t="s">
        <v>3932</v>
      </c>
      <c r="F1252" s="28" t="s">
        <v>3933</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3934</v>
      </c>
      <c r="B1253" s="26" t="s">
        <v>3993</v>
      </c>
      <c r="C1253" s="28" t="s">
        <v>3934</v>
      </c>
      <c r="D1253" s="25" t="s">
        <v>13</v>
      </c>
      <c r="E1253" s="28" t="s">
        <v>3934</v>
      </c>
      <c r="F1253" s="28" t="s">
        <v>3935</v>
      </c>
      <c r="G1253" s="28">
        <v>500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3936</v>
      </c>
      <c r="B1254" s="26" t="s">
        <v>3993</v>
      </c>
      <c r="C1254" s="28" t="s">
        <v>3936</v>
      </c>
      <c r="D1254" s="25" t="s">
        <v>13</v>
      </c>
      <c r="E1254" s="28" t="s">
        <v>3936</v>
      </c>
      <c r="F1254" s="28" t="s">
        <v>3937</v>
      </c>
      <c r="G1254" s="28">
        <v>550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3938</v>
      </c>
      <c r="B1255" s="26" t="s">
        <v>3993</v>
      </c>
      <c r="C1255" s="28" t="s">
        <v>3938</v>
      </c>
      <c r="D1255" s="25" t="s">
        <v>13</v>
      </c>
      <c r="E1255" s="28" t="s">
        <v>3938</v>
      </c>
      <c r="F1255" s="28" t="s">
        <v>3939</v>
      </c>
      <c r="G1255" s="28">
        <v>500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3940</v>
      </c>
      <c r="B1256" s="26" t="s">
        <v>3994</v>
      </c>
      <c r="C1256" s="28" t="s">
        <v>4050</v>
      </c>
      <c r="D1256" s="25" t="s">
        <v>13</v>
      </c>
      <c r="E1256" s="28" t="s">
        <v>4050</v>
      </c>
      <c r="F1256" s="28" t="s">
        <v>3941</v>
      </c>
      <c r="G1256" s="28">
        <v>500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4001</v>
      </c>
      <c r="B1257" s="26" t="s">
        <v>3994</v>
      </c>
      <c r="C1257" s="28" t="s">
        <v>4001</v>
      </c>
      <c r="D1257" s="25" t="s">
        <v>13</v>
      </c>
      <c r="E1257" s="28" t="s">
        <v>4002</v>
      </c>
      <c r="F1257" s="25" t="s">
        <v>4003</v>
      </c>
      <c r="G1257" s="28">
        <v>500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3942</v>
      </c>
      <c r="B1258" s="26" t="s">
        <v>3896</v>
      </c>
      <c r="C1258" s="28" t="s">
        <v>3942</v>
      </c>
      <c r="D1258" s="25" t="s">
        <v>13</v>
      </c>
      <c r="E1258" s="28" t="s">
        <v>3942</v>
      </c>
      <c r="F1258" s="28" t="s">
        <v>3943</v>
      </c>
      <c r="G1258" s="28">
        <v>500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4032</v>
      </c>
      <c r="B1259" s="26" t="s">
        <v>3896</v>
      </c>
      <c r="C1259" s="28" t="s">
        <v>3944</v>
      </c>
      <c r="D1259" s="25" t="s">
        <v>13</v>
      </c>
      <c r="E1259" s="28" t="s">
        <v>3944</v>
      </c>
      <c r="F1259" s="28" t="s">
        <v>3945</v>
      </c>
      <c r="G1259" s="28">
        <v>700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4419</v>
      </c>
      <c r="B1260" s="26" t="s">
        <v>3894</v>
      </c>
      <c r="C1260" s="28" t="s">
        <v>3947</v>
      </c>
      <c r="D1260" s="25" t="s">
        <v>13</v>
      </c>
      <c r="E1260" s="28" t="s">
        <v>3947</v>
      </c>
      <c r="F1260" s="28" t="s">
        <v>3948</v>
      </c>
      <c r="G1260" s="28">
        <v>500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4418</v>
      </c>
      <c r="B1261" s="26" t="s">
        <v>3894</v>
      </c>
      <c r="C1261" s="28" t="s">
        <v>3949</v>
      </c>
      <c r="D1261" s="25" t="s">
        <v>13</v>
      </c>
      <c r="E1261" s="28" t="s">
        <v>3949</v>
      </c>
      <c r="F1261" s="28" t="s">
        <v>3950</v>
      </c>
      <c r="G1261" s="28">
        <v>550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3951</v>
      </c>
      <c r="B1262" s="26" t="s">
        <v>3899</v>
      </c>
      <c r="C1262" s="28" t="s">
        <v>3951</v>
      </c>
      <c r="D1262" s="25" t="s">
        <v>13</v>
      </c>
      <c r="E1262" s="28" t="s">
        <v>3951</v>
      </c>
      <c r="F1262" s="28" t="s">
        <v>3952</v>
      </c>
      <c r="G1262" s="28">
        <v>500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3953</v>
      </c>
      <c r="B1263" s="26" t="s">
        <v>3899</v>
      </c>
      <c r="C1263" s="28" t="s">
        <v>3953</v>
      </c>
      <c r="D1263" s="25" t="s">
        <v>13</v>
      </c>
      <c r="E1263" s="28" t="s">
        <v>3953</v>
      </c>
      <c r="F1263" s="28" t="s">
        <v>3954</v>
      </c>
      <c r="G1263" s="28">
        <v>700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3955</v>
      </c>
      <c r="B1264" s="26" t="s">
        <v>3899</v>
      </c>
      <c r="C1264" s="28" t="s">
        <v>3955</v>
      </c>
      <c r="D1264" s="25" t="s">
        <v>13</v>
      </c>
      <c r="E1264" s="28" t="s">
        <v>3955</v>
      </c>
      <c r="F1264" s="28" t="s">
        <v>3956</v>
      </c>
      <c r="G1264" s="28">
        <v>800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3957</v>
      </c>
      <c r="B1265" s="26" t="s">
        <v>3899</v>
      </c>
      <c r="C1265" s="28" t="s">
        <v>3957</v>
      </c>
      <c r="D1265" s="25" t="s">
        <v>13</v>
      </c>
      <c r="E1265" s="28" t="s">
        <v>3957</v>
      </c>
      <c r="F1265" s="28" t="s">
        <v>3958</v>
      </c>
      <c r="G1265" s="28">
        <v>500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2186</v>
      </c>
      <c r="B1266" s="26" t="s">
        <v>3899</v>
      </c>
      <c r="C1266" s="28" t="s">
        <v>2186</v>
      </c>
      <c r="D1266" s="25" t="s">
        <v>13</v>
      </c>
      <c r="E1266" s="28" t="s">
        <v>2186</v>
      </c>
      <c r="F1266" s="28" t="s">
        <v>3959</v>
      </c>
      <c r="G1266" s="28">
        <v>500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3987</v>
      </c>
      <c r="B1267" s="26" t="s">
        <v>3899</v>
      </c>
      <c r="C1267" s="28" t="s">
        <v>3987</v>
      </c>
      <c r="D1267" s="25" t="s">
        <v>13</v>
      </c>
      <c r="E1267" s="28" t="s">
        <v>3987</v>
      </c>
      <c r="F1267" s="28" t="s">
        <v>3988</v>
      </c>
      <c r="G1267" s="28">
        <v>500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3961</v>
      </c>
      <c r="B1268" s="26" t="s">
        <v>3995</v>
      </c>
      <c r="C1268" s="28" t="s">
        <v>3961</v>
      </c>
      <c r="D1268" s="25" t="s">
        <v>13</v>
      </c>
      <c r="E1268" s="28" t="s">
        <v>3961</v>
      </c>
      <c r="F1268" s="28" t="s">
        <v>3962</v>
      </c>
      <c r="G1268" s="28">
        <v>500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4448</v>
      </c>
      <c r="B1269" s="26" t="s">
        <v>3995</v>
      </c>
      <c r="C1269" s="28" t="s">
        <v>4448</v>
      </c>
      <c r="D1269" s="25" t="s">
        <v>13</v>
      </c>
      <c r="E1269" s="28" t="s">
        <v>3963</v>
      </c>
      <c r="F1269" s="28" t="s">
        <v>3964</v>
      </c>
      <c r="G1269" s="28">
        <v>600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4586</v>
      </c>
      <c r="B1270" s="26" t="s">
        <v>3995</v>
      </c>
      <c r="C1270" s="28" t="s">
        <v>4586</v>
      </c>
      <c r="D1270" s="25" t="s">
        <v>13</v>
      </c>
      <c r="E1270" s="28" t="s">
        <v>3965</v>
      </c>
      <c r="F1270" s="28" t="s">
        <v>3966</v>
      </c>
      <c r="G1270" s="28">
        <v>550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4587</v>
      </c>
      <c r="B1271" s="26" t="s">
        <v>3995</v>
      </c>
      <c r="C1271" s="28" t="s">
        <v>4587</v>
      </c>
      <c r="D1271" s="25" t="s">
        <v>13</v>
      </c>
      <c r="E1271" s="28" t="s">
        <v>3965</v>
      </c>
      <c r="F1271" s="28" t="s">
        <v>4588</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3967</v>
      </c>
      <c r="B1272" s="26" t="s">
        <v>3996</v>
      </c>
      <c r="C1272" s="28" t="s">
        <v>3967</v>
      </c>
      <c r="D1272" s="25" t="s">
        <v>13</v>
      </c>
      <c r="E1272" s="28" t="s">
        <v>3967</v>
      </c>
      <c r="F1272" s="28" t="s">
        <v>3968</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3969</v>
      </c>
      <c r="B1273" s="26" t="s">
        <v>3996</v>
      </c>
      <c r="C1273" s="28" t="s">
        <v>3969</v>
      </c>
      <c r="D1273" s="25" t="s">
        <v>13</v>
      </c>
      <c r="E1273" s="28" t="s">
        <v>3969</v>
      </c>
      <c r="F1273" s="28" t="s">
        <v>3970</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4040</v>
      </c>
      <c r="B1274" s="26" t="s">
        <v>3996</v>
      </c>
      <c r="C1274" s="28" t="s">
        <v>4040</v>
      </c>
      <c r="D1274" s="25" t="s">
        <v>13</v>
      </c>
      <c r="E1274" s="28" t="s">
        <v>3971</v>
      </c>
      <c r="F1274" s="28" t="s">
        <v>3972</v>
      </c>
      <c r="G1274" s="28">
        <v>520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4041</v>
      </c>
      <c r="B1275" s="26" t="s">
        <v>3996</v>
      </c>
      <c r="C1275" s="28" t="s">
        <v>4041</v>
      </c>
      <c r="D1275" s="25" t="s">
        <v>13</v>
      </c>
      <c r="E1275" s="28" t="s">
        <v>3973</v>
      </c>
      <c r="F1275" s="28" t="s">
        <v>3974</v>
      </c>
      <c r="G1275" s="28">
        <v>500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4027</v>
      </c>
      <c r="B1276" s="26" t="s">
        <v>1116</v>
      </c>
      <c r="C1276" s="28" t="s">
        <v>4027</v>
      </c>
      <c r="D1276" s="25" t="s">
        <v>13</v>
      </c>
      <c r="E1276" s="28" t="s">
        <v>3910</v>
      </c>
      <c r="F1276" s="28" t="s">
        <v>3911</v>
      </c>
      <c r="G1276" s="28">
        <v>600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4033</v>
      </c>
      <c r="B1277" s="26" t="s">
        <v>1116</v>
      </c>
      <c r="C1277" s="28" t="s">
        <v>4033</v>
      </c>
      <c r="D1277" s="25" t="s">
        <v>13</v>
      </c>
      <c r="E1277" s="28" t="s">
        <v>3976</v>
      </c>
      <c r="F1277" s="28" t="s">
        <v>3977</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4034</v>
      </c>
      <c r="B1278" s="26" t="s">
        <v>1116</v>
      </c>
      <c r="C1278" s="28" t="s">
        <v>4034</v>
      </c>
      <c r="D1278" s="25" t="s">
        <v>13</v>
      </c>
      <c r="E1278" s="28" t="s">
        <v>4035</v>
      </c>
      <c r="F1278" s="28" t="s">
        <v>3978</v>
      </c>
      <c r="G1278" s="28">
        <v>550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3980</v>
      </c>
      <c r="B1279" s="26" t="s">
        <v>3997</v>
      </c>
      <c r="C1279" s="28" t="s">
        <v>3980</v>
      </c>
      <c r="D1279" s="25" t="s">
        <v>13</v>
      </c>
      <c r="E1279" s="28" t="s">
        <v>3980</v>
      </c>
      <c r="F1279" s="28" t="s">
        <v>3981</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3922</v>
      </c>
      <c r="B1280" s="26" t="s">
        <v>3998</v>
      </c>
      <c r="C1280" s="28" t="s">
        <v>3922</v>
      </c>
      <c r="D1280" s="25" t="s">
        <v>13</v>
      </c>
      <c r="E1280" s="28" t="s">
        <v>3922</v>
      </c>
      <c r="F1280" s="28" t="s">
        <v>3923</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3924</v>
      </c>
      <c r="B1281" s="26" t="s">
        <v>3998</v>
      </c>
      <c r="C1281" s="28" t="s">
        <v>3924</v>
      </c>
      <c r="D1281" s="25" t="s">
        <v>13</v>
      </c>
      <c r="E1281" s="28" t="s">
        <v>3924</v>
      </c>
      <c r="F1281" s="28" t="s">
        <v>3925</v>
      </c>
      <c r="G1281" s="28">
        <v>200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8" t="s">
        <v>3928</v>
      </c>
      <c r="B1282" s="26" t="s">
        <v>3998</v>
      </c>
      <c r="C1282" s="28" t="s">
        <v>3928</v>
      </c>
      <c r="D1282" s="25" t="s">
        <v>13</v>
      </c>
      <c r="E1282" s="28" t="s">
        <v>3928</v>
      </c>
      <c r="F1282" s="28" t="s">
        <v>3929</v>
      </c>
      <c r="G1282" s="28">
        <v>750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8" t="s">
        <v>3930</v>
      </c>
      <c r="B1283" s="26" t="s">
        <v>3998</v>
      </c>
      <c r="C1283" s="28" t="s">
        <v>3930</v>
      </c>
      <c r="D1283" s="25" t="s">
        <v>13</v>
      </c>
      <c r="E1283" s="28" t="s">
        <v>3930</v>
      </c>
      <c r="F1283" s="28" t="s">
        <v>3931</v>
      </c>
      <c r="G1283" s="28">
        <v>600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2186</v>
      </c>
      <c r="B1284" s="26" t="s">
        <v>3999</v>
      </c>
      <c r="C1284" s="28" t="s">
        <v>2186</v>
      </c>
      <c r="D1284" s="25" t="s">
        <v>13</v>
      </c>
      <c r="E1284" s="28" t="s">
        <v>2186</v>
      </c>
      <c r="F1284" s="28" t="s">
        <v>3984</v>
      </c>
      <c r="G1284" s="28">
        <v>600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3985</v>
      </c>
      <c r="B1285" s="26" t="s">
        <v>3999</v>
      </c>
      <c r="C1285" s="28" t="s">
        <v>3985</v>
      </c>
      <c r="D1285" s="25" t="s">
        <v>13</v>
      </c>
      <c r="E1285" s="28" t="s">
        <v>3985</v>
      </c>
      <c r="F1285" s="28" t="s">
        <v>3986</v>
      </c>
      <c r="G1285" s="28">
        <v>550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2189</v>
      </c>
      <c r="B1286" s="26" t="s">
        <v>3999</v>
      </c>
      <c r="C1286" s="28" t="s">
        <v>2189</v>
      </c>
      <c r="D1286" s="25" t="s">
        <v>13</v>
      </c>
      <c r="E1286" s="28" t="s">
        <v>2189</v>
      </c>
      <c r="F1286" s="28" t="s">
        <v>2190</v>
      </c>
      <c r="G1286" s="28">
        <v>650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2192</v>
      </c>
      <c r="B1287" s="26" t="s">
        <v>3999</v>
      </c>
      <c r="C1287" s="28" t="s">
        <v>2192</v>
      </c>
      <c r="D1287" s="25" t="s">
        <v>13</v>
      </c>
      <c r="E1287" s="28" t="s">
        <v>2192</v>
      </c>
      <c r="F1287" s="28" t="s">
        <v>2193</v>
      </c>
      <c r="G1287" s="28">
        <v>700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5" t="s">
        <v>4006</v>
      </c>
      <c r="B1288" s="35" t="s">
        <v>4005</v>
      </c>
      <c r="C1288" s="25" t="s">
        <v>4006</v>
      </c>
      <c r="D1288" s="25" t="s">
        <v>13</v>
      </c>
      <c r="E1288" s="25" t="s">
        <v>4008</v>
      </c>
      <c r="F1288" s="25" t="s">
        <v>4009</v>
      </c>
      <c r="G1288" s="25">
        <v>750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5" t="s">
        <v>4007</v>
      </c>
      <c r="B1289" s="35" t="s">
        <v>4005</v>
      </c>
      <c r="C1289" s="25" t="s">
        <v>4007</v>
      </c>
      <c r="D1289" s="25"/>
      <c r="E1289" s="25" t="s">
        <v>163</v>
      </c>
      <c r="F1289" s="25" t="s">
        <v>4010</v>
      </c>
      <c r="G1289" s="25">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8" t="s">
        <v>3953</v>
      </c>
      <c r="B1290" s="26" t="s">
        <v>4068</v>
      </c>
      <c r="C1290" s="28" t="s">
        <v>3953</v>
      </c>
      <c r="D1290" s="25" t="s">
        <v>13</v>
      </c>
      <c r="E1290" s="28" t="s">
        <v>3953</v>
      </c>
      <c r="F1290" s="28" t="s">
        <v>3954</v>
      </c>
      <c r="G1290" s="28">
        <v>700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8" t="s">
        <v>3955</v>
      </c>
      <c r="B1291" s="26" t="s">
        <v>4068</v>
      </c>
      <c r="C1291" s="28" t="s">
        <v>3955</v>
      </c>
      <c r="D1291" s="25" t="s">
        <v>13</v>
      </c>
      <c r="E1291" s="28" t="s">
        <v>3955</v>
      </c>
      <c r="F1291" s="28" t="s">
        <v>3956</v>
      </c>
      <c r="G1291" s="28">
        <v>800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8" t="s">
        <v>3957</v>
      </c>
      <c r="B1292" s="26" t="s">
        <v>4068</v>
      </c>
      <c r="C1292" s="28" t="s">
        <v>3957</v>
      </c>
      <c r="D1292" s="25" t="s">
        <v>13</v>
      </c>
      <c r="E1292" s="28" t="s">
        <v>3957</v>
      </c>
      <c r="F1292" s="28" t="s">
        <v>3958</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8" t="s">
        <v>3953</v>
      </c>
      <c r="B1293" s="26" t="s">
        <v>4070</v>
      </c>
      <c r="C1293" s="28" t="s">
        <v>3953</v>
      </c>
      <c r="D1293" s="25" t="s">
        <v>13</v>
      </c>
      <c r="E1293" s="28" t="s">
        <v>3953</v>
      </c>
      <c r="F1293" s="28" t="s">
        <v>3954</v>
      </c>
      <c r="G1293" s="28">
        <v>700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8" t="s">
        <v>3955</v>
      </c>
      <c r="B1294" s="26" t="s">
        <v>4070</v>
      </c>
      <c r="C1294" s="28" t="s">
        <v>3955</v>
      </c>
      <c r="D1294" s="25" t="s">
        <v>13</v>
      </c>
      <c r="E1294" s="28" t="s">
        <v>3955</v>
      </c>
      <c r="F1294" s="28" t="s">
        <v>3956</v>
      </c>
      <c r="G1294" s="28">
        <v>800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8" t="s">
        <v>3957</v>
      </c>
      <c r="B1295" s="26" t="s">
        <v>4070</v>
      </c>
      <c r="C1295" s="28" t="s">
        <v>3957</v>
      </c>
      <c r="D1295" s="25" t="s">
        <v>13</v>
      </c>
      <c r="E1295" s="28" t="s">
        <v>3957</v>
      </c>
      <c r="F1295" s="28" t="s">
        <v>3958</v>
      </c>
      <c r="G1295" s="28">
        <v>500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5" t="s">
        <v>4079</v>
      </c>
      <c r="B1296" s="26" t="s">
        <v>4076</v>
      </c>
      <c r="C1296" s="25" t="s">
        <v>4079</v>
      </c>
      <c r="D1296" s="25" t="s">
        <v>13</v>
      </c>
      <c r="E1296" s="25" t="s">
        <v>4081</v>
      </c>
      <c r="F1296" s="25" t="s">
        <v>4080</v>
      </c>
      <c r="G1296" s="25">
        <v>600</v>
      </c>
      <c r="H1296" s="25"/>
    </row>
    <row r="1297" spans="1:1008" ht="14">
      <c r="A1297" s="28" t="s">
        <v>3953</v>
      </c>
      <c r="B1297" s="26" t="s">
        <v>4075</v>
      </c>
      <c r="C1297" s="28" t="s">
        <v>3953</v>
      </c>
      <c r="D1297" s="25" t="s">
        <v>13</v>
      </c>
      <c r="E1297" s="28" t="s">
        <v>3953</v>
      </c>
      <c r="F1297" s="28" t="s">
        <v>3954</v>
      </c>
      <c r="G1297" s="28">
        <v>700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5" t="s">
        <v>4087</v>
      </c>
      <c r="B1298" s="26" t="s">
        <v>4083</v>
      </c>
      <c r="C1298" s="25" t="s">
        <v>4087</v>
      </c>
      <c r="D1298" s="25" t="s">
        <v>13</v>
      </c>
      <c r="E1298" s="25" t="s">
        <v>4086</v>
      </c>
      <c r="F1298" s="25" t="s">
        <v>4085</v>
      </c>
      <c r="G1298" s="25">
        <v>500</v>
      </c>
      <c r="H1298" s="25"/>
    </row>
    <row r="1299" spans="1:1008" ht="14">
      <c r="A1299" s="25" t="s">
        <v>4098</v>
      </c>
      <c r="B1299" s="26" t="s">
        <v>4089</v>
      </c>
      <c r="C1299" s="25" t="s">
        <v>4090</v>
      </c>
      <c r="D1299" s="25" t="s">
        <v>13</v>
      </c>
      <c r="E1299" s="25" t="s">
        <v>4090</v>
      </c>
      <c r="F1299" s="25" t="s">
        <v>4091</v>
      </c>
      <c r="G1299" s="25">
        <v>600</v>
      </c>
      <c r="H1299" s="25"/>
    </row>
    <row r="1300" spans="1:1008" ht="14">
      <c r="A1300" s="25" t="s">
        <v>4099</v>
      </c>
      <c r="B1300" s="26" t="s">
        <v>4089</v>
      </c>
      <c r="C1300" s="25" t="s">
        <v>4092</v>
      </c>
      <c r="D1300" s="25" t="s">
        <v>13</v>
      </c>
      <c r="E1300" s="25" t="s">
        <v>4092</v>
      </c>
      <c r="F1300" s="25" t="s">
        <v>4093</v>
      </c>
      <c r="G1300" s="25">
        <v>600</v>
      </c>
      <c r="H1300" s="25"/>
    </row>
    <row r="1301" spans="1:1008" ht="14">
      <c r="A1301" s="25" t="s">
        <v>4100</v>
      </c>
      <c r="B1301" s="26" t="s">
        <v>4089</v>
      </c>
      <c r="C1301" s="25" t="s">
        <v>4094</v>
      </c>
      <c r="D1301" s="25" t="s">
        <v>13</v>
      </c>
      <c r="E1301" s="25" t="s">
        <v>4094</v>
      </c>
      <c r="F1301" s="25" t="s">
        <v>4095</v>
      </c>
      <c r="G1301" s="25">
        <v>500</v>
      </c>
      <c r="H1301" s="25"/>
    </row>
    <row r="1302" spans="1:1008" ht="14">
      <c r="A1302" s="25" t="s">
        <v>4101</v>
      </c>
      <c r="B1302" s="26" t="s">
        <v>4089</v>
      </c>
      <c r="C1302" s="25" t="s">
        <v>4096</v>
      </c>
      <c r="D1302" s="25" t="s">
        <v>13</v>
      </c>
      <c r="E1302" s="25" t="s">
        <v>4096</v>
      </c>
      <c r="F1302" s="25" t="s">
        <v>4097</v>
      </c>
      <c r="G1302" s="25">
        <v>500</v>
      </c>
      <c r="H1302" s="25"/>
    </row>
    <row r="1303" spans="1:1008" ht="14">
      <c r="A1303" s="25" t="s">
        <v>4107</v>
      </c>
      <c r="B1303" s="26" t="s">
        <v>4103</v>
      </c>
      <c r="C1303" s="25" t="s">
        <v>4109</v>
      </c>
      <c r="D1303" s="25" t="s">
        <v>13</v>
      </c>
      <c r="E1303" s="25" t="s">
        <v>4109</v>
      </c>
      <c r="F1303" s="25" t="s">
        <v>4111</v>
      </c>
      <c r="G1303" s="25">
        <v>500</v>
      </c>
      <c r="H1303" s="25"/>
    </row>
    <row r="1304" spans="1:1008" ht="14">
      <c r="A1304" s="25" t="s">
        <v>4108</v>
      </c>
      <c r="B1304" s="26" t="s">
        <v>4103</v>
      </c>
      <c r="C1304" s="25" t="s">
        <v>4110</v>
      </c>
      <c r="D1304" s="25" t="s">
        <v>13</v>
      </c>
      <c r="E1304" s="25" t="s">
        <v>4110</v>
      </c>
      <c r="F1304" s="25" t="s">
        <v>4112</v>
      </c>
      <c r="G1304" s="25">
        <v>500</v>
      </c>
      <c r="H1304" s="25"/>
    </row>
    <row r="1305" spans="1:1008" ht="14">
      <c r="A1305" s="25" t="s">
        <v>2186</v>
      </c>
      <c r="B1305" s="35" t="s">
        <v>4115</v>
      </c>
      <c r="C1305" s="25" t="s">
        <v>2186</v>
      </c>
      <c r="D1305" s="25" t="s">
        <v>13</v>
      </c>
      <c r="E1305" s="25" t="s">
        <v>4348</v>
      </c>
      <c r="F1305" s="25" t="s">
        <v>4127</v>
      </c>
      <c r="G1305" s="25">
        <v>500</v>
      </c>
      <c r="H1305" s="25"/>
    </row>
    <row r="1306" spans="1:1008" ht="14">
      <c r="A1306" s="25" t="s">
        <v>2186</v>
      </c>
      <c r="B1306" s="35" t="s">
        <v>4116</v>
      </c>
      <c r="C1306" s="25" t="s">
        <v>2186</v>
      </c>
      <c r="D1306" s="25" t="s">
        <v>13</v>
      </c>
      <c r="E1306" s="25" t="s">
        <v>4348</v>
      </c>
      <c r="F1306" s="25" t="s">
        <v>4127</v>
      </c>
      <c r="G1306" s="25">
        <v>500</v>
      </c>
      <c r="H1306" s="25"/>
    </row>
    <row r="1307" spans="1:1008" ht="14">
      <c r="A1307" s="25" t="s">
        <v>2186</v>
      </c>
      <c r="B1307" s="35" t="s">
        <v>4119</v>
      </c>
      <c r="C1307" s="25" t="s">
        <v>2186</v>
      </c>
      <c r="D1307" s="25" t="s">
        <v>13</v>
      </c>
      <c r="E1307" s="25" t="s">
        <v>4126</v>
      </c>
      <c r="F1307" s="25" t="s">
        <v>4128</v>
      </c>
      <c r="G1307" s="25">
        <v>500</v>
      </c>
      <c r="H1307" s="25"/>
    </row>
    <row r="1308" spans="1:1008" ht="14">
      <c r="A1308" s="25" t="s">
        <v>2186</v>
      </c>
      <c r="B1308" s="35" t="s">
        <v>4114</v>
      </c>
      <c r="C1308" s="25" t="s">
        <v>2186</v>
      </c>
      <c r="D1308" s="25" t="s">
        <v>13</v>
      </c>
      <c r="E1308" s="25" t="s">
        <v>4348</v>
      </c>
      <c r="F1308" s="25" t="s">
        <v>4127</v>
      </c>
      <c r="G1308" s="25">
        <v>500</v>
      </c>
      <c r="H1308" s="25"/>
    </row>
    <row r="1309" spans="1:1008" ht="14">
      <c r="A1309" s="25" t="s">
        <v>4132</v>
      </c>
      <c r="B1309" s="35" t="s">
        <v>4129</v>
      </c>
      <c r="C1309" s="25" t="s">
        <v>4132</v>
      </c>
      <c r="D1309" s="25" t="s">
        <v>13</v>
      </c>
      <c r="E1309" s="25" t="s">
        <v>4138</v>
      </c>
      <c r="F1309" s="25" t="s">
        <v>4142</v>
      </c>
      <c r="G1309" s="25">
        <v>500</v>
      </c>
      <c r="H1309" s="25"/>
    </row>
    <row r="1310" spans="1:1008" ht="14">
      <c r="A1310" s="25" t="s">
        <v>4133</v>
      </c>
      <c r="B1310" s="35" t="s">
        <v>4129</v>
      </c>
      <c r="C1310" s="25" t="s">
        <v>4133</v>
      </c>
      <c r="D1310" s="25" t="s">
        <v>13</v>
      </c>
      <c r="E1310" s="25" t="s">
        <v>4139</v>
      </c>
      <c r="F1310" s="25" t="s">
        <v>4143</v>
      </c>
      <c r="G1310" s="25">
        <v>500</v>
      </c>
      <c r="H1310" s="25"/>
    </row>
    <row r="1311" spans="1:1008" ht="14">
      <c r="A1311" s="25" t="s">
        <v>4135</v>
      </c>
      <c r="B1311" s="35" t="s">
        <v>4129</v>
      </c>
      <c r="C1311" s="25" t="s">
        <v>4135</v>
      </c>
      <c r="D1311" s="25" t="s">
        <v>13</v>
      </c>
      <c r="E1311" s="25" t="s">
        <v>4134</v>
      </c>
      <c r="F1311" s="25" t="s">
        <v>4144</v>
      </c>
      <c r="G1311" s="25">
        <v>650</v>
      </c>
      <c r="H1311" s="25"/>
    </row>
    <row r="1312" spans="1:1008" ht="14">
      <c r="A1312" s="25" t="s">
        <v>4136</v>
      </c>
      <c r="B1312" s="35" t="s">
        <v>4129</v>
      </c>
      <c r="C1312" s="25" t="s">
        <v>4136</v>
      </c>
      <c r="D1312" s="25" t="s">
        <v>13</v>
      </c>
      <c r="E1312" s="25" t="s">
        <v>4140</v>
      </c>
      <c r="F1312" s="25" t="s">
        <v>4145</v>
      </c>
      <c r="G1312" s="25">
        <v>500</v>
      </c>
      <c r="H1312" s="25"/>
    </row>
    <row r="1313" spans="1:8" ht="14">
      <c r="A1313" s="25" t="s">
        <v>4137</v>
      </c>
      <c r="B1313" s="35" t="s">
        <v>4129</v>
      </c>
      <c r="C1313" s="25" t="s">
        <v>4137</v>
      </c>
      <c r="D1313" s="25" t="s">
        <v>13</v>
      </c>
      <c r="E1313" s="25" t="s">
        <v>4141</v>
      </c>
      <c r="F1313" s="25" t="s">
        <v>4146</v>
      </c>
      <c r="G1313" s="25">
        <v>500</v>
      </c>
      <c r="H1313" s="25"/>
    </row>
    <row r="1314" spans="1:8" ht="14">
      <c r="A1314" s="25" t="s">
        <v>4147</v>
      </c>
      <c r="B1314" s="35" t="s">
        <v>4129</v>
      </c>
      <c r="C1314" s="25" t="s">
        <v>4147</v>
      </c>
      <c r="D1314" s="25" t="s">
        <v>13</v>
      </c>
      <c r="E1314" s="25" t="s">
        <v>4149</v>
      </c>
      <c r="F1314" s="25" t="s">
        <v>4151</v>
      </c>
      <c r="G1314" s="25">
        <v>500</v>
      </c>
      <c r="H1314" s="25"/>
    </row>
    <row r="1315" spans="1:8" ht="14">
      <c r="A1315" s="25" t="s">
        <v>4148</v>
      </c>
      <c r="B1315" s="35" t="s">
        <v>4129</v>
      </c>
      <c r="C1315" s="25" t="s">
        <v>4148</v>
      </c>
      <c r="D1315" s="25" t="s">
        <v>13</v>
      </c>
      <c r="E1315" s="25" t="s">
        <v>4150</v>
      </c>
      <c r="F1315" s="25" t="s">
        <v>4152</v>
      </c>
      <c r="G1315" s="25">
        <v>500</v>
      </c>
      <c r="H1315" s="25"/>
    </row>
    <row r="1316" spans="1:8" ht="14">
      <c r="A1316" s="25" t="s">
        <v>4160</v>
      </c>
      <c r="B1316" s="35" t="s">
        <v>4157</v>
      </c>
      <c r="C1316" s="25" t="s">
        <v>4160</v>
      </c>
      <c r="D1316" s="25" t="s">
        <v>13</v>
      </c>
      <c r="E1316" s="25" t="s">
        <v>4160</v>
      </c>
      <c r="F1316" s="25" t="s">
        <v>4175</v>
      </c>
      <c r="G1316" s="25">
        <v>500</v>
      </c>
      <c r="H1316" s="25"/>
    </row>
    <row r="1317" spans="1:8" ht="14">
      <c r="A1317" s="25" t="s">
        <v>4161</v>
      </c>
      <c r="B1317" s="35" t="s">
        <v>4157</v>
      </c>
      <c r="C1317" s="25" t="s">
        <v>4161</v>
      </c>
      <c r="D1317" s="25" t="s">
        <v>13</v>
      </c>
      <c r="E1317" s="25" t="s">
        <v>4161</v>
      </c>
      <c r="F1317" s="25" t="s">
        <v>4176</v>
      </c>
      <c r="G1317" s="25">
        <v>500</v>
      </c>
      <c r="H1317" s="25"/>
    </row>
    <row r="1318" spans="1:8" ht="14">
      <c r="A1318" s="25" t="s">
        <v>4162</v>
      </c>
      <c r="B1318" s="35" t="s">
        <v>4157</v>
      </c>
      <c r="C1318" s="25" t="s">
        <v>4162</v>
      </c>
      <c r="D1318" s="25" t="s">
        <v>13</v>
      </c>
      <c r="E1318" s="25" t="s">
        <v>4162</v>
      </c>
      <c r="F1318" s="25" t="s">
        <v>4177</v>
      </c>
      <c r="G1318" s="25">
        <v>500</v>
      </c>
      <c r="H1318" s="25"/>
    </row>
    <row r="1319" spans="1:8" ht="14">
      <c r="A1319" s="25" t="s">
        <v>4163</v>
      </c>
      <c r="B1319" s="35" t="s">
        <v>4157</v>
      </c>
      <c r="C1319" s="25" t="s">
        <v>4163</v>
      </c>
      <c r="D1319" s="25" t="s">
        <v>13</v>
      </c>
      <c r="E1319" s="25" t="s">
        <v>4163</v>
      </c>
      <c r="F1319" s="25" t="s">
        <v>4178</v>
      </c>
      <c r="G1319" s="25">
        <v>500</v>
      </c>
      <c r="H1319" s="25"/>
    </row>
    <row r="1320" spans="1:8" ht="14">
      <c r="A1320" s="25" t="s">
        <v>642</v>
      </c>
      <c r="B1320" s="35" t="s">
        <v>4157</v>
      </c>
      <c r="C1320" s="25" t="s">
        <v>642</v>
      </c>
      <c r="D1320" s="25" t="s">
        <v>13</v>
      </c>
      <c r="E1320" s="25" t="s">
        <v>642</v>
      </c>
      <c r="F1320" s="25" t="s">
        <v>4179</v>
      </c>
      <c r="G1320" s="25">
        <v>500</v>
      </c>
      <c r="H1320" s="25"/>
    </row>
    <row r="1321" spans="1:8" ht="14">
      <c r="A1321" s="25" t="s">
        <v>4164</v>
      </c>
      <c r="B1321" s="35" t="s">
        <v>4157</v>
      </c>
      <c r="C1321" s="25" t="s">
        <v>4164</v>
      </c>
      <c r="D1321" s="25" t="s">
        <v>13</v>
      </c>
      <c r="E1321" s="25" t="s">
        <v>4164</v>
      </c>
      <c r="F1321" s="25" t="s">
        <v>4180</v>
      </c>
      <c r="G1321" s="25">
        <v>500</v>
      </c>
      <c r="H1321" s="25"/>
    </row>
    <row r="1322" spans="1:8" ht="14">
      <c r="A1322" s="25" t="s">
        <v>4165</v>
      </c>
      <c r="B1322" s="35" t="s">
        <v>4157</v>
      </c>
      <c r="C1322" s="25" t="s">
        <v>4165</v>
      </c>
      <c r="D1322" s="25" t="s">
        <v>13</v>
      </c>
      <c r="E1322" s="25" t="s">
        <v>4165</v>
      </c>
      <c r="F1322" s="25" t="s">
        <v>4181</v>
      </c>
      <c r="G1322" s="25">
        <v>500</v>
      </c>
      <c r="H1322" s="25"/>
    </row>
    <row r="1323" spans="1:8" ht="14">
      <c r="A1323" s="25" t="s">
        <v>4166</v>
      </c>
      <c r="B1323" s="35" t="s">
        <v>4157</v>
      </c>
      <c r="C1323" s="25" t="s">
        <v>4166</v>
      </c>
      <c r="D1323" s="25" t="s">
        <v>13</v>
      </c>
      <c r="E1323" s="25" t="s">
        <v>4166</v>
      </c>
      <c r="F1323" s="25" t="s">
        <v>4182</v>
      </c>
      <c r="G1323" s="25">
        <v>500</v>
      </c>
      <c r="H1323" s="25"/>
    </row>
    <row r="1324" spans="1:8" ht="14">
      <c r="A1324" s="25" t="s">
        <v>4167</v>
      </c>
      <c r="B1324" s="35" t="s">
        <v>4157</v>
      </c>
      <c r="C1324" s="25" t="s">
        <v>4167</v>
      </c>
      <c r="D1324" s="25" t="s">
        <v>13</v>
      </c>
      <c r="E1324" s="25" t="s">
        <v>4167</v>
      </c>
      <c r="F1324" s="25" t="s">
        <v>4183</v>
      </c>
      <c r="G1324" s="25">
        <v>500</v>
      </c>
      <c r="H1324" s="25"/>
    </row>
    <row r="1325" spans="1:8" ht="14">
      <c r="A1325" s="25" t="s">
        <v>4168</v>
      </c>
      <c r="B1325" s="35" t="s">
        <v>4157</v>
      </c>
      <c r="C1325" s="25" t="s">
        <v>4168</v>
      </c>
      <c r="D1325" s="25" t="s">
        <v>13</v>
      </c>
      <c r="E1325" s="25" t="s">
        <v>4168</v>
      </c>
      <c r="F1325" s="25" t="s">
        <v>4184</v>
      </c>
      <c r="G1325" s="25">
        <v>500</v>
      </c>
      <c r="H1325" s="25"/>
    </row>
    <row r="1326" spans="1:8" ht="14">
      <c r="A1326" s="25" t="s">
        <v>4169</v>
      </c>
      <c r="B1326" s="35" t="s">
        <v>4157</v>
      </c>
      <c r="C1326" s="25" t="s">
        <v>4169</v>
      </c>
      <c r="D1326" s="25" t="s">
        <v>13</v>
      </c>
      <c r="E1326" s="25" t="s">
        <v>4169</v>
      </c>
      <c r="F1326" s="25" t="s">
        <v>4185</v>
      </c>
      <c r="G1326" s="25">
        <v>500</v>
      </c>
      <c r="H1326" s="25"/>
    </row>
    <row r="1327" spans="1:8" ht="14">
      <c r="A1327" s="25" t="s">
        <v>4170</v>
      </c>
      <c r="B1327" s="35" t="s">
        <v>4157</v>
      </c>
      <c r="C1327" s="25" t="s">
        <v>4170</v>
      </c>
      <c r="D1327" s="25" t="s">
        <v>13</v>
      </c>
      <c r="E1327" s="25" t="s">
        <v>4170</v>
      </c>
      <c r="F1327" s="25" t="s">
        <v>4186</v>
      </c>
      <c r="G1327" s="25">
        <v>500</v>
      </c>
      <c r="H1327" s="25"/>
    </row>
    <row r="1328" spans="1:8" ht="14">
      <c r="A1328" s="25" t="s">
        <v>4171</v>
      </c>
      <c r="B1328" s="35" t="s">
        <v>4157</v>
      </c>
      <c r="C1328" s="25" t="s">
        <v>4171</v>
      </c>
      <c r="D1328" s="25" t="s">
        <v>13</v>
      </c>
      <c r="E1328" s="25" t="s">
        <v>4171</v>
      </c>
      <c r="F1328" s="25" t="s">
        <v>4187</v>
      </c>
      <c r="G1328" s="25">
        <v>500</v>
      </c>
      <c r="H1328" s="25"/>
    </row>
    <row r="1329" spans="1:8" ht="14">
      <c r="A1329" s="25" t="s">
        <v>4172</v>
      </c>
      <c r="B1329" s="35" t="s">
        <v>4157</v>
      </c>
      <c r="C1329" s="25" t="s">
        <v>4172</v>
      </c>
      <c r="D1329" s="25" t="s">
        <v>13</v>
      </c>
      <c r="E1329" s="25" t="s">
        <v>4172</v>
      </c>
      <c r="F1329" s="25" t="s">
        <v>4188</v>
      </c>
      <c r="G1329" s="25">
        <v>500</v>
      </c>
      <c r="H1329" s="25"/>
    </row>
    <row r="1330" spans="1:8" ht="14">
      <c r="A1330" s="25" t="s">
        <v>4173</v>
      </c>
      <c r="B1330" s="35" t="s">
        <v>4157</v>
      </c>
      <c r="C1330" s="25" t="s">
        <v>4173</v>
      </c>
      <c r="D1330" s="25" t="s">
        <v>13</v>
      </c>
      <c r="E1330" s="25" t="s">
        <v>4173</v>
      </c>
      <c r="F1330" s="25" t="s">
        <v>4189</v>
      </c>
      <c r="G1330" s="25">
        <v>500</v>
      </c>
      <c r="H1330" s="25"/>
    </row>
    <row r="1331" spans="1:8" ht="14">
      <c r="A1331" s="25" t="s">
        <v>4174</v>
      </c>
      <c r="B1331" s="35" t="s">
        <v>4157</v>
      </c>
      <c r="C1331" s="25" t="s">
        <v>4174</v>
      </c>
      <c r="D1331" s="25" t="s">
        <v>13</v>
      </c>
      <c r="E1331" s="25" t="s">
        <v>4174</v>
      </c>
      <c r="F1331" s="25" t="s">
        <v>4190</v>
      </c>
      <c r="G1331" s="25">
        <v>600</v>
      </c>
      <c r="H1331" s="25"/>
    </row>
    <row r="1332" spans="1:8" ht="14">
      <c r="A1332" s="25" t="s">
        <v>1777</v>
      </c>
      <c r="B1332" s="35" t="s">
        <v>4218</v>
      </c>
      <c r="C1332" s="25" t="s">
        <v>1777</v>
      </c>
      <c r="D1332" s="25" t="s">
        <v>13</v>
      </c>
      <c r="E1332" s="25" t="s">
        <v>2827</v>
      </c>
      <c r="F1332" s="25" t="s">
        <v>4221</v>
      </c>
      <c r="G1332" s="25">
        <v>600</v>
      </c>
      <c r="H1332" s="25"/>
    </row>
    <row r="1333" spans="1:8" ht="14">
      <c r="A1333" s="25" t="s">
        <v>4220</v>
      </c>
      <c r="B1333" s="35" t="s">
        <v>4218</v>
      </c>
      <c r="C1333" s="25" t="s">
        <v>0</v>
      </c>
      <c r="D1333" s="25" t="s">
        <v>13</v>
      </c>
      <c r="E1333" s="25" t="s">
        <v>4222</v>
      </c>
      <c r="F1333" s="25" t="s">
        <v>4223</v>
      </c>
      <c r="G1333" s="25">
        <v>550</v>
      </c>
      <c r="H1333" s="25"/>
    </row>
    <row r="1334" spans="1:8" ht="14">
      <c r="A1334" s="25" t="s">
        <v>4214</v>
      </c>
      <c r="B1334" s="35" t="s">
        <v>30</v>
      </c>
      <c r="C1334" s="25" t="s">
        <v>4214</v>
      </c>
      <c r="D1334" s="25" t="s">
        <v>13</v>
      </c>
      <c r="E1334" s="25" t="s">
        <v>3159</v>
      </c>
      <c r="F1334" s="25" t="s">
        <v>4406</v>
      </c>
      <c r="G1334" s="25">
        <v>500</v>
      </c>
      <c r="H1334" s="25"/>
    </row>
    <row r="1335" spans="1:8" ht="14">
      <c r="A1335" s="25" t="s">
        <v>4215</v>
      </c>
      <c r="B1335" s="35" t="s">
        <v>30</v>
      </c>
      <c r="C1335" s="25" t="s">
        <v>4215</v>
      </c>
      <c r="D1335" s="25" t="s">
        <v>13</v>
      </c>
      <c r="E1335" s="25" t="s">
        <v>4216</v>
      </c>
      <c r="F1335" s="25" t="s">
        <v>4217</v>
      </c>
      <c r="G1335" s="25">
        <v>450</v>
      </c>
      <c r="H1335" s="25"/>
    </row>
    <row r="1336" spans="1:8" ht="14">
      <c r="A1336" s="25" t="s">
        <v>4215</v>
      </c>
      <c r="B1336" s="35" t="s">
        <v>2823</v>
      </c>
      <c r="C1336" s="25" t="s">
        <v>4215</v>
      </c>
      <c r="D1336" s="25" t="s">
        <v>13</v>
      </c>
      <c r="E1336" s="25" t="s">
        <v>4216</v>
      </c>
      <c r="F1336" s="25" t="s">
        <v>4328</v>
      </c>
      <c r="G1336" s="25">
        <v>500</v>
      </c>
      <c r="H1336" s="25"/>
    </row>
    <row r="1337" spans="1:8" ht="14">
      <c r="A1337" s="25" t="str">
        <f>LOWER(C1337)</f>
        <v>hematoxylin</v>
      </c>
      <c r="B1337" s="35" t="s">
        <v>4224</v>
      </c>
      <c r="C1337" s="25" t="s">
        <v>4284</v>
      </c>
      <c r="D1337" s="25" t="s">
        <v>13</v>
      </c>
      <c r="E1337" s="25" t="s">
        <v>4226</v>
      </c>
      <c r="F1337" s="25" t="s">
        <v>4227</v>
      </c>
      <c r="G1337" s="25">
        <v>500</v>
      </c>
      <c r="H1337" s="25"/>
    </row>
    <row r="1338" spans="1:8" ht="14">
      <c r="A1338" s="25" t="str">
        <f t="shared" ref="A1338:A1365" si="19">LOWER(C1338)</f>
        <v>eosin</v>
      </c>
      <c r="B1338" s="35" t="s">
        <v>4224</v>
      </c>
      <c r="C1338" s="25" t="s">
        <v>4285</v>
      </c>
      <c r="D1338" s="25" t="s">
        <v>13</v>
      </c>
      <c r="E1338" s="25" t="s">
        <v>4228</v>
      </c>
      <c r="F1338" s="25" t="s">
        <v>4229</v>
      </c>
      <c r="G1338" s="25">
        <v>500</v>
      </c>
      <c r="H1338" s="25"/>
    </row>
    <row r="1339" spans="1:8" ht="14">
      <c r="A1339" s="25" t="str">
        <f t="shared" si="19"/>
        <v>dapi</v>
      </c>
      <c r="B1339" s="35" t="s">
        <v>4224</v>
      </c>
      <c r="C1339" s="25" t="s">
        <v>4286</v>
      </c>
      <c r="D1339" s="25" t="s">
        <v>13</v>
      </c>
      <c r="E1339" s="25" t="s">
        <v>4230</v>
      </c>
      <c r="F1339" s="25" t="s">
        <v>4231</v>
      </c>
      <c r="G1339" s="25">
        <v>500</v>
      </c>
      <c r="H1339" s="25"/>
    </row>
    <row r="1340" spans="1:8" ht="14">
      <c r="A1340" s="25" t="str">
        <f t="shared" si="19"/>
        <v>hoechst33342</v>
      </c>
      <c r="B1340" s="35" t="s">
        <v>4224</v>
      </c>
      <c r="C1340" s="25" t="s">
        <v>4291</v>
      </c>
      <c r="D1340" s="25" t="s">
        <v>13</v>
      </c>
      <c r="E1340" s="25" t="s">
        <v>4232</v>
      </c>
      <c r="F1340" s="25" t="s">
        <v>4233</v>
      </c>
      <c r="G1340" s="25">
        <v>500</v>
      </c>
      <c r="H1340" s="25"/>
    </row>
    <row r="1341" spans="1:8" ht="14">
      <c r="A1341" s="25" t="str">
        <f t="shared" si="19"/>
        <v>propidium_iodide</v>
      </c>
      <c r="B1341" s="35" t="s">
        <v>4224</v>
      </c>
      <c r="C1341" s="25" t="s">
        <v>4292</v>
      </c>
      <c r="D1341" s="25" t="s">
        <v>13</v>
      </c>
      <c r="E1341" s="25" t="s">
        <v>4234</v>
      </c>
      <c r="F1341" s="25" t="s">
        <v>4235</v>
      </c>
      <c r="G1341" s="25">
        <v>500</v>
      </c>
      <c r="H1341" s="25"/>
    </row>
    <row r="1342" spans="1:8" ht="14">
      <c r="A1342" s="25" t="str">
        <f t="shared" si="19"/>
        <v>acridine_orange</v>
      </c>
      <c r="B1342" s="35" t="s">
        <v>4224</v>
      </c>
      <c r="C1342" s="25" t="s">
        <v>4293</v>
      </c>
      <c r="D1342" s="25" t="s">
        <v>13</v>
      </c>
      <c r="E1342" s="25" t="s">
        <v>4236</v>
      </c>
      <c r="F1342" s="25" t="s">
        <v>4237</v>
      </c>
      <c r="G1342" s="25">
        <v>500</v>
      </c>
      <c r="H1342" s="25"/>
    </row>
    <row r="1343" spans="1:8" ht="14">
      <c r="A1343" s="25" t="str">
        <f t="shared" si="19"/>
        <v>crystal_violet</v>
      </c>
      <c r="B1343" s="35" t="s">
        <v>4224</v>
      </c>
      <c r="C1343" s="25" t="s">
        <v>4294</v>
      </c>
      <c r="D1343" s="25" t="s">
        <v>13</v>
      </c>
      <c r="E1343" s="25" t="s">
        <v>4238</v>
      </c>
      <c r="F1343" s="25" t="s">
        <v>4239</v>
      </c>
      <c r="G1343" s="25">
        <v>500</v>
      </c>
      <c r="H1343" s="25"/>
    </row>
    <row r="1344" spans="1:8" ht="14">
      <c r="A1344" s="25" t="str">
        <f t="shared" si="19"/>
        <v>safranin</v>
      </c>
      <c r="B1344" s="35" t="s">
        <v>4224</v>
      </c>
      <c r="C1344" s="25" t="s">
        <v>4287</v>
      </c>
      <c r="D1344" s="25" t="s">
        <v>13</v>
      </c>
      <c r="E1344" s="25" t="s">
        <v>4240</v>
      </c>
      <c r="F1344" s="25" t="s">
        <v>4241</v>
      </c>
      <c r="G1344" s="25">
        <v>500</v>
      </c>
      <c r="H1344" s="25"/>
    </row>
    <row r="1345" spans="1:8" ht="14">
      <c r="A1345" s="25" t="str">
        <f t="shared" si="19"/>
        <v>methylene_blue</v>
      </c>
      <c r="B1345" s="35" t="s">
        <v>4224</v>
      </c>
      <c r="C1345" s="25" t="s">
        <v>4295</v>
      </c>
      <c r="D1345" s="25" t="s">
        <v>13</v>
      </c>
      <c r="E1345" s="25" t="s">
        <v>4242</v>
      </c>
      <c r="F1345" s="25" t="s">
        <v>4243</v>
      </c>
      <c r="G1345" s="25">
        <v>500</v>
      </c>
      <c r="H1345" s="25"/>
    </row>
    <row r="1346" spans="1:8" ht="14">
      <c r="A1346" s="25" t="str">
        <f t="shared" si="19"/>
        <v>malachite_green</v>
      </c>
      <c r="B1346" s="35" t="s">
        <v>4224</v>
      </c>
      <c r="C1346" s="25" t="s">
        <v>4296</v>
      </c>
      <c r="D1346" s="25" t="s">
        <v>13</v>
      </c>
      <c r="E1346" s="25" t="s">
        <v>4244</v>
      </c>
      <c r="F1346" s="25" t="s">
        <v>4245</v>
      </c>
      <c r="G1346" s="25">
        <v>500</v>
      </c>
      <c r="H1346" s="25"/>
    </row>
    <row r="1347" spans="1:8" ht="14">
      <c r="A1347" s="25" t="str">
        <f t="shared" si="19"/>
        <v>nigrosin</v>
      </c>
      <c r="B1347" s="35" t="s">
        <v>4224</v>
      </c>
      <c r="C1347" s="25" t="s">
        <v>4288</v>
      </c>
      <c r="D1347" s="25" t="s">
        <v>13</v>
      </c>
      <c r="E1347" s="25" t="s">
        <v>4246</v>
      </c>
      <c r="F1347" s="25" t="s">
        <v>4247</v>
      </c>
      <c r="G1347" s="25">
        <v>500</v>
      </c>
      <c r="H1347" s="25"/>
    </row>
    <row r="1348" spans="1:8" ht="14">
      <c r="A1348" s="25" t="str">
        <f t="shared" si="19"/>
        <v>india_ink</v>
      </c>
      <c r="B1348" s="35" t="s">
        <v>4224</v>
      </c>
      <c r="C1348" s="25" t="s">
        <v>4297</v>
      </c>
      <c r="D1348" s="25" t="s">
        <v>13</v>
      </c>
      <c r="E1348" s="25" t="s">
        <v>4248</v>
      </c>
      <c r="F1348" s="25" t="s">
        <v>4249</v>
      </c>
      <c r="G1348" s="25">
        <v>500</v>
      </c>
      <c r="H1348" s="25"/>
    </row>
    <row r="1349" spans="1:8" ht="14">
      <c r="A1349" s="25" t="str">
        <f t="shared" si="19"/>
        <v>calcofluor_white</v>
      </c>
      <c r="B1349" s="35" t="s">
        <v>4224</v>
      </c>
      <c r="C1349" s="25" t="s">
        <v>4298</v>
      </c>
      <c r="D1349" s="25" t="s">
        <v>13</v>
      </c>
      <c r="E1349" s="25" t="s">
        <v>4250</v>
      </c>
      <c r="F1349" s="25" t="s">
        <v>4251</v>
      </c>
      <c r="G1349" s="25">
        <v>500</v>
      </c>
      <c r="H1349" s="25"/>
    </row>
    <row r="1350" spans="1:8" ht="14">
      <c r="A1350" s="25" t="str">
        <f t="shared" si="19"/>
        <v>rhodamine</v>
      </c>
      <c r="B1350" s="35" t="s">
        <v>4224</v>
      </c>
      <c r="C1350" s="25" t="s">
        <v>4289</v>
      </c>
      <c r="D1350" s="25" t="s">
        <v>13</v>
      </c>
      <c r="E1350" s="25" t="s">
        <v>4252</v>
      </c>
      <c r="F1350" s="25" t="s">
        <v>4253</v>
      </c>
      <c r="G1350" s="25">
        <v>500</v>
      </c>
      <c r="H1350" s="25"/>
    </row>
    <row r="1351" spans="1:8" ht="14">
      <c r="A1351" s="25" t="str">
        <f t="shared" si="19"/>
        <v>fluorescein</v>
      </c>
      <c r="B1351" s="35" t="s">
        <v>4224</v>
      </c>
      <c r="C1351" s="25" t="s">
        <v>4290</v>
      </c>
      <c r="D1351" s="25" t="s">
        <v>13</v>
      </c>
      <c r="E1351" s="25" t="s">
        <v>4254</v>
      </c>
      <c r="F1351" s="25" t="s">
        <v>4255</v>
      </c>
      <c r="G1351" s="25">
        <v>500</v>
      </c>
      <c r="H1351" s="25"/>
    </row>
    <row r="1352" spans="1:8" ht="14">
      <c r="A1352" s="25" t="str">
        <f t="shared" si="19"/>
        <v>congo_red</v>
      </c>
      <c r="B1352" s="35" t="s">
        <v>4224</v>
      </c>
      <c r="C1352" s="25" t="s">
        <v>4299</v>
      </c>
      <c r="D1352" s="25" t="s">
        <v>13</v>
      </c>
      <c r="E1352" s="25" t="s">
        <v>4256</v>
      </c>
      <c r="F1352" s="25" t="s">
        <v>4257</v>
      </c>
      <c r="G1352" s="25">
        <v>500</v>
      </c>
      <c r="H1352" s="25"/>
    </row>
    <row r="1353" spans="1:8" ht="14">
      <c r="A1353" s="25" t="str">
        <f t="shared" si="19"/>
        <v>oil_red_o</v>
      </c>
      <c r="B1353" s="35" t="s">
        <v>4224</v>
      </c>
      <c r="C1353" s="25" t="s">
        <v>4300</v>
      </c>
      <c r="D1353" s="25" t="s">
        <v>13</v>
      </c>
      <c r="E1353" s="25" t="s">
        <v>4258</v>
      </c>
      <c r="F1353" s="25" t="s">
        <v>4259</v>
      </c>
      <c r="G1353" s="25">
        <v>500</v>
      </c>
      <c r="H1353" s="25"/>
    </row>
    <row r="1354" spans="1:8" ht="14">
      <c r="A1354" s="25" t="str">
        <f t="shared" si="19"/>
        <v>sudan_black_b</v>
      </c>
      <c r="B1354" s="35" t="s">
        <v>4224</v>
      </c>
      <c r="C1354" s="25" t="s">
        <v>4301</v>
      </c>
      <c r="D1354" s="25" t="s">
        <v>13</v>
      </c>
      <c r="E1354" s="25" t="s">
        <v>4260</v>
      </c>
      <c r="F1354" s="25" t="s">
        <v>4261</v>
      </c>
      <c r="G1354" s="25">
        <v>500</v>
      </c>
      <c r="H1354" s="25"/>
    </row>
    <row r="1355" spans="1:8" ht="14">
      <c r="A1355" s="25" t="str">
        <f t="shared" si="19"/>
        <v>janus_green_b</v>
      </c>
      <c r="B1355" s="35" t="s">
        <v>4224</v>
      </c>
      <c r="C1355" s="25" t="s">
        <v>4302</v>
      </c>
      <c r="D1355" s="25" t="s">
        <v>13</v>
      </c>
      <c r="E1355" s="25" t="s">
        <v>4262</v>
      </c>
      <c r="F1355" s="25" t="s">
        <v>4263</v>
      </c>
      <c r="G1355" s="25">
        <v>500</v>
      </c>
      <c r="H1355" s="25"/>
    </row>
    <row r="1356" spans="1:8" ht="14">
      <c r="A1356" s="25" t="str">
        <f t="shared" si="19"/>
        <v>neutral_red</v>
      </c>
      <c r="B1356" s="35" t="s">
        <v>4224</v>
      </c>
      <c r="C1356" s="25" t="s">
        <v>4303</v>
      </c>
      <c r="D1356" s="25" t="s">
        <v>13</v>
      </c>
      <c r="E1356" s="25" t="s">
        <v>4264</v>
      </c>
      <c r="F1356" s="25" t="s">
        <v>4265</v>
      </c>
      <c r="G1356" s="25">
        <v>500</v>
      </c>
      <c r="H1356" s="25"/>
    </row>
    <row r="1357" spans="1:8" ht="14">
      <c r="A1357" s="25" t="str">
        <f t="shared" si="19"/>
        <v>trypan_blue</v>
      </c>
      <c r="B1357" s="35" t="s">
        <v>4224</v>
      </c>
      <c r="C1357" s="25" t="s">
        <v>4304</v>
      </c>
      <c r="D1357" s="25" t="s">
        <v>13</v>
      </c>
      <c r="E1357" s="25" t="s">
        <v>4266</v>
      </c>
      <c r="F1357" s="25" t="s">
        <v>4267</v>
      </c>
      <c r="G1357" s="25">
        <v>500</v>
      </c>
      <c r="H1357" s="25"/>
    </row>
    <row r="1358" spans="1:8" ht="14">
      <c r="A1358" s="25" t="str">
        <f t="shared" si="19"/>
        <v>toluidine_blue</v>
      </c>
      <c r="B1358" s="35" t="s">
        <v>4224</v>
      </c>
      <c r="C1358" s="25" t="s">
        <v>4305</v>
      </c>
      <c r="D1358" s="25" t="s">
        <v>13</v>
      </c>
      <c r="E1358" s="25" t="s">
        <v>4268</v>
      </c>
      <c r="F1358" s="25" t="s">
        <v>4269</v>
      </c>
      <c r="G1358" s="25">
        <v>500</v>
      </c>
      <c r="H1358" s="25"/>
    </row>
    <row r="1359" spans="1:8" ht="14">
      <c r="A1359" s="25" t="str">
        <f t="shared" si="19"/>
        <v>silver_stain</v>
      </c>
      <c r="B1359" s="35" t="s">
        <v>4224</v>
      </c>
      <c r="C1359" s="25" t="s">
        <v>4306</v>
      </c>
      <c r="D1359" s="25" t="s">
        <v>13</v>
      </c>
      <c r="E1359" s="25" t="s">
        <v>4270</v>
      </c>
      <c r="F1359" s="25" t="s">
        <v>4271</v>
      </c>
      <c r="G1359" s="25">
        <v>500</v>
      </c>
      <c r="H1359" s="25"/>
    </row>
    <row r="1360" spans="1:8" ht="14">
      <c r="A1360" s="25" t="str">
        <f t="shared" si="19"/>
        <v>auramine_o</v>
      </c>
      <c r="B1360" s="35" t="s">
        <v>4224</v>
      </c>
      <c r="C1360" s="25" t="s">
        <v>4307</v>
      </c>
      <c r="D1360" s="25" t="s">
        <v>13</v>
      </c>
      <c r="E1360" s="25" t="s">
        <v>4272</v>
      </c>
      <c r="F1360" s="25" t="s">
        <v>4273</v>
      </c>
      <c r="G1360" s="25">
        <v>500</v>
      </c>
      <c r="H1360" s="25"/>
    </row>
    <row r="1361" spans="1:8" ht="14">
      <c r="A1361" s="25" t="str">
        <f t="shared" si="19"/>
        <v>giemsa_stain</v>
      </c>
      <c r="B1361" s="35" t="s">
        <v>4224</v>
      </c>
      <c r="C1361" s="25" t="s">
        <v>4308</v>
      </c>
      <c r="D1361" s="25" t="s">
        <v>13</v>
      </c>
      <c r="E1361" s="25" t="s">
        <v>4274</v>
      </c>
      <c r="F1361" s="25" t="s">
        <v>4275</v>
      </c>
      <c r="G1361" s="25">
        <v>500</v>
      </c>
      <c r="H1361" s="25"/>
    </row>
    <row r="1362" spans="1:8" ht="14">
      <c r="A1362" s="25" t="str">
        <f t="shared" si="19"/>
        <v>wright_stain</v>
      </c>
      <c r="B1362" s="35" t="s">
        <v>4224</v>
      </c>
      <c r="C1362" s="25" t="s">
        <v>4309</v>
      </c>
      <c r="D1362" s="25" t="s">
        <v>13</v>
      </c>
      <c r="E1362" s="25" t="s">
        <v>4276</v>
      </c>
      <c r="F1362" s="25" t="s">
        <v>4277</v>
      </c>
      <c r="G1362" s="25">
        <v>500</v>
      </c>
      <c r="H1362" s="25"/>
    </row>
    <row r="1363" spans="1:8" ht="14">
      <c r="A1363" s="25" t="str">
        <f t="shared" si="19"/>
        <v>periodic_acid-schiff</v>
      </c>
      <c r="B1363" s="35" t="s">
        <v>4224</v>
      </c>
      <c r="C1363" s="25" t="s">
        <v>4310</v>
      </c>
      <c r="D1363" s="25" t="s">
        <v>13</v>
      </c>
      <c r="E1363" s="25" t="s">
        <v>4278</v>
      </c>
      <c r="F1363" s="25" t="s">
        <v>4279</v>
      </c>
      <c r="G1363" s="25">
        <v>500</v>
      </c>
      <c r="H1363" s="25"/>
    </row>
    <row r="1364" spans="1:8" ht="14">
      <c r="A1364" s="25" t="str">
        <f t="shared" si="19"/>
        <v>alcian_blue</v>
      </c>
      <c r="B1364" s="35" t="s">
        <v>4224</v>
      </c>
      <c r="C1364" s="25" t="s">
        <v>4311</v>
      </c>
      <c r="D1364" s="25" t="s">
        <v>13</v>
      </c>
      <c r="E1364" s="25" t="s">
        <v>4280</v>
      </c>
      <c r="F1364" s="25" t="s">
        <v>4281</v>
      </c>
      <c r="G1364" s="25">
        <v>500</v>
      </c>
      <c r="H1364" s="25"/>
    </row>
    <row r="1365" spans="1:8" ht="14">
      <c r="A1365" s="25" t="str">
        <f t="shared" si="19"/>
        <v>massons_trichrome</v>
      </c>
      <c r="B1365" s="35" t="s">
        <v>4224</v>
      </c>
      <c r="C1365" s="25" t="s">
        <v>4312</v>
      </c>
      <c r="D1365" s="25" t="s">
        <v>13</v>
      </c>
      <c r="E1365" s="25" t="s">
        <v>4282</v>
      </c>
      <c r="F1365" s="25" t="s">
        <v>4283</v>
      </c>
      <c r="G1365" s="25">
        <v>500</v>
      </c>
      <c r="H1365" s="25"/>
    </row>
    <row r="1366" spans="1:8" ht="14">
      <c r="A1366" s="25" t="s">
        <v>4319</v>
      </c>
      <c r="B1366" s="35" t="s">
        <v>4317</v>
      </c>
      <c r="C1366" s="25" t="s">
        <v>4319</v>
      </c>
      <c r="D1366" s="25" t="s">
        <v>13</v>
      </c>
      <c r="E1366" s="25" t="s">
        <v>4320</v>
      </c>
      <c r="F1366" s="25" t="s">
        <v>4321</v>
      </c>
      <c r="G1366" s="25">
        <v>450</v>
      </c>
      <c r="H1366" s="25"/>
    </row>
    <row r="1367" spans="1:8" ht="14">
      <c r="A1367" s="25" t="s">
        <v>4027</v>
      </c>
      <c r="B1367" s="35" t="s">
        <v>4317</v>
      </c>
      <c r="C1367" s="25" t="s">
        <v>4027</v>
      </c>
      <c r="D1367" s="25" t="s">
        <v>13</v>
      </c>
      <c r="E1367" s="25" t="s">
        <v>3910</v>
      </c>
      <c r="F1367" s="25" t="s">
        <v>4322</v>
      </c>
      <c r="G1367" s="25">
        <v>500</v>
      </c>
      <c r="H1367" s="25"/>
    </row>
    <row r="1368" spans="1:8" ht="14">
      <c r="A1368" s="25" t="s">
        <v>4027</v>
      </c>
      <c r="B1368" s="35" t="s">
        <v>4313</v>
      </c>
      <c r="C1368" s="25" t="s">
        <v>4027</v>
      </c>
      <c r="D1368" s="25" t="s">
        <v>13</v>
      </c>
      <c r="E1368" s="25" t="s">
        <v>3910</v>
      </c>
      <c r="F1368" s="25" t="s">
        <v>4323</v>
      </c>
      <c r="G1368" s="25">
        <v>500</v>
      </c>
      <c r="H1368" s="25"/>
    </row>
    <row r="1369" spans="1:8" ht="14">
      <c r="A1369" s="25" t="s">
        <v>21</v>
      </c>
      <c r="B1369" s="26" t="s">
        <v>4315</v>
      </c>
      <c r="C1369" s="25" t="s">
        <v>21</v>
      </c>
      <c r="D1369" s="25" t="s">
        <v>13</v>
      </c>
      <c r="E1369" s="25" t="s">
        <v>21</v>
      </c>
      <c r="F1369" s="25" t="s">
        <v>4324</v>
      </c>
      <c r="G1369" s="25">
        <v>700</v>
      </c>
      <c r="H1369" s="25"/>
    </row>
    <row r="1370" spans="1:8" ht="14">
      <c r="A1370" s="25" t="s">
        <v>3920</v>
      </c>
      <c r="B1370" s="26" t="s">
        <v>4315</v>
      </c>
      <c r="C1370" s="25" t="s">
        <v>3920</v>
      </c>
      <c r="D1370" s="25" t="s">
        <v>13</v>
      </c>
      <c r="E1370" s="25" t="s">
        <v>3920</v>
      </c>
      <c r="F1370" s="25" t="s">
        <v>4325</v>
      </c>
      <c r="G1370" s="25">
        <v>540</v>
      </c>
      <c r="H1370" s="25"/>
    </row>
    <row r="1371" spans="1:8" ht="14">
      <c r="A1371" s="25" t="s">
        <v>4326</v>
      </c>
      <c r="B1371" s="26" t="s">
        <v>4315</v>
      </c>
      <c r="C1371" s="25" t="s">
        <v>4326</v>
      </c>
      <c r="D1371" s="25" t="s">
        <v>13</v>
      </c>
      <c r="E1371" s="25" t="s">
        <v>4326</v>
      </c>
      <c r="F1371" s="25" t="s">
        <v>4327</v>
      </c>
      <c r="G1371" s="25">
        <v>500</v>
      </c>
      <c r="H1371" s="25"/>
    </row>
    <row r="1372" spans="1:8" ht="14">
      <c r="A1372" s="25" t="s">
        <v>2861</v>
      </c>
      <c r="B1372" s="36" t="s">
        <v>4329</v>
      </c>
      <c r="C1372" s="25" t="s">
        <v>2861</v>
      </c>
      <c r="D1372" s="25" t="s">
        <v>13</v>
      </c>
      <c r="E1372" s="25" t="s">
        <v>2862</v>
      </c>
      <c r="F1372" s="25" t="s">
        <v>4331</v>
      </c>
      <c r="G1372" s="25">
        <v>500</v>
      </c>
      <c r="H1372" s="25"/>
    </row>
    <row r="1373" spans="1:8" ht="14">
      <c r="A1373" s="25" t="s">
        <v>3016</v>
      </c>
      <c r="B1373" s="36" t="s">
        <v>4329</v>
      </c>
      <c r="C1373" s="25" t="s">
        <v>3016</v>
      </c>
      <c r="D1373" s="25" t="s">
        <v>13</v>
      </c>
      <c r="E1373" s="25" t="s">
        <v>3017</v>
      </c>
      <c r="F1373" s="25" t="s">
        <v>4332</v>
      </c>
      <c r="G1373" s="25">
        <v>500</v>
      </c>
      <c r="H1373" s="25"/>
    </row>
    <row r="1374" spans="1:8" ht="14">
      <c r="A1374" s="25" t="s">
        <v>3934</v>
      </c>
      <c r="B1374" s="35" t="s">
        <v>4334</v>
      </c>
      <c r="C1374" s="25" t="s">
        <v>3934</v>
      </c>
      <c r="D1374" s="25" t="s">
        <v>13</v>
      </c>
      <c r="E1374" s="25" t="s">
        <v>3934</v>
      </c>
      <c r="F1374" s="25" t="s">
        <v>4341</v>
      </c>
      <c r="G1374" s="25">
        <v>700</v>
      </c>
      <c r="H1374" s="25"/>
    </row>
    <row r="1375" spans="1:8" ht="14">
      <c r="A1375" s="25" t="s">
        <v>4340</v>
      </c>
      <c r="B1375" s="35" t="s">
        <v>4334</v>
      </c>
      <c r="C1375" s="25" t="s">
        <v>4340</v>
      </c>
      <c r="D1375" s="25" t="s">
        <v>13</v>
      </c>
      <c r="E1375" s="25" t="s">
        <v>4337</v>
      </c>
      <c r="F1375" s="25" t="s">
        <v>4338</v>
      </c>
      <c r="G1375" s="25">
        <v>400</v>
      </c>
      <c r="H1375" s="25"/>
    </row>
    <row r="1376" spans="1:8" ht="14">
      <c r="A1376" s="25" t="s">
        <v>4336</v>
      </c>
      <c r="B1376" s="35" t="s">
        <v>4334</v>
      </c>
      <c r="C1376" s="25" t="s">
        <v>4336</v>
      </c>
      <c r="D1376" s="25" t="s">
        <v>13</v>
      </c>
      <c r="E1376" s="25" t="s">
        <v>4336</v>
      </c>
      <c r="F1376" s="25" t="s">
        <v>4339</v>
      </c>
      <c r="G1376" s="25">
        <v>300</v>
      </c>
      <c r="H1376" s="25"/>
    </row>
    <row r="1377" spans="1:8" ht="14">
      <c r="A1377" s="25" t="s">
        <v>262</v>
      </c>
      <c r="B1377" s="35" t="s">
        <v>4342</v>
      </c>
      <c r="C1377" s="25" t="s">
        <v>262</v>
      </c>
      <c r="D1377" s="25" t="s">
        <v>13</v>
      </c>
      <c r="E1377" s="25" t="s">
        <v>1742</v>
      </c>
      <c r="F1377" s="25" t="s">
        <v>4344</v>
      </c>
      <c r="G1377" s="25">
        <v>400</v>
      </c>
      <c r="H1377" s="25"/>
    </row>
    <row r="1378" spans="1:8" ht="14">
      <c r="A1378" s="25" t="s">
        <v>4347</v>
      </c>
      <c r="B1378" s="35" t="s">
        <v>4342</v>
      </c>
      <c r="C1378" s="25" t="s">
        <v>4347</v>
      </c>
      <c r="D1378" s="25" t="s">
        <v>13</v>
      </c>
      <c r="E1378" s="25" t="s">
        <v>4345</v>
      </c>
      <c r="F1378" s="25" t="s">
        <v>4346</v>
      </c>
      <c r="G1378" s="25">
        <v>500</v>
      </c>
      <c r="H1378" s="25"/>
    </row>
    <row r="1379" spans="1:8" ht="14">
      <c r="A1379" s="25" t="s">
        <v>4351</v>
      </c>
      <c r="B1379" s="35" t="s">
        <v>4349</v>
      </c>
      <c r="C1379" s="25" t="s">
        <v>4351</v>
      </c>
      <c r="D1379" s="25" t="s">
        <v>13</v>
      </c>
      <c r="E1379" s="25" t="s">
        <v>4361</v>
      </c>
      <c r="F1379" s="25" t="s">
        <v>4352</v>
      </c>
      <c r="G1379" s="25">
        <v>500</v>
      </c>
      <c r="H1379" s="25"/>
    </row>
    <row r="1380" spans="1:8" ht="14">
      <c r="A1380" s="25" t="s">
        <v>4353</v>
      </c>
      <c r="B1380" s="35" t="s">
        <v>4349</v>
      </c>
      <c r="C1380" s="25" t="s">
        <v>4353</v>
      </c>
      <c r="D1380" s="25" t="s">
        <v>13</v>
      </c>
      <c r="E1380" s="25" t="s">
        <v>4354</v>
      </c>
      <c r="F1380" s="25" t="s">
        <v>4355</v>
      </c>
      <c r="G1380" s="25">
        <v>450</v>
      </c>
      <c r="H1380" s="25"/>
    </row>
    <row r="1381" spans="1:8" ht="14">
      <c r="A1381" s="25" t="s">
        <v>4356</v>
      </c>
      <c r="B1381" s="35" t="s">
        <v>4349</v>
      </c>
      <c r="C1381" s="25" t="s">
        <v>4356</v>
      </c>
      <c r="D1381" s="25" t="s">
        <v>13</v>
      </c>
      <c r="E1381" s="25" t="s">
        <v>4357</v>
      </c>
      <c r="F1381" s="25" t="s">
        <v>4358</v>
      </c>
      <c r="G1381" s="25">
        <v>500</v>
      </c>
      <c r="H1381" s="25"/>
    </row>
    <row r="1382" spans="1:8" ht="14">
      <c r="A1382" s="25" t="s">
        <v>4359</v>
      </c>
      <c r="B1382" s="36" t="s">
        <v>4349</v>
      </c>
      <c r="C1382" s="25" t="s">
        <v>4359</v>
      </c>
      <c r="D1382" s="25" t="s">
        <v>13</v>
      </c>
      <c r="E1382" s="25" t="s">
        <v>4360</v>
      </c>
      <c r="F1382" s="25" t="s">
        <v>4362</v>
      </c>
      <c r="G1382" s="25">
        <v>550</v>
      </c>
      <c r="H1382" s="25"/>
    </row>
    <row r="1383" spans="1:8" ht="14">
      <c r="A1383" s="25" t="s">
        <v>4407</v>
      </c>
      <c r="B1383" s="36" t="s">
        <v>4349</v>
      </c>
      <c r="C1383" s="25" t="s">
        <v>4407</v>
      </c>
      <c r="D1383" s="25" t="s">
        <v>13</v>
      </c>
      <c r="E1383" s="25" t="s">
        <v>4408</v>
      </c>
      <c r="F1383" s="25" t="s">
        <v>4409</v>
      </c>
      <c r="G1383" s="25">
        <v>600</v>
      </c>
      <c r="H1383" s="25"/>
    </row>
    <row r="1384" spans="1:8">
      <c r="A1384" s="42" t="s">
        <v>4368</v>
      </c>
      <c r="B1384" s="22" t="s">
        <v>4391</v>
      </c>
      <c r="C1384" s="43" t="s">
        <v>4368</v>
      </c>
      <c r="D1384" s="5" t="s">
        <v>13</v>
      </c>
      <c r="E1384" s="5" t="s">
        <v>405</v>
      </c>
      <c r="F1384" s="42" t="s">
        <v>4369</v>
      </c>
      <c r="G1384" s="41">
        <v>1000</v>
      </c>
    </row>
    <row r="1385" spans="1:8">
      <c r="A1385" s="42" t="s">
        <v>4370</v>
      </c>
      <c r="B1385" s="22" t="s">
        <v>4391</v>
      </c>
      <c r="C1385" s="43" t="s">
        <v>4370</v>
      </c>
      <c r="D1385" s="5" t="s">
        <v>13</v>
      </c>
      <c r="E1385" s="44" t="s">
        <v>4384</v>
      </c>
      <c r="F1385" s="42" t="s">
        <v>4371</v>
      </c>
      <c r="G1385" s="42">
        <v>900</v>
      </c>
    </row>
    <row r="1386" spans="1:8">
      <c r="A1386" s="42" t="s">
        <v>4372</v>
      </c>
      <c r="B1386" s="22" t="s">
        <v>4391</v>
      </c>
      <c r="C1386" s="43" t="s">
        <v>4372</v>
      </c>
      <c r="D1386" s="5" t="s">
        <v>13</v>
      </c>
      <c r="E1386" s="5" t="s">
        <v>4385</v>
      </c>
      <c r="F1386" s="42" t="s">
        <v>4373</v>
      </c>
      <c r="G1386" s="42">
        <v>850</v>
      </c>
    </row>
    <row r="1387" spans="1:8">
      <c r="A1387" s="42" t="s">
        <v>4374</v>
      </c>
      <c r="B1387" s="22" t="s">
        <v>4391</v>
      </c>
      <c r="C1387" s="43" t="s">
        <v>4374</v>
      </c>
      <c r="D1387" s="5" t="s">
        <v>13</v>
      </c>
      <c r="E1387" s="5" t="s">
        <v>4386</v>
      </c>
      <c r="F1387" s="42" t="s">
        <v>4375</v>
      </c>
      <c r="G1387" s="42">
        <v>820</v>
      </c>
    </row>
    <row r="1388" spans="1:8">
      <c r="A1388" s="42" t="s">
        <v>4376</v>
      </c>
      <c r="B1388" s="22" t="s">
        <v>4391</v>
      </c>
      <c r="C1388" s="43" t="s">
        <v>4376</v>
      </c>
      <c r="D1388" s="5" t="s">
        <v>13</v>
      </c>
      <c r="E1388" s="5" t="s">
        <v>4387</v>
      </c>
      <c r="F1388" s="42" t="s">
        <v>4377</v>
      </c>
      <c r="G1388" s="42">
        <v>780</v>
      </c>
    </row>
    <row r="1389" spans="1:8">
      <c r="A1389" s="42" t="s">
        <v>4378</v>
      </c>
      <c r="B1389" s="22" t="s">
        <v>4391</v>
      </c>
      <c r="C1389" s="43" t="s">
        <v>4378</v>
      </c>
      <c r="D1389" s="5" t="s">
        <v>13</v>
      </c>
      <c r="E1389" s="5" t="s">
        <v>4388</v>
      </c>
      <c r="F1389" s="42" t="s">
        <v>4379</v>
      </c>
      <c r="G1389" s="42">
        <v>760</v>
      </c>
    </row>
    <row r="1390" spans="1:8">
      <c r="A1390" s="42" t="s">
        <v>4380</v>
      </c>
      <c r="B1390" s="22" t="s">
        <v>4391</v>
      </c>
      <c r="C1390" s="43" t="s">
        <v>4380</v>
      </c>
      <c r="D1390" s="5" t="s">
        <v>13</v>
      </c>
      <c r="E1390" s="5" t="s">
        <v>4389</v>
      </c>
      <c r="F1390" s="42" t="s">
        <v>4381</v>
      </c>
      <c r="G1390" s="42">
        <v>740</v>
      </c>
    </row>
    <row r="1391" spans="1:8">
      <c r="A1391" s="42" t="s">
        <v>4382</v>
      </c>
      <c r="B1391" s="22" t="s">
        <v>4391</v>
      </c>
      <c r="C1391" s="43" t="s">
        <v>4382</v>
      </c>
      <c r="D1391" s="5" t="s">
        <v>13</v>
      </c>
      <c r="E1391" s="5" t="s">
        <v>4390</v>
      </c>
      <c r="F1391" s="42" t="s">
        <v>4383</v>
      </c>
      <c r="G1391" s="42">
        <v>700</v>
      </c>
    </row>
    <row r="1392" spans="1:8">
      <c r="A1392" s="5" t="s">
        <v>4401</v>
      </c>
      <c r="B1392" s="22" t="s">
        <v>2774</v>
      </c>
      <c r="C1392" s="5" t="s">
        <v>4401</v>
      </c>
      <c r="D1392" s="42" t="s">
        <v>13</v>
      </c>
      <c r="E1392" s="5" t="s">
        <v>4402</v>
      </c>
      <c r="F1392" s="5" t="s">
        <v>4403</v>
      </c>
      <c r="G1392" s="5">
        <v>400</v>
      </c>
    </row>
    <row r="1393" spans="1:7">
      <c r="A1393" s="5" t="s">
        <v>1716</v>
      </c>
      <c r="B1393" s="22" t="s">
        <v>2774</v>
      </c>
      <c r="C1393" s="5" t="s">
        <v>1716</v>
      </c>
      <c r="D1393" s="42" t="s">
        <v>13</v>
      </c>
      <c r="E1393" s="5" t="s">
        <v>4404</v>
      </c>
      <c r="F1393" s="5" t="s">
        <v>4405</v>
      </c>
      <c r="G1393" s="5">
        <v>400</v>
      </c>
    </row>
    <row r="1394" spans="1:7" ht="14">
      <c r="A1394" s="5" t="s">
        <v>4413</v>
      </c>
      <c r="B1394" s="36" t="s">
        <v>3895</v>
      </c>
      <c r="C1394" s="5" t="s">
        <v>4413</v>
      </c>
      <c r="D1394" s="5" t="s">
        <v>13</v>
      </c>
      <c r="E1394" s="5" t="s">
        <v>4414</v>
      </c>
      <c r="F1394" s="5" t="s">
        <v>4415</v>
      </c>
      <c r="G1394" s="5">
        <v>600</v>
      </c>
    </row>
    <row r="1395" spans="1:7" ht="14">
      <c r="A1395" s="5" t="s">
        <v>262</v>
      </c>
      <c r="B1395" s="36" t="s">
        <v>3895</v>
      </c>
      <c r="C1395" s="5" t="s">
        <v>262</v>
      </c>
      <c r="D1395" s="5" t="s">
        <v>13</v>
      </c>
      <c r="E1395" s="5" t="s">
        <v>1742</v>
      </c>
      <c r="F1395" s="5" t="s">
        <v>4412</v>
      </c>
      <c r="G1395" s="5">
        <v>500</v>
      </c>
    </row>
    <row r="1396" spans="1:7" ht="14">
      <c r="A1396" s="5" t="s">
        <v>4027</v>
      </c>
      <c r="B1396" s="26" t="s">
        <v>154</v>
      </c>
      <c r="C1396" s="5" t="s">
        <v>4027</v>
      </c>
      <c r="D1396" s="5" t="s">
        <v>13</v>
      </c>
      <c r="E1396" s="5" t="s">
        <v>3910</v>
      </c>
      <c r="F1396" s="5" t="s">
        <v>4428</v>
      </c>
      <c r="G1396" s="5">
        <v>600</v>
      </c>
    </row>
    <row r="1397" spans="1:7" ht="18">
      <c r="A1397" s="5" t="s">
        <v>4425</v>
      </c>
      <c r="B1397" s="26" t="s">
        <v>154</v>
      </c>
      <c r="C1397" s="5" t="s">
        <v>4425</v>
      </c>
      <c r="D1397" s="5" t="s">
        <v>13</v>
      </c>
      <c r="E1397" s="5" t="s">
        <v>4426</v>
      </c>
      <c r="F1397" s="47" t="s">
        <v>4427</v>
      </c>
      <c r="G1397" s="5">
        <v>500</v>
      </c>
    </row>
    <row r="1398" spans="1:7">
      <c r="A1398" s="5" t="s">
        <v>4419</v>
      </c>
      <c r="B1398" s="22" t="s">
        <v>80</v>
      </c>
      <c r="C1398" s="5" t="s">
        <v>4419</v>
      </c>
      <c r="D1398" s="5" t="s">
        <v>13</v>
      </c>
      <c r="E1398" s="5" t="s">
        <v>4429</v>
      </c>
      <c r="F1398" s="5" t="s">
        <v>4430</v>
      </c>
      <c r="G1398" s="5">
        <v>500</v>
      </c>
    </row>
    <row r="1399" spans="1:7" ht="14">
      <c r="A1399" s="5" t="s">
        <v>4435</v>
      </c>
      <c r="B1399" s="35" t="s">
        <v>82</v>
      </c>
      <c r="C1399" s="5" t="s">
        <v>4435</v>
      </c>
      <c r="D1399" s="5" t="s">
        <v>13</v>
      </c>
      <c r="E1399" s="5" t="s">
        <v>3917</v>
      </c>
      <c r="F1399" s="5" t="s">
        <v>4434</v>
      </c>
      <c r="G1399" s="5">
        <v>500</v>
      </c>
    </row>
    <row r="1400" spans="1:7" ht="14">
      <c r="A1400" s="5" t="s">
        <v>4046</v>
      </c>
      <c r="B1400" s="35" t="s">
        <v>83</v>
      </c>
      <c r="C1400" s="5" t="s">
        <v>4046</v>
      </c>
      <c r="D1400" s="5" t="s">
        <v>13</v>
      </c>
      <c r="E1400" s="5" t="s">
        <v>4173</v>
      </c>
      <c r="F1400" s="5" t="s">
        <v>4432</v>
      </c>
      <c r="G1400" s="5">
        <v>500</v>
      </c>
    </row>
    <row r="1401" spans="1:7" ht="14">
      <c r="A1401" s="5" t="s">
        <v>4046</v>
      </c>
      <c r="B1401" s="35" t="s">
        <v>85</v>
      </c>
      <c r="C1401" s="5" t="s">
        <v>4046</v>
      </c>
      <c r="D1401" s="5" t="s">
        <v>13</v>
      </c>
      <c r="E1401" s="5" t="s">
        <v>4173</v>
      </c>
      <c r="F1401" s="5" t="s">
        <v>4433</v>
      </c>
      <c r="G1401" s="5">
        <v>500</v>
      </c>
    </row>
    <row r="1402" spans="1:7">
      <c r="A1402" s="5">
        <v>200</v>
      </c>
      <c r="B1402" t="s">
        <v>121</v>
      </c>
      <c r="C1402" s="5">
        <v>200</v>
      </c>
      <c r="D1402" s="5" t="s">
        <v>13</v>
      </c>
      <c r="E1402" s="5" t="s">
        <v>4438</v>
      </c>
      <c r="F1402" s="5" t="s">
        <v>3972</v>
      </c>
      <c r="G1402" s="5">
        <v>600</v>
      </c>
    </row>
    <row r="1403" spans="1:7">
      <c r="A1403" s="5">
        <v>200</v>
      </c>
      <c r="B1403" t="s">
        <v>124</v>
      </c>
      <c r="C1403" s="5">
        <v>200</v>
      </c>
      <c r="D1403" s="5" t="s">
        <v>13</v>
      </c>
      <c r="E1403" s="5" t="s">
        <v>4438</v>
      </c>
      <c r="F1403" s="5" t="s">
        <v>3972</v>
      </c>
      <c r="G1403" s="5">
        <v>600</v>
      </c>
    </row>
    <row r="1404" spans="1:7">
      <c r="A1404" s="5">
        <v>400</v>
      </c>
      <c r="B1404" t="s">
        <v>121</v>
      </c>
      <c r="C1404" s="5">
        <v>400</v>
      </c>
      <c r="D1404" s="5" t="s">
        <v>13</v>
      </c>
      <c r="E1404" s="5" t="s">
        <v>4439</v>
      </c>
      <c r="F1404" s="5" t="s">
        <v>3974</v>
      </c>
      <c r="G1404" s="5">
        <v>500</v>
      </c>
    </row>
    <row r="1405" spans="1:7">
      <c r="A1405" s="5">
        <v>400</v>
      </c>
      <c r="B1405" t="s">
        <v>124</v>
      </c>
      <c r="C1405" s="5">
        <v>400</v>
      </c>
      <c r="D1405" s="5" t="s">
        <v>13</v>
      </c>
      <c r="E1405" s="5" t="s">
        <v>4439</v>
      </c>
      <c r="F1405" s="5" t="s">
        <v>3974</v>
      </c>
      <c r="G1405" s="5">
        <v>500</v>
      </c>
    </row>
    <row r="1406" spans="1:7" ht="14">
      <c r="A1406" s="5" t="s">
        <v>4440</v>
      </c>
      <c r="B1406" s="36" t="s">
        <v>43</v>
      </c>
      <c r="C1406" s="5" t="s">
        <v>4440</v>
      </c>
      <c r="D1406" s="5" t="s">
        <v>13</v>
      </c>
      <c r="E1406" s="5" t="s">
        <v>4441</v>
      </c>
      <c r="F1406" s="5" t="s">
        <v>4442</v>
      </c>
      <c r="G1406" s="5">
        <v>550</v>
      </c>
    </row>
    <row r="1407" spans="1:7" ht="14">
      <c r="A1407" s="5" t="s">
        <v>4419</v>
      </c>
      <c r="B1407" s="36" t="s">
        <v>43</v>
      </c>
      <c r="C1407" s="5" t="s">
        <v>4419</v>
      </c>
      <c r="D1407" s="5" t="s">
        <v>13</v>
      </c>
      <c r="E1407" s="5" t="s">
        <v>3947</v>
      </c>
      <c r="F1407" s="5" t="s">
        <v>4443</v>
      </c>
      <c r="G1407" s="5">
        <v>500</v>
      </c>
    </row>
    <row r="1408" spans="1:7">
      <c r="A1408" s="5" t="s">
        <v>4477</v>
      </c>
      <c r="B1408" t="s">
        <v>4464</v>
      </c>
      <c r="C1408" s="5" t="s">
        <v>4477</v>
      </c>
      <c r="D1408" s="5" t="s">
        <v>13</v>
      </c>
      <c r="E1408" s="5" t="s">
        <v>4461</v>
      </c>
      <c r="F1408" s="5" t="s">
        <v>4462</v>
      </c>
      <c r="G1408" s="5">
        <v>600</v>
      </c>
    </row>
    <row r="1409" spans="1:7">
      <c r="A1409" s="5" t="s">
        <v>4463</v>
      </c>
      <c r="B1409" t="s">
        <v>4464</v>
      </c>
      <c r="C1409" s="5" t="s">
        <v>4463</v>
      </c>
      <c r="D1409" s="5" t="s">
        <v>13</v>
      </c>
      <c r="E1409" s="5" t="s">
        <v>4459</v>
      </c>
      <c r="F1409" s="5" t="s">
        <v>4475</v>
      </c>
      <c r="G1409" s="5">
        <v>550</v>
      </c>
    </row>
    <row r="1410" spans="1:7">
      <c r="A1410" s="5" t="s">
        <v>4174</v>
      </c>
      <c r="B1410" t="s">
        <v>4464</v>
      </c>
      <c r="C1410" s="5" t="s">
        <v>4174</v>
      </c>
      <c r="D1410" s="5" t="s">
        <v>13</v>
      </c>
      <c r="E1410" s="5" t="s">
        <v>4595</v>
      </c>
      <c r="F1410" s="5" t="s">
        <v>4594</v>
      </c>
      <c r="G1410" s="5">
        <v>500</v>
      </c>
    </row>
    <row r="1411" spans="1:7">
      <c r="A1411" s="5" t="s">
        <v>4465</v>
      </c>
      <c r="B1411" t="s">
        <v>4460</v>
      </c>
      <c r="C1411" s="5" t="s">
        <v>4465</v>
      </c>
      <c r="D1411" s="5" t="s">
        <v>13</v>
      </c>
      <c r="E1411" s="5" t="s">
        <v>4466</v>
      </c>
      <c r="F1411" s="5" t="s">
        <v>4467</v>
      </c>
      <c r="G1411" s="5">
        <v>500</v>
      </c>
    </row>
    <row r="1412" spans="1:7">
      <c r="A1412" s="5" t="s">
        <v>4468</v>
      </c>
      <c r="B1412" t="s">
        <v>4460</v>
      </c>
      <c r="C1412" s="5" t="s">
        <v>4468</v>
      </c>
      <c r="D1412" s="5" t="s">
        <v>13</v>
      </c>
      <c r="E1412" s="5" t="s">
        <v>4469</v>
      </c>
      <c r="F1412" s="5" t="s">
        <v>4470</v>
      </c>
      <c r="G1412" s="5">
        <v>500</v>
      </c>
    </row>
    <row r="1413" spans="1:7">
      <c r="A1413" s="5" t="s">
        <v>4471</v>
      </c>
      <c r="B1413" t="s">
        <v>4460</v>
      </c>
      <c r="C1413" s="5" t="s">
        <v>4471</v>
      </c>
      <c r="D1413" s="5" t="s">
        <v>13</v>
      </c>
      <c r="E1413" s="5" t="s">
        <v>4471</v>
      </c>
      <c r="F1413" s="5" t="s">
        <v>4472</v>
      </c>
      <c r="G1413" s="5">
        <v>300</v>
      </c>
    </row>
    <row r="1414" spans="1:7">
      <c r="A1414" s="5" t="s">
        <v>4473</v>
      </c>
      <c r="B1414" t="s">
        <v>4460</v>
      </c>
      <c r="C1414" s="5" t="s">
        <v>4473</v>
      </c>
      <c r="D1414" s="5" t="s">
        <v>13</v>
      </c>
      <c r="E1414" s="5" t="s">
        <v>4473</v>
      </c>
      <c r="F1414" s="5" t="s">
        <v>4474</v>
      </c>
      <c r="G1414" s="5">
        <v>250</v>
      </c>
    </row>
    <row r="1415" spans="1:7">
      <c r="A1415" s="5" t="s">
        <v>1997</v>
      </c>
      <c r="B1415" s="22" t="s">
        <v>4559</v>
      </c>
      <c r="C1415" s="5" t="s">
        <v>1997</v>
      </c>
      <c r="D1415" s="5" t="s">
        <v>13</v>
      </c>
      <c r="E1415" s="5" t="s">
        <v>1998</v>
      </c>
      <c r="F1415" s="5" t="s">
        <v>4515</v>
      </c>
      <c r="G1415" s="5">
        <v>500</v>
      </c>
    </row>
    <row r="1416" spans="1:7">
      <c r="A1416" s="5" t="s">
        <v>4563</v>
      </c>
      <c r="B1416" s="22" t="s">
        <v>4559</v>
      </c>
      <c r="C1416" s="5" t="s">
        <v>4563</v>
      </c>
      <c r="D1416" s="5" t="s">
        <v>13</v>
      </c>
      <c r="E1416" s="5" t="s">
        <v>4516</v>
      </c>
      <c r="F1416" s="5" t="s">
        <v>4517</v>
      </c>
      <c r="G1416" s="5">
        <v>500</v>
      </c>
    </row>
    <row r="1417" spans="1:7">
      <c r="A1417" s="5" t="s">
        <v>4564</v>
      </c>
      <c r="B1417" s="22" t="s">
        <v>4559</v>
      </c>
      <c r="C1417" s="5" t="s">
        <v>4564</v>
      </c>
      <c r="D1417" s="5" t="s">
        <v>13</v>
      </c>
      <c r="E1417" s="5" t="s">
        <v>4518</v>
      </c>
      <c r="F1417" s="5" t="s">
        <v>4519</v>
      </c>
      <c r="G1417" s="5">
        <v>500</v>
      </c>
    </row>
    <row r="1418" spans="1:7">
      <c r="A1418" s="5" t="s">
        <v>4565</v>
      </c>
      <c r="B1418" s="22" t="s">
        <v>4559</v>
      </c>
      <c r="C1418" s="5" t="s">
        <v>4565</v>
      </c>
      <c r="D1418" s="5" t="s">
        <v>13</v>
      </c>
      <c r="E1418" s="5" t="s">
        <v>4520</v>
      </c>
      <c r="F1418" s="5" t="s">
        <v>4521</v>
      </c>
      <c r="G1418" s="5">
        <v>500</v>
      </c>
    </row>
    <row r="1419" spans="1:7">
      <c r="A1419" s="5" t="s">
        <v>4566</v>
      </c>
      <c r="B1419" s="22" t="s">
        <v>4559</v>
      </c>
      <c r="C1419" s="5" t="s">
        <v>4566</v>
      </c>
      <c r="D1419" s="5" t="s">
        <v>13</v>
      </c>
      <c r="E1419" s="5" t="s">
        <v>4522</v>
      </c>
      <c r="F1419" s="5" t="s">
        <v>4523</v>
      </c>
      <c r="G1419" s="5">
        <v>500</v>
      </c>
    </row>
    <row r="1420" spans="1:7">
      <c r="A1420" s="5" t="s">
        <v>4567</v>
      </c>
      <c r="B1420" s="22" t="s">
        <v>4559</v>
      </c>
      <c r="C1420" s="5" t="s">
        <v>4567</v>
      </c>
      <c r="D1420" s="5" t="s">
        <v>13</v>
      </c>
      <c r="E1420" s="5" t="s">
        <v>4524</v>
      </c>
      <c r="F1420" s="5" t="s">
        <v>4525</v>
      </c>
      <c r="G1420" s="5">
        <v>500</v>
      </c>
    </row>
    <row r="1421" spans="1:7">
      <c r="A1421" s="5" t="s">
        <v>4568</v>
      </c>
      <c r="B1421" s="22" t="s">
        <v>4559</v>
      </c>
      <c r="C1421" s="5" t="s">
        <v>4568</v>
      </c>
      <c r="D1421" s="5" t="s">
        <v>13</v>
      </c>
      <c r="E1421" s="5" t="s">
        <v>4526</v>
      </c>
      <c r="F1421" s="5" t="s">
        <v>4527</v>
      </c>
      <c r="G1421" s="5">
        <v>500</v>
      </c>
    </row>
    <row r="1422" spans="1:7">
      <c r="A1422" s="5" t="s">
        <v>4569</v>
      </c>
      <c r="B1422" s="22" t="s">
        <v>4559</v>
      </c>
      <c r="C1422" s="5" t="s">
        <v>4569</v>
      </c>
      <c r="D1422" s="5" t="s">
        <v>13</v>
      </c>
      <c r="E1422" s="5" t="s">
        <v>4528</v>
      </c>
      <c r="F1422" s="5" t="s">
        <v>4529</v>
      </c>
      <c r="G1422" s="5">
        <v>500</v>
      </c>
    </row>
    <row r="1423" spans="1:7">
      <c r="A1423" s="5" t="s">
        <v>4570</v>
      </c>
      <c r="B1423" s="22" t="s">
        <v>4559</v>
      </c>
      <c r="C1423" s="5" t="s">
        <v>4570</v>
      </c>
      <c r="D1423" s="5" t="s">
        <v>13</v>
      </c>
      <c r="E1423" s="5" t="s">
        <v>4530</v>
      </c>
      <c r="F1423" s="5" t="s">
        <v>4531</v>
      </c>
      <c r="G1423" s="5">
        <v>500</v>
      </c>
    </row>
    <row r="1424" spans="1:7">
      <c r="A1424" s="5" t="s">
        <v>4560</v>
      </c>
      <c r="B1424" s="22" t="s">
        <v>4559</v>
      </c>
      <c r="C1424" s="5" t="s">
        <v>4560</v>
      </c>
      <c r="D1424" s="5" t="s">
        <v>13</v>
      </c>
      <c r="E1424" s="5" t="s">
        <v>4532</v>
      </c>
      <c r="F1424" s="5" t="s">
        <v>4533</v>
      </c>
      <c r="G1424" s="5">
        <v>500</v>
      </c>
    </row>
    <row r="1425" spans="1:7">
      <c r="A1425" s="5" t="s">
        <v>4561</v>
      </c>
      <c r="B1425" s="22" t="s">
        <v>4559</v>
      </c>
      <c r="C1425" s="5" t="s">
        <v>4561</v>
      </c>
      <c r="D1425" s="5" t="s">
        <v>13</v>
      </c>
      <c r="E1425" s="5" t="s">
        <v>4534</v>
      </c>
      <c r="F1425" s="5" t="s">
        <v>4535</v>
      </c>
      <c r="G1425" s="5">
        <v>500</v>
      </c>
    </row>
    <row r="1426" spans="1:7">
      <c r="A1426" s="5" t="s">
        <v>4571</v>
      </c>
      <c r="B1426" s="22" t="s">
        <v>4559</v>
      </c>
      <c r="C1426" s="5" t="s">
        <v>4571</v>
      </c>
      <c r="D1426" s="5" t="s">
        <v>13</v>
      </c>
      <c r="E1426" s="5" t="s">
        <v>4536</v>
      </c>
      <c r="F1426" s="5" t="s">
        <v>4537</v>
      </c>
      <c r="G1426" s="5">
        <v>500</v>
      </c>
    </row>
    <row r="1427" spans="1:7">
      <c r="A1427" s="5" t="s">
        <v>4572</v>
      </c>
      <c r="B1427" s="22" t="s">
        <v>4559</v>
      </c>
      <c r="C1427" s="5" t="s">
        <v>4572</v>
      </c>
      <c r="D1427" s="5" t="s">
        <v>13</v>
      </c>
      <c r="E1427" s="5" t="s">
        <v>4538</v>
      </c>
      <c r="F1427" s="5" t="s">
        <v>4539</v>
      </c>
      <c r="G1427" s="5">
        <v>500</v>
      </c>
    </row>
    <row r="1428" spans="1:7">
      <c r="A1428" s="5" t="s">
        <v>1995</v>
      </c>
      <c r="B1428" s="22" t="s">
        <v>4559</v>
      </c>
      <c r="C1428" s="5" t="s">
        <v>1995</v>
      </c>
      <c r="D1428" s="5" t="s">
        <v>13</v>
      </c>
      <c r="E1428" s="5" t="s">
        <v>1996</v>
      </c>
      <c r="F1428" s="5" t="s">
        <v>4540</v>
      </c>
      <c r="G1428" s="5">
        <v>600</v>
      </c>
    </row>
    <row r="1429" spans="1:7">
      <c r="A1429" s="5" t="s">
        <v>4573</v>
      </c>
      <c r="B1429" s="22" t="s">
        <v>4559</v>
      </c>
      <c r="C1429" s="5" t="s">
        <v>4573</v>
      </c>
      <c r="D1429" s="5" t="s">
        <v>13</v>
      </c>
      <c r="E1429" s="5" t="s">
        <v>4541</v>
      </c>
      <c r="F1429" s="5" t="s">
        <v>4542</v>
      </c>
      <c r="G1429" s="5">
        <v>500</v>
      </c>
    </row>
    <row r="1430" spans="1:7">
      <c r="A1430" s="5" t="s">
        <v>4574</v>
      </c>
      <c r="B1430" s="22" t="s">
        <v>4559</v>
      </c>
      <c r="C1430" s="5" t="s">
        <v>4574</v>
      </c>
      <c r="D1430" s="5" t="s">
        <v>13</v>
      </c>
      <c r="E1430" s="5" t="s">
        <v>4543</v>
      </c>
      <c r="F1430" s="5" t="s">
        <v>4544</v>
      </c>
      <c r="G1430" s="5">
        <v>500</v>
      </c>
    </row>
    <row r="1431" spans="1:7">
      <c r="A1431" s="5" t="s">
        <v>2035</v>
      </c>
      <c r="B1431" s="22" t="s">
        <v>4559</v>
      </c>
      <c r="C1431" s="5" t="s">
        <v>2035</v>
      </c>
      <c r="D1431" s="5" t="s">
        <v>13</v>
      </c>
      <c r="E1431" s="5" t="s">
        <v>2036</v>
      </c>
      <c r="F1431" s="5" t="s">
        <v>4545</v>
      </c>
      <c r="G1431" s="5">
        <v>500</v>
      </c>
    </row>
    <row r="1432" spans="1:7">
      <c r="A1432" s="5" t="s">
        <v>2029</v>
      </c>
      <c r="B1432" s="22" t="s">
        <v>4559</v>
      </c>
      <c r="C1432" s="5" t="s">
        <v>2029</v>
      </c>
      <c r="D1432" s="5" t="s">
        <v>13</v>
      </c>
      <c r="E1432" s="5" t="s">
        <v>2030</v>
      </c>
      <c r="F1432" s="5" t="s">
        <v>4546</v>
      </c>
      <c r="G1432" s="5">
        <v>500</v>
      </c>
    </row>
    <row r="1433" spans="1:7">
      <c r="A1433" s="5" t="s">
        <v>2054</v>
      </c>
      <c r="B1433" s="22" t="s">
        <v>4559</v>
      </c>
      <c r="C1433" s="5" t="s">
        <v>2054</v>
      </c>
      <c r="D1433" s="5" t="s">
        <v>13</v>
      </c>
      <c r="E1433" s="5" t="s">
        <v>2055</v>
      </c>
      <c r="F1433" s="5" t="s">
        <v>4547</v>
      </c>
      <c r="G1433" s="5">
        <v>500</v>
      </c>
    </row>
    <row r="1434" spans="1:7">
      <c r="A1434" s="5" t="s">
        <v>2011</v>
      </c>
      <c r="B1434" s="22" t="s">
        <v>4559</v>
      </c>
      <c r="C1434" s="5" t="s">
        <v>2011</v>
      </c>
      <c r="D1434" s="5" t="s">
        <v>13</v>
      </c>
      <c r="E1434" s="5" t="s">
        <v>2012</v>
      </c>
      <c r="F1434" s="5" t="s">
        <v>4548</v>
      </c>
      <c r="G1434" s="5">
        <v>500</v>
      </c>
    </row>
    <row r="1435" spans="1:7">
      <c r="A1435" s="5" t="s">
        <v>4575</v>
      </c>
      <c r="B1435" s="22" t="s">
        <v>4559</v>
      </c>
      <c r="C1435" s="5" t="s">
        <v>4575</v>
      </c>
      <c r="D1435" s="5" t="s">
        <v>13</v>
      </c>
      <c r="E1435" s="5" t="s">
        <v>4549</v>
      </c>
      <c r="F1435" s="5" t="s">
        <v>4550</v>
      </c>
      <c r="G1435" s="5">
        <v>500</v>
      </c>
    </row>
    <row r="1436" spans="1:7">
      <c r="A1436" s="5" t="s">
        <v>4576</v>
      </c>
      <c r="B1436" s="22" t="s">
        <v>4559</v>
      </c>
      <c r="C1436" s="5" t="s">
        <v>4576</v>
      </c>
      <c r="D1436" s="5" t="s">
        <v>13</v>
      </c>
      <c r="E1436" s="5" t="s">
        <v>4551</v>
      </c>
      <c r="F1436" s="5" t="s">
        <v>4552</v>
      </c>
      <c r="G1436" s="5">
        <v>600</v>
      </c>
    </row>
    <row r="1437" spans="1:7">
      <c r="A1437" s="5" t="s">
        <v>4562</v>
      </c>
      <c r="B1437" s="22" t="s">
        <v>4559</v>
      </c>
      <c r="C1437" s="5" t="s">
        <v>4562</v>
      </c>
      <c r="D1437" s="5" t="s">
        <v>13</v>
      </c>
      <c r="E1437" s="5" t="s">
        <v>4553</v>
      </c>
      <c r="F1437" s="5" t="s">
        <v>4554</v>
      </c>
      <c r="G1437" s="5">
        <v>500</v>
      </c>
    </row>
    <row r="1438" spans="1:7">
      <c r="A1438" s="5" t="s">
        <v>4577</v>
      </c>
      <c r="B1438" s="22" t="s">
        <v>4559</v>
      </c>
      <c r="C1438" s="5" t="s">
        <v>4577</v>
      </c>
      <c r="D1438" s="5" t="s">
        <v>13</v>
      </c>
      <c r="E1438" s="5" t="s">
        <v>4555</v>
      </c>
      <c r="F1438" s="5" t="s">
        <v>4556</v>
      </c>
      <c r="G1438" s="5">
        <v>500</v>
      </c>
    </row>
    <row r="1439" spans="1:7">
      <c r="A1439" s="5" t="s">
        <v>4578</v>
      </c>
      <c r="B1439" s="22" t="s">
        <v>4559</v>
      </c>
      <c r="C1439" s="5" t="s">
        <v>4578</v>
      </c>
      <c r="D1439" s="5" t="s">
        <v>13</v>
      </c>
      <c r="E1439" s="5" t="s">
        <v>4557</v>
      </c>
      <c r="F1439" s="5" t="s">
        <v>4558</v>
      </c>
      <c r="G1439" s="5">
        <v>500</v>
      </c>
    </row>
  </sheetData>
  <phoneticPr fontId="23" type="noConversion"/>
  <conditionalFormatting sqref="F9:F189 F191:F204 F206:F311 E243 F313:F329 F331:F339">
    <cfRule type="cellIs" dxfId="3" priority="2" operator="equal">
      <formula>INDIRECT(ADDRESS(ROW()-1,COLUMN()))</formula>
    </cfRule>
  </conditionalFormatting>
  <conditionalFormatting sqref="F37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3989</v>
      </c>
    </row>
    <row r="2" spans="1:1">
      <c r="A2" s="5" t="s">
        <v>3990</v>
      </c>
    </row>
    <row r="3" spans="1:1">
      <c r="A3" s="5" t="s">
        <v>3991</v>
      </c>
    </row>
    <row r="4" spans="1:1">
      <c r="A4" s="5" t="s">
        <v>3992</v>
      </c>
    </row>
    <row r="5" spans="1:1">
      <c r="A5" s="5" t="s">
        <v>3993</v>
      </c>
    </row>
    <row r="6" spans="1:1">
      <c r="A6" s="5" t="s">
        <v>3994</v>
      </c>
    </row>
    <row r="7" spans="1:1">
      <c r="A7" s="5" t="s">
        <v>3896</v>
      </c>
    </row>
    <row r="8" spans="1:1">
      <c r="A8" s="5" t="s">
        <v>3894</v>
      </c>
    </row>
    <row r="9" spans="1:1">
      <c r="A9" s="5" t="s">
        <v>3899</v>
      </c>
    </row>
    <row r="10" spans="1:1">
      <c r="A10" s="5" t="s">
        <v>3995</v>
      </c>
    </row>
    <row r="11" spans="1:1">
      <c r="A11" s="5" t="s">
        <v>3996</v>
      </c>
    </row>
    <row r="12" spans="1:1">
      <c r="A12" s="5" t="s">
        <v>1116</v>
      </c>
    </row>
    <row r="13" spans="1:1">
      <c r="A13" s="5" t="s">
        <v>3997</v>
      </c>
    </row>
    <row r="14" spans="1:1">
      <c r="A14" s="5" t="s">
        <v>3998</v>
      </c>
    </row>
    <row r="15" spans="1:1">
      <c r="A15" s="5" t="s">
        <v>3999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2026-06-24T14:37:33Z</dcterms:modified>
  <dc:language>en-GB</dc:language>
</cp:coreProperties>
</file>