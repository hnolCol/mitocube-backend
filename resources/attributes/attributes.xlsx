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78B58F20-8815-B046-B5D7-65042C04D653}" xr6:coauthVersionLast="47" xr6:coauthVersionMax="47" xr10:uidLastSave="{00000000-0000-0000-0000-000000000000}"/>
  <bookViews>
    <workbookView xWindow="10820" yWindow="104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5" i="2" l="1"/>
  <c r="C829" i="2"/>
  <c r="C828" i="2"/>
  <c r="C827" i="2"/>
  <c r="C826" i="2"/>
  <c r="C824" i="2"/>
  <c r="C823" i="2"/>
  <c r="C752" i="2"/>
  <c r="C913" i="2"/>
  <c r="C912" i="2"/>
  <c r="C911" i="2"/>
  <c r="C910" i="2"/>
  <c r="C909" i="2"/>
  <c r="C908" i="2"/>
  <c r="C907" i="2"/>
  <c r="C906" i="2"/>
  <c r="C905" i="2"/>
  <c r="C904" i="2"/>
  <c r="C903" i="2"/>
  <c r="C902" i="2"/>
  <c r="C901" i="2"/>
  <c r="C900" i="2"/>
  <c r="C899" i="2"/>
  <c r="C898" i="2"/>
  <c r="C897" i="2"/>
  <c r="C896" i="2"/>
  <c r="C895" i="2"/>
  <c r="C894" i="2"/>
  <c r="C893" i="2"/>
  <c r="C892" i="2"/>
  <c r="C891" i="2"/>
  <c r="C215" i="2"/>
  <c r="C219" i="2"/>
  <c r="C445" i="2"/>
  <c r="C452" i="2"/>
  <c r="C451" i="2"/>
  <c r="C779" i="2"/>
  <c r="C778" i="2"/>
  <c r="C777" i="2"/>
  <c r="C768" i="2"/>
  <c r="C918" i="2"/>
  <c r="C917" i="2"/>
  <c r="C916" i="2"/>
  <c r="C915" i="2"/>
  <c r="C914" i="2"/>
  <c r="C698" i="2"/>
  <c r="C417" i="2"/>
  <c r="C790" i="2"/>
  <c r="C416"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89" i="2"/>
  <c r="C788" i="2"/>
  <c r="C787" i="2"/>
  <c r="C786" i="2"/>
  <c r="C785" i="2"/>
  <c r="C784" i="2"/>
  <c r="C783" i="2"/>
  <c r="C782" i="2"/>
  <c r="C781" i="2"/>
  <c r="C780" i="2"/>
  <c r="C776" i="2"/>
  <c r="C775" i="2"/>
  <c r="C774" i="2"/>
  <c r="C773" i="2"/>
  <c r="C772" i="2"/>
  <c r="C771" i="2"/>
  <c r="C770" i="2"/>
  <c r="C769" i="2"/>
  <c r="C767" i="2"/>
  <c r="C766" i="2"/>
  <c r="C765" i="2"/>
  <c r="C764" i="2"/>
  <c r="C763" i="2"/>
  <c r="C762" i="2"/>
  <c r="C761" i="2"/>
  <c r="C760" i="2"/>
  <c r="C759" i="2"/>
  <c r="C758" i="2"/>
  <c r="C757" i="2"/>
  <c r="C756" i="2"/>
  <c r="C755" i="2"/>
  <c r="C754" i="2"/>
  <c r="C753"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<sst xmlns="http://schemas.openxmlformats.org/spreadsheetml/2006/main" count="10304" uniqueCount="2953">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</sst>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6"/>
  <sheetViews>
    <sheetView zoomScaleNormal="100" workbookViewId="0">
      <pane ySplit="1" topLeftCell="A68" activePane="bottomLeft" state="frozen"/>
      <selection pane="bottomLeft" activeCell="A116" sqref="A11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450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450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400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450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400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400</v>
      </c>
      <c r="E77" s="1" t="s">
        <v>19</v>
      </c>
      <c r="F77" s="1" t="s">
        <v>21</v>
      </c>
      <c r="G77" t="s">
        <v>185</v>
      </c>
      <c r="H77">
        <v>1</v>
      </c>
      <c r="I77" s="7" t="b">
        <v>0</v>
      </c>
      <c r="J77" s="7" t="b">
        <v>0</v>
      </c>
      <c r="K77" s="1" t="s">
        <v>19</v>
      </c>
      <c r="L77" s="1" t="s">
        <v>19</v>
      </c>
      <c r="M77" s="1" t="s">
        <v>19</v>
      </c>
      <c r="N77" s="1" t="s">
        <v>19</v>
      </c>
      <c r="O77" s="1" t="s">
        <v>19</v>
      </c>
      <c r="P77" s="1" t="s">
        <v>21</v>
      </c>
    </row>
    <row r="78" spans="1:16" x14ac:dyDescent="0.15">
      <c r="A78" s="6" t="s">
        <v>183</v>
      </c>
      <c r="B78" t="s">
        <v>17</v>
      </c>
      <c r="C78" t="s">
        <v>189</v>
      </c>
      <c r="D78">
        <v>400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2863</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21</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2861</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2924</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2922</v>
      </c>
      <c r="B115" t="s">
        <v>17</v>
      </c>
      <c r="C115" t="s">
        <v>2925</v>
      </c>
      <c r="D115">
        <v>500</v>
      </c>
      <c r="E115" s="1" t="s">
        <v>21</v>
      </c>
      <c r="F115" s="1" t="s">
        <v>19</v>
      </c>
      <c r="G115" t="s">
        <v>2923</v>
      </c>
      <c r="H115">
        <v>0</v>
      </c>
      <c r="I115" s="2" t="b">
        <v>0</v>
      </c>
      <c r="J115" s="2" t="b">
        <v>0</v>
      </c>
      <c r="K115" s="1" t="s">
        <v>19</v>
      </c>
      <c r="L115" s="1" t="s">
        <v>19</v>
      </c>
      <c r="M115" s="1" t="s">
        <v>19</v>
      </c>
      <c r="N115" s="1" t="s">
        <v>19</v>
      </c>
      <c r="O115" s="1" t="s">
        <v>21</v>
      </c>
      <c r="P115" s="1" t="s">
        <v>19</v>
      </c>
    </row>
    <row r="116" spans="1:16" x14ac:dyDescent="0.15">
      <c r="A116" t="s">
        <v>2930</v>
      </c>
      <c r="B116" t="s">
        <v>17</v>
      </c>
      <c r="C116" t="s">
        <v>2931</v>
      </c>
      <c r="D116">
        <v>650</v>
      </c>
      <c r="E116" s="1" t="s">
        <v>19</v>
      </c>
      <c r="F116" s="1" t="s">
        <v>19</v>
      </c>
      <c r="G116" t="s">
        <v>47</v>
      </c>
      <c r="H116">
        <v>0</v>
      </c>
      <c r="I116" s="2" t="b">
        <v>0</v>
      </c>
      <c r="J116" s="2" t="b">
        <v>0</v>
      </c>
      <c r="K116" s="1" t="s">
        <v>21</v>
      </c>
      <c r="L116" s="1" t="s">
        <v>19</v>
      </c>
      <c r="M116" s="1" t="s">
        <v>19</v>
      </c>
      <c r="N116" s="1" t="s">
        <v>19</v>
      </c>
      <c r="O116" s="1" t="s">
        <v>21</v>
      </c>
      <c r="P116" s="1" t="s">
        <v>21</v>
      </c>
    </row>
  </sheetData>
  <conditionalFormatting sqref="E1:F112 K1:P112 I2:J112">
    <cfRule type="containsText" dxfId="7" priority="5" operator="containsText" text="TRUE">
      <formula>NOT(ISERROR(SEARCH("TRUE",E1)))</formula>
    </cfRule>
  </conditionalFormatting>
  <conditionalFormatting sqref="J113:P114">
    <cfRule type="containsText" dxfId="6" priority="2" operator="containsText" text="TRUE">
      <formula>NOT(ISERROR(SEARCH("TRUE",J113)))</formula>
    </cfRule>
  </conditionalFormatting>
  <conditionalFormatting sqref="M115:P115">
    <cfRule type="containsText" dxfId="5" priority="1" operator="containsText" text="TRUE">
      <formula>NOT(ISERROR(SEARCH("TRUE",M115)))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18"/>
  <sheetViews>
    <sheetView tabSelected="1" topLeftCell="A872" zoomScaleNormal="100" workbookViewId="0">
      <selection activeCell="B897" sqref="B897"/>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2862</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2857</v>
      </c>
      <c r="F444" s="8" t="s">
        <v>2857</v>
      </c>
    </row>
    <row r="445" spans="1:6" x14ac:dyDescent="0.15">
      <c r="A445" s="8" t="s">
        <v>1363</v>
      </c>
      <c r="B445" s="8" t="s">
        <v>150</v>
      </c>
      <c r="C445" s="8" t="str">
        <f t="shared" ref="C445" si="9">B445&amp;":"&amp;A445</f>
        <v>att_liquid_handler:opentrons</v>
      </c>
      <c r="D445" s="8" t="s">
        <v>1363</v>
      </c>
      <c r="E445" s="8" t="s">
        <v>2858</v>
      </c>
      <c r="F445" s="8" t="s">
        <v>2858</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2853</v>
      </c>
      <c r="B451" s="8" t="s">
        <v>91</v>
      </c>
      <c r="C451" s="8" t="str">
        <f t="shared" ref="C451" si="10">B451&amp;":"&amp;A451</f>
        <v>att_lysis_method:chemical</v>
      </c>
      <c r="D451" s="9" t="s">
        <v>17</v>
      </c>
      <c r="E451" s="8" t="s">
        <v>2854</v>
      </c>
      <c r="F451" s="8" t="s">
        <v>2855</v>
      </c>
    </row>
    <row r="452" spans="1:6" x14ac:dyDescent="0.15">
      <c r="A452" s="8" t="s">
        <v>2865</v>
      </c>
      <c r="B452" s="8" t="s">
        <v>91</v>
      </c>
      <c r="C452" s="8" t="str">
        <f t="shared" ref="C452" si="11">B452&amp;":"&amp;A452</f>
        <v>att_lysis_method:sonicaton</v>
      </c>
      <c r="D452" s="9" t="s">
        <v>17</v>
      </c>
      <c r="E452" s="8" t="s">
        <v>2866</v>
      </c>
      <c r="F452" s="8" t="s">
        <v>2864</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7"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2929</v>
      </c>
      <c r="B752" s="8" t="s">
        <v>196</v>
      </c>
      <c r="C752" s="8" t="str">
        <f t="shared" si="16"/>
        <v>att_organism:controls</v>
      </c>
      <c r="D752" s="8" t="s">
        <v>2926</v>
      </c>
      <c r="E752" s="8" t="s">
        <v>2927</v>
      </c>
      <c r="F752" s="8" t="s">
        <v>2928</v>
      </c>
    </row>
    <row r="753" spans="1:6" x14ac:dyDescent="0.15">
      <c r="A753" s="8" t="s">
        <v>2219</v>
      </c>
      <c r="B753" s="8" t="s">
        <v>2220</v>
      </c>
      <c r="C753" s="8" t="str">
        <f t="shared" si="16"/>
        <v>att_organsystem:cardiovascular</v>
      </c>
      <c r="D753" s="9" t="s">
        <v>17</v>
      </c>
      <c r="E753" s="8" t="s">
        <v>2221</v>
      </c>
      <c r="F753" s="8" t="s">
        <v>2222</v>
      </c>
    </row>
    <row r="754" spans="1:6" x14ac:dyDescent="0.15">
      <c r="A754" s="8" t="s">
        <v>2223</v>
      </c>
      <c r="B754" s="8" t="s">
        <v>2220</v>
      </c>
      <c r="C754" s="8" t="str">
        <f t="shared" si="16"/>
        <v>att_organsystem:digestive</v>
      </c>
      <c r="D754" s="9" t="s">
        <v>17</v>
      </c>
      <c r="E754" s="8" t="s">
        <v>2224</v>
      </c>
      <c r="F754" s="8" t="s">
        <v>2225</v>
      </c>
    </row>
    <row r="755" spans="1:6" x14ac:dyDescent="0.15">
      <c r="A755" s="8" t="s">
        <v>2226</v>
      </c>
      <c r="B755" s="8" t="s">
        <v>2220</v>
      </c>
      <c r="C755" s="8" t="str">
        <f t="shared" si="16"/>
        <v>att_organsystem:endocrine</v>
      </c>
      <c r="D755" s="9" t="s">
        <v>17</v>
      </c>
      <c r="E755" s="8" t="s">
        <v>2227</v>
      </c>
      <c r="F755" s="8" t="s">
        <v>2228</v>
      </c>
    </row>
    <row r="756" spans="1:6" x14ac:dyDescent="0.15">
      <c r="A756" s="8" t="s">
        <v>2229</v>
      </c>
      <c r="B756" s="8" t="s">
        <v>2220</v>
      </c>
      <c r="C756" s="8" t="str">
        <f t="shared" si="16"/>
        <v>att_organsystem:excretory</v>
      </c>
      <c r="D756" s="9" t="s">
        <v>17</v>
      </c>
      <c r="E756" s="8" t="s">
        <v>2230</v>
      </c>
      <c r="F756" s="8" t="s">
        <v>2231</v>
      </c>
    </row>
    <row r="757" spans="1:6" x14ac:dyDescent="0.15">
      <c r="A757" s="8" t="s">
        <v>2232</v>
      </c>
      <c r="B757" s="8" t="s">
        <v>2220</v>
      </c>
      <c r="C757" s="8" t="str">
        <f t="shared" si="16"/>
        <v>att_organsystem:integumentary</v>
      </c>
      <c r="D757" s="9" t="s">
        <v>17</v>
      </c>
      <c r="E757" s="8" t="s">
        <v>2233</v>
      </c>
      <c r="F757" s="8" t="s">
        <v>2234</v>
      </c>
    </row>
    <row r="758" spans="1:6" x14ac:dyDescent="0.15">
      <c r="A758" s="8" t="s">
        <v>2235</v>
      </c>
      <c r="B758" s="8" t="s">
        <v>2220</v>
      </c>
      <c r="C758" s="8" t="str">
        <f t="shared" si="16"/>
        <v>att_organsystem:lymphatic</v>
      </c>
      <c r="D758" s="9" t="s">
        <v>17</v>
      </c>
      <c r="E758" s="8" t="s">
        <v>2236</v>
      </c>
      <c r="F758" s="8" t="s">
        <v>2237</v>
      </c>
    </row>
    <row r="759" spans="1:6" x14ac:dyDescent="0.15">
      <c r="A759" s="8" t="s">
        <v>2238</v>
      </c>
      <c r="B759" s="8" t="s">
        <v>2220</v>
      </c>
      <c r="C759" s="8" t="str">
        <f t="shared" si="16"/>
        <v>att_organsystem:muscular</v>
      </c>
      <c r="D759" s="9" t="s">
        <v>17</v>
      </c>
      <c r="E759" s="8" t="s">
        <v>2239</v>
      </c>
      <c r="F759" s="8" t="s">
        <v>2240</v>
      </c>
    </row>
    <row r="760" spans="1:6" x14ac:dyDescent="0.15">
      <c r="A760" s="8" t="s">
        <v>2241</v>
      </c>
      <c r="B760" s="8" t="s">
        <v>2220</v>
      </c>
      <c r="C760" s="8" t="str">
        <f t="shared" si="16"/>
        <v>att_organsystem:nervous_system</v>
      </c>
      <c r="D760" s="9" t="s">
        <v>17</v>
      </c>
      <c r="E760" s="8" t="s">
        <v>2242</v>
      </c>
      <c r="F760" s="8" t="s">
        <v>2243</v>
      </c>
    </row>
    <row r="761" spans="1:6" x14ac:dyDescent="0.15">
      <c r="A761" s="8" t="s">
        <v>2244</v>
      </c>
      <c r="B761" s="8" t="s">
        <v>2220</v>
      </c>
      <c r="C761" s="8" t="str">
        <f t="shared" si="16"/>
        <v>att_organsystem:reproductive</v>
      </c>
      <c r="D761" s="9" t="s">
        <v>17</v>
      </c>
      <c r="E761" s="8" t="s">
        <v>2245</v>
      </c>
      <c r="F761" s="8" t="s">
        <v>2246</v>
      </c>
    </row>
    <row r="762" spans="1:6" x14ac:dyDescent="0.15">
      <c r="A762" s="8" t="s">
        <v>2247</v>
      </c>
      <c r="B762" s="8" t="s">
        <v>2220</v>
      </c>
      <c r="C762" s="8" t="str">
        <f t="shared" si="16"/>
        <v>att_organsystem:respiratory</v>
      </c>
      <c r="D762" s="9" t="s">
        <v>17</v>
      </c>
      <c r="E762" s="8" t="s">
        <v>2248</v>
      </c>
      <c r="F762" s="8" t="s">
        <v>2249</v>
      </c>
    </row>
    <row r="763" spans="1:6" x14ac:dyDescent="0.15">
      <c r="A763" s="8" t="s">
        <v>2250</v>
      </c>
      <c r="B763" s="8" t="s">
        <v>2220</v>
      </c>
      <c r="C763" s="8" t="str">
        <f t="shared" si="16"/>
        <v>att_organsystem:skeletal</v>
      </c>
      <c r="D763" s="9" t="s">
        <v>17</v>
      </c>
      <c r="E763" s="8" t="s">
        <v>2251</v>
      </c>
      <c r="F763" s="8" t="s">
        <v>2252</v>
      </c>
    </row>
    <row r="764" spans="1:6" x14ac:dyDescent="0.15">
      <c r="A764" s="8" t="s">
        <v>2253</v>
      </c>
      <c r="B764" s="8" t="s">
        <v>2220</v>
      </c>
      <c r="C764" s="8" t="str">
        <f t="shared" si="16"/>
        <v>att_organsystem:urinary</v>
      </c>
      <c r="D764" s="9" t="s">
        <v>17</v>
      </c>
      <c r="E764" s="8" t="s">
        <v>2254</v>
      </c>
      <c r="F764" s="8" t="s">
        <v>2255</v>
      </c>
    </row>
    <row r="765" spans="1:6" x14ac:dyDescent="0.15">
      <c r="A765" s="8" t="s">
        <v>2256</v>
      </c>
      <c r="B765" s="8" t="s">
        <v>198</v>
      </c>
      <c r="C765" s="8" t="str">
        <f t="shared" si="16"/>
        <v>att_phystraining:intervalcardio</v>
      </c>
      <c r="D765" s="9" t="s">
        <v>17</v>
      </c>
      <c r="E765" s="8" t="s">
        <v>2257</v>
      </c>
      <c r="F765" s="8" t="s">
        <v>2258</v>
      </c>
    </row>
    <row r="766" spans="1:6" x14ac:dyDescent="0.15">
      <c r="A766" s="8" t="s">
        <v>2259</v>
      </c>
      <c r="B766" s="8" t="s">
        <v>198</v>
      </c>
      <c r="C766" s="8" t="str">
        <f t="shared" si="16"/>
        <v>att_phystraining:steadycardio</v>
      </c>
      <c r="D766" s="9" t="s">
        <v>17</v>
      </c>
      <c r="E766" s="8" t="s">
        <v>2836</v>
      </c>
      <c r="F766" s="8" t="s">
        <v>2260</v>
      </c>
    </row>
    <row r="767" spans="1:6" x14ac:dyDescent="0.15">
      <c r="A767" s="8" t="s">
        <v>2261</v>
      </c>
      <c r="B767" s="8" t="s">
        <v>198</v>
      </c>
      <c r="C767" s="8" t="str">
        <f t="shared" si="16"/>
        <v>att_phystraining:strength</v>
      </c>
      <c r="D767" s="9" t="s">
        <v>17</v>
      </c>
      <c r="E767" s="8" t="s">
        <v>2262</v>
      </c>
      <c r="F767" s="8" t="s">
        <v>2263</v>
      </c>
    </row>
    <row r="768" spans="1:6" x14ac:dyDescent="0.15">
      <c r="A768" s="8" t="s">
        <v>2837</v>
      </c>
      <c r="B768" s="8" t="s">
        <v>198</v>
      </c>
      <c r="C768" s="8" t="str">
        <f t="shared" si="16"/>
        <v>att_phystraining:hiit</v>
      </c>
      <c r="D768" s="9" t="s">
        <v>17</v>
      </c>
      <c r="E768" s="8" t="s">
        <v>2838</v>
      </c>
      <c r="F768" s="8" t="s">
        <v>2839</v>
      </c>
    </row>
    <row r="769" spans="1:6" x14ac:dyDescent="0.15">
      <c r="A769" s="8" t="s">
        <v>2264</v>
      </c>
      <c r="B769" s="8" t="s">
        <v>203</v>
      </c>
      <c r="C769" s="8" t="str">
        <f t="shared" si="16"/>
        <v>att_protease:argc</v>
      </c>
      <c r="D769" s="9" t="s">
        <v>17</v>
      </c>
      <c r="E769" s="8" t="s">
        <v>2265</v>
      </c>
      <c r="F769" s="8" t="s">
        <v>2266</v>
      </c>
    </row>
    <row r="770" spans="1:6" x14ac:dyDescent="0.15">
      <c r="A770" s="8" t="s">
        <v>2267</v>
      </c>
      <c r="B770" s="8" t="s">
        <v>203</v>
      </c>
      <c r="C770" s="8" t="str">
        <f t="shared" si="16"/>
        <v>att_protease:aspn</v>
      </c>
      <c r="D770" s="9" t="s">
        <v>17</v>
      </c>
      <c r="E770" s="8" t="s">
        <v>2268</v>
      </c>
      <c r="F770" s="8" t="s">
        <v>2269</v>
      </c>
    </row>
    <row r="771" spans="1:6" x14ac:dyDescent="0.15">
      <c r="A771" s="8" t="s">
        <v>2270</v>
      </c>
      <c r="B771" s="8" t="s">
        <v>203</v>
      </c>
      <c r="C771" s="8" t="str">
        <f t="shared" si="16"/>
        <v>att_protease:chymotrypsin</v>
      </c>
      <c r="D771" s="9" t="s">
        <v>17</v>
      </c>
      <c r="E771" s="8" t="s">
        <v>2271</v>
      </c>
      <c r="F771" s="8" t="s">
        <v>2272</v>
      </c>
    </row>
    <row r="772" spans="1:6" x14ac:dyDescent="0.15">
      <c r="A772" s="8" t="s">
        <v>2273</v>
      </c>
      <c r="B772" s="8" t="s">
        <v>203</v>
      </c>
      <c r="C772" s="8" t="str">
        <f t="shared" si="16"/>
        <v>att_protease:elastase</v>
      </c>
      <c r="D772" s="9" t="s">
        <v>17</v>
      </c>
      <c r="E772" s="8" t="s">
        <v>2274</v>
      </c>
      <c r="F772" s="8" t="s">
        <v>2275</v>
      </c>
    </row>
    <row r="773" spans="1:6" x14ac:dyDescent="0.15">
      <c r="A773" s="8" t="s">
        <v>2276</v>
      </c>
      <c r="B773" s="8" t="s">
        <v>203</v>
      </c>
      <c r="C773" s="8" t="str">
        <f t="shared" si="16"/>
        <v>att_protease:gluc</v>
      </c>
      <c r="D773" s="9" t="s">
        <v>17</v>
      </c>
      <c r="E773" s="8" t="s">
        <v>2277</v>
      </c>
      <c r="F773" s="8" t="s">
        <v>2278</v>
      </c>
    </row>
    <row r="774" spans="1:6" x14ac:dyDescent="0.15">
      <c r="A774" s="8" t="s">
        <v>2279</v>
      </c>
      <c r="B774" s="8" t="s">
        <v>203</v>
      </c>
      <c r="C774" s="8" t="str">
        <f t="shared" si="16"/>
        <v>att_protease:lysc</v>
      </c>
      <c r="D774" s="9" t="s">
        <v>17</v>
      </c>
      <c r="E774" s="8" t="s">
        <v>2280</v>
      </c>
      <c r="F774" s="8" t="s">
        <v>2281</v>
      </c>
    </row>
    <row r="775" spans="1:6" x14ac:dyDescent="0.15">
      <c r="A775" s="8" t="s">
        <v>2282</v>
      </c>
      <c r="B775" s="8" t="s">
        <v>203</v>
      </c>
      <c r="C775" s="8" t="str">
        <f t="shared" si="16"/>
        <v>att_protease:raspn</v>
      </c>
      <c r="D775" s="9" t="s">
        <v>17</v>
      </c>
      <c r="E775" s="8" t="s">
        <v>2283</v>
      </c>
      <c r="F775" s="8" t="s">
        <v>2284</v>
      </c>
    </row>
    <row r="776" spans="1:6" x14ac:dyDescent="0.15">
      <c r="A776" s="8" t="s">
        <v>2285</v>
      </c>
      <c r="B776" s="8" t="s">
        <v>203</v>
      </c>
      <c r="C776" s="8" t="str">
        <f t="shared" si="16"/>
        <v>att_protease:trypsin</v>
      </c>
      <c r="D776" s="9" t="s">
        <v>17</v>
      </c>
      <c r="E776" s="8" t="s">
        <v>2286</v>
      </c>
      <c r="F776" s="8" t="s">
        <v>2287</v>
      </c>
    </row>
    <row r="777" spans="1:6" x14ac:dyDescent="0.15">
      <c r="A777" s="8" t="s">
        <v>2840</v>
      </c>
      <c r="B777" s="8" t="s">
        <v>206</v>
      </c>
      <c r="C777" s="8" t="str">
        <f t="shared" si="16"/>
        <v>att_protein_mutation:apex</v>
      </c>
      <c r="D777" s="9" t="s">
        <v>17</v>
      </c>
      <c r="E777" s="8" t="s">
        <v>2841</v>
      </c>
      <c r="F777" s="8" t="s">
        <v>2842</v>
      </c>
    </row>
    <row r="778" spans="1:6" x14ac:dyDescent="0.15">
      <c r="A778" s="8" t="s">
        <v>2843</v>
      </c>
      <c r="B778" s="8" t="s">
        <v>206</v>
      </c>
      <c r="C778" s="8" t="str">
        <f t="shared" si="16"/>
        <v>att_protein_mutation:bioid</v>
      </c>
      <c r="D778" s="9" t="s">
        <v>17</v>
      </c>
      <c r="E778" s="8" t="s">
        <v>2844</v>
      </c>
      <c r="F778" s="8" t="s">
        <v>2845</v>
      </c>
    </row>
    <row r="779" spans="1:6" x14ac:dyDescent="0.15">
      <c r="A779" s="8" t="s">
        <v>2846</v>
      </c>
      <c r="B779" s="8" t="s">
        <v>206</v>
      </c>
      <c r="C779" s="8" t="str">
        <f t="shared" si="16"/>
        <v>att_protein_mutation:turboid</v>
      </c>
      <c r="D779" s="9" t="s">
        <v>17</v>
      </c>
      <c r="E779" s="8" t="s">
        <v>2847</v>
      </c>
      <c r="F779" s="8" t="s">
        <v>2848</v>
      </c>
    </row>
    <row r="780" spans="1:6" x14ac:dyDescent="0.15">
      <c r="A780" s="8" t="s">
        <v>1275</v>
      </c>
      <c r="B780" s="8" t="s">
        <v>206</v>
      </c>
      <c r="C780" s="8" t="str">
        <f t="shared" si="16"/>
        <v>att_protein_mutation:deletion</v>
      </c>
      <c r="D780" s="9" t="s">
        <v>17</v>
      </c>
      <c r="E780" s="8" t="s">
        <v>2288</v>
      </c>
      <c r="F780" s="8" t="s">
        <v>2289</v>
      </c>
    </row>
    <row r="781" spans="1:6" x14ac:dyDescent="0.15">
      <c r="A781" s="8" t="s">
        <v>2290</v>
      </c>
      <c r="B781" s="8" t="s">
        <v>206</v>
      </c>
      <c r="C781" s="8" t="str">
        <f t="shared" si="16"/>
        <v>att_protein_mutation:flag</v>
      </c>
      <c r="D781" s="9" t="s">
        <v>17</v>
      </c>
      <c r="E781" s="8" t="s">
        <v>2291</v>
      </c>
      <c r="F781" s="8" t="s">
        <v>2292</v>
      </c>
    </row>
    <row r="782" spans="1:6" x14ac:dyDescent="0.15">
      <c r="A782" s="8" t="s">
        <v>2293</v>
      </c>
      <c r="B782" s="8" t="s">
        <v>206</v>
      </c>
      <c r="C782" s="8" t="str">
        <f t="shared" si="16"/>
        <v>att_protein_mutation:frameshift</v>
      </c>
      <c r="D782" s="9" t="s">
        <v>17</v>
      </c>
      <c r="E782" s="8" t="s">
        <v>2294</v>
      </c>
      <c r="F782" s="8" t="s">
        <v>2295</v>
      </c>
    </row>
    <row r="783" spans="1:6" x14ac:dyDescent="0.15">
      <c r="A783" s="8" t="s">
        <v>2296</v>
      </c>
      <c r="B783" s="8" t="s">
        <v>206</v>
      </c>
      <c r="C783" s="8" t="str">
        <f t="shared" si="16"/>
        <v>att_protein_mutation:gfp</v>
      </c>
      <c r="D783" s="9" t="s">
        <v>17</v>
      </c>
      <c r="E783" s="8" t="s">
        <v>2297</v>
      </c>
      <c r="F783" s="8" t="s">
        <v>2298</v>
      </c>
    </row>
    <row r="784" spans="1:6" x14ac:dyDescent="0.15">
      <c r="A784" s="8" t="s">
        <v>2299</v>
      </c>
      <c r="B784" s="8" t="s">
        <v>206</v>
      </c>
      <c r="C784" s="8" t="str">
        <f t="shared" si="16"/>
        <v>att_protein_mutation:ha</v>
      </c>
      <c r="D784" s="9" t="s">
        <v>17</v>
      </c>
      <c r="E784" s="8" t="s">
        <v>2300</v>
      </c>
      <c r="F784" s="8" t="s">
        <v>2301</v>
      </c>
    </row>
    <row r="785" spans="1:6" x14ac:dyDescent="0.15">
      <c r="A785" s="8" t="s">
        <v>2302</v>
      </c>
      <c r="B785" s="8" t="s">
        <v>206</v>
      </c>
      <c r="C785" s="8" t="str">
        <f t="shared" si="16"/>
        <v>att_protein_mutation:his</v>
      </c>
      <c r="D785" s="9" t="s">
        <v>17</v>
      </c>
      <c r="E785" s="8" t="s">
        <v>2303</v>
      </c>
      <c r="F785" s="8" t="s">
        <v>2304</v>
      </c>
    </row>
    <row r="786" spans="1:6" x14ac:dyDescent="0.15">
      <c r="A786" s="8" t="s">
        <v>2305</v>
      </c>
      <c r="B786" s="8" t="s">
        <v>206</v>
      </c>
      <c r="C786" s="8" t="str">
        <f t="shared" si="16"/>
        <v>att_protein_mutation:insertion</v>
      </c>
      <c r="D786" s="9" t="s">
        <v>17</v>
      </c>
      <c r="E786" s="8" t="s">
        <v>2306</v>
      </c>
      <c r="F786" s="8" t="s">
        <v>2307</v>
      </c>
    </row>
    <row r="787" spans="1:6" x14ac:dyDescent="0.15">
      <c r="A787" s="8" t="s">
        <v>2308</v>
      </c>
      <c r="B787" s="8" t="s">
        <v>206</v>
      </c>
      <c r="C787" s="8" t="str">
        <f t="shared" si="16"/>
        <v>att_protein_mutation:myc</v>
      </c>
      <c r="D787" s="9" t="s">
        <v>17</v>
      </c>
      <c r="E787" s="8" t="s">
        <v>2309</v>
      </c>
      <c r="F787" s="8" t="s">
        <v>2310</v>
      </c>
    </row>
    <row r="788" spans="1:6" x14ac:dyDescent="0.15">
      <c r="A788" s="8" t="s">
        <v>2311</v>
      </c>
      <c r="B788" s="8" t="s">
        <v>206</v>
      </c>
      <c r="C788" s="8" t="str">
        <f t="shared" si="16"/>
        <v>att_protein_mutation:pep86</v>
      </c>
      <c r="D788" s="9" t="s">
        <v>17</v>
      </c>
      <c r="E788" s="8" t="s">
        <v>2812</v>
      </c>
      <c r="F788" s="8" t="s">
        <v>2312</v>
      </c>
    </row>
    <row r="789" spans="1:6" x14ac:dyDescent="0.15">
      <c r="A789" s="8" t="s">
        <v>2313</v>
      </c>
      <c r="B789" s="8" t="s">
        <v>206</v>
      </c>
      <c r="C789" s="8" t="str">
        <f t="shared" si="16"/>
        <v>att_protein_mutation:substitution</v>
      </c>
      <c r="D789" s="9" t="s">
        <v>17</v>
      </c>
      <c r="E789" s="8" t="s">
        <v>2314</v>
      </c>
      <c r="F789" s="8" t="s">
        <v>2315</v>
      </c>
    </row>
    <row r="790" spans="1:6" x14ac:dyDescent="0.15">
      <c r="A790" s="8" t="s">
        <v>2316</v>
      </c>
      <c r="B790" s="8" t="s">
        <v>206</v>
      </c>
      <c r="C790" s="8" t="str">
        <f t="shared" ref="C790" si="17">B790&amp;":"&amp;A790</f>
        <v>att_protein_mutation:truncation</v>
      </c>
      <c r="D790" s="9" t="s">
        <v>17</v>
      </c>
      <c r="E790" s="8" t="s">
        <v>2317</v>
      </c>
      <c r="F790" s="8" t="s">
        <v>2318</v>
      </c>
    </row>
    <row r="791" spans="1:6" x14ac:dyDescent="0.15">
      <c r="A791" s="8" t="s">
        <v>342</v>
      </c>
      <c r="B791" s="8" t="s">
        <v>206</v>
      </c>
      <c r="C791" s="8" t="str">
        <f t="shared" si="16"/>
        <v>att_protein_mutation:none</v>
      </c>
      <c r="D791" s="9" t="s">
        <v>17</v>
      </c>
      <c r="E791" s="8" t="s">
        <v>1874</v>
      </c>
      <c r="F791" s="8" t="s">
        <v>2813</v>
      </c>
    </row>
    <row r="792" spans="1:6" x14ac:dyDescent="0.15">
      <c r="A792" s="8" t="s">
        <v>2319</v>
      </c>
      <c r="B792" s="8" t="s">
        <v>208</v>
      </c>
      <c r="C792" s="8" t="str">
        <f t="shared" si="16"/>
        <v>att_protein_position:aa</v>
      </c>
      <c r="D792" s="9" t="s">
        <v>17</v>
      </c>
      <c r="E792" s="8" t="s">
        <v>2320</v>
      </c>
      <c r="F792" s="8" t="s">
        <v>2321</v>
      </c>
    </row>
    <row r="793" spans="1:6" x14ac:dyDescent="0.15">
      <c r="A793" s="8" t="s">
        <v>2322</v>
      </c>
      <c r="B793" s="8" t="s">
        <v>208</v>
      </c>
      <c r="C793" s="8" t="str">
        <f t="shared" si="16"/>
        <v>att_protein_position:cterm</v>
      </c>
      <c r="D793" s="9" t="s">
        <v>17</v>
      </c>
      <c r="E793" s="8" t="s">
        <v>2323</v>
      </c>
      <c r="F793" s="8" t="s">
        <v>2324</v>
      </c>
    </row>
    <row r="794" spans="1:6" x14ac:dyDescent="0.15">
      <c r="A794" s="8" t="s">
        <v>2325</v>
      </c>
      <c r="B794" s="8" t="s">
        <v>208</v>
      </c>
      <c r="C794" s="8" t="str">
        <f t="shared" si="16"/>
        <v>att_protein_position:nterm</v>
      </c>
      <c r="D794" s="9" t="s">
        <v>17</v>
      </c>
      <c r="E794" s="8" t="s">
        <v>2326</v>
      </c>
      <c r="F794" s="8" t="s">
        <v>2327</v>
      </c>
    </row>
    <row r="795" spans="1:6" x14ac:dyDescent="0.15">
      <c r="A795" s="8" t="s">
        <v>2328</v>
      </c>
      <c r="B795" s="8" t="s">
        <v>208</v>
      </c>
      <c r="C795" s="8" t="str">
        <f t="shared" si="16"/>
        <v>att_protein_position:region</v>
      </c>
      <c r="D795" s="9" t="s">
        <v>17</v>
      </c>
      <c r="E795" s="8" t="s">
        <v>2329</v>
      </c>
      <c r="F795" s="8" t="s">
        <v>2330</v>
      </c>
    </row>
    <row r="796" spans="1:6" x14ac:dyDescent="0.15">
      <c r="A796" s="8" t="s">
        <v>2331</v>
      </c>
      <c r="B796" s="8" t="s">
        <v>210</v>
      </c>
      <c r="C796" s="8" t="str">
        <f t="shared" si="16"/>
        <v>att_quant_algorithm:directlfq</v>
      </c>
      <c r="D796" s="9" t="s">
        <v>17</v>
      </c>
      <c r="E796" s="8" t="s">
        <v>2332</v>
      </c>
      <c r="F796" s="9" t="s">
        <v>17</v>
      </c>
    </row>
    <row r="797" spans="1:6" x14ac:dyDescent="0.15">
      <c r="A797" s="8" t="s">
        <v>2333</v>
      </c>
      <c r="B797" s="8" t="s">
        <v>210</v>
      </c>
      <c r="C797" s="8" t="str">
        <f t="shared" si="16"/>
        <v>att_quant_algorithm:maxlfq</v>
      </c>
      <c r="D797" s="9" t="s">
        <v>17</v>
      </c>
      <c r="E797" s="8" t="s">
        <v>2334</v>
      </c>
      <c r="F797" s="9" t="s">
        <v>17</v>
      </c>
    </row>
    <row r="798" spans="1:6" x14ac:dyDescent="0.15">
      <c r="A798" s="8" t="s">
        <v>2335</v>
      </c>
      <c r="B798" s="8" t="s">
        <v>210</v>
      </c>
      <c r="C798" s="8" t="str">
        <f t="shared" si="16"/>
        <v>att_quant_algorithm:speccount</v>
      </c>
      <c r="D798" s="9" t="s">
        <v>17</v>
      </c>
      <c r="E798" s="8" t="s">
        <v>2336</v>
      </c>
      <c r="F798" s="9" t="s">
        <v>17</v>
      </c>
    </row>
    <row r="799" spans="1:6" x14ac:dyDescent="0.15">
      <c r="A799" s="8" t="s">
        <v>2337</v>
      </c>
      <c r="B799" s="8" t="s">
        <v>211</v>
      </c>
      <c r="C799" s="8" t="str">
        <f t="shared" si="16"/>
        <v>att_quantification:isobaric</v>
      </c>
      <c r="D799" s="9" t="s">
        <v>17</v>
      </c>
      <c r="E799" s="8" t="s">
        <v>2337</v>
      </c>
      <c r="F799" s="8" t="s">
        <v>2338</v>
      </c>
    </row>
    <row r="800" spans="1:6" x14ac:dyDescent="0.15">
      <c r="A800" s="8" t="s">
        <v>2339</v>
      </c>
      <c r="B800" s="8" t="s">
        <v>211</v>
      </c>
      <c r="C800" s="8" t="str">
        <f t="shared" si="16"/>
        <v>att_quantification:istopic</v>
      </c>
      <c r="D800" s="9" t="s">
        <v>17</v>
      </c>
      <c r="E800" s="8" t="s">
        <v>2339</v>
      </c>
      <c r="F800" s="8" t="s">
        <v>2340</v>
      </c>
    </row>
    <row r="801" spans="1:6" x14ac:dyDescent="0.15">
      <c r="A801" s="8" t="s">
        <v>2341</v>
      </c>
      <c r="B801" s="8" t="s">
        <v>211</v>
      </c>
      <c r="C801" s="8" t="str">
        <f t="shared" si="16"/>
        <v>att_quantification:label_free</v>
      </c>
      <c r="D801" s="9" t="s">
        <v>17</v>
      </c>
      <c r="E801" s="8" t="s">
        <v>2342</v>
      </c>
      <c r="F801" s="8" t="s">
        <v>2343</v>
      </c>
    </row>
    <row r="802" spans="1:6" x14ac:dyDescent="0.15">
      <c r="A802" s="8" t="s">
        <v>2344</v>
      </c>
      <c r="B802" s="8" t="s">
        <v>211</v>
      </c>
      <c r="C802" s="8" t="str">
        <f t="shared" si="16"/>
        <v>att_quantification:silac</v>
      </c>
      <c r="D802" s="9" t="s">
        <v>17</v>
      </c>
      <c r="E802" s="8" t="s">
        <v>2344</v>
      </c>
      <c r="F802" s="8" t="s">
        <v>2345</v>
      </c>
    </row>
    <row r="803" spans="1:6" x14ac:dyDescent="0.15">
      <c r="A803" s="8" t="s">
        <v>2346</v>
      </c>
      <c r="B803" s="8" t="s">
        <v>214</v>
      </c>
      <c r="C803" s="8" t="str">
        <f t="shared" si="16"/>
        <v>att_reduction:dtt</v>
      </c>
      <c r="D803" s="9" t="s">
        <v>17</v>
      </c>
      <c r="E803" s="8" t="s">
        <v>2347</v>
      </c>
      <c r="F803" s="8" t="s">
        <v>2348</v>
      </c>
    </row>
    <row r="804" spans="1:6" x14ac:dyDescent="0.15">
      <c r="A804" s="8" t="s">
        <v>342</v>
      </c>
      <c r="B804" s="8" t="s">
        <v>214</v>
      </c>
      <c r="C804" s="8" t="str">
        <f t="shared" si="16"/>
        <v>att_reduction:none</v>
      </c>
      <c r="D804" s="9" t="s">
        <v>17</v>
      </c>
      <c r="E804" s="8" t="s">
        <v>343</v>
      </c>
      <c r="F804" s="8" t="s">
        <v>2349</v>
      </c>
    </row>
    <row r="805" spans="1:6" x14ac:dyDescent="0.15">
      <c r="A805" s="8" t="s">
        <v>2350</v>
      </c>
      <c r="B805" s="8" t="s">
        <v>214</v>
      </c>
      <c r="C805" s="8" t="str">
        <f t="shared" si="16"/>
        <v>att_reduction:tcep</v>
      </c>
      <c r="D805" s="9" t="s">
        <v>17</v>
      </c>
      <c r="E805" s="8" t="s">
        <v>2351</v>
      </c>
      <c r="F805" s="8" t="s">
        <v>2352</v>
      </c>
    </row>
    <row r="806" spans="1:6" x14ac:dyDescent="0.15">
      <c r="A806" s="8" t="s">
        <v>1417</v>
      </c>
      <c r="B806" s="8" t="s">
        <v>2353</v>
      </c>
      <c r="C806" s="8" t="str">
        <f t="shared" si="16"/>
        <v>att_signalling:apoptosis</v>
      </c>
      <c r="D806" s="9" t="s">
        <v>17</v>
      </c>
      <c r="E806" s="8" t="s">
        <v>1418</v>
      </c>
      <c r="F806" s="8" t="s">
        <v>2354</v>
      </c>
    </row>
    <row r="807" spans="1:6" x14ac:dyDescent="0.15">
      <c r="A807" s="8" t="s">
        <v>2355</v>
      </c>
      <c r="B807" s="8" t="s">
        <v>2353</v>
      </c>
      <c r="C807" s="8" t="str">
        <f t="shared" si="16"/>
        <v>att_signalling:autocrine</v>
      </c>
      <c r="D807" s="9" t="s">
        <v>17</v>
      </c>
      <c r="E807" s="8" t="s">
        <v>2356</v>
      </c>
      <c r="F807" s="8" t="s">
        <v>2357</v>
      </c>
    </row>
    <row r="808" spans="1:6" x14ac:dyDescent="0.15">
      <c r="A808" s="8" t="s">
        <v>2358</v>
      </c>
      <c r="B808" s="8" t="s">
        <v>2353</v>
      </c>
      <c r="C808" s="8" t="str">
        <f t="shared" si="16"/>
        <v>att_signalling:complement</v>
      </c>
      <c r="D808" s="9" t="s">
        <v>17</v>
      </c>
      <c r="E808" s="8" t="s">
        <v>2359</v>
      </c>
      <c r="F808" s="8" t="s">
        <v>2360</v>
      </c>
    </row>
    <row r="809" spans="1:6" x14ac:dyDescent="0.15">
      <c r="A809" s="8" t="s">
        <v>2361</v>
      </c>
      <c r="B809" s="8" t="s">
        <v>2353</v>
      </c>
      <c r="C809" s="8" t="str">
        <f t="shared" si="16"/>
        <v>att_signalling:cytokines</v>
      </c>
      <c r="D809" s="9" t="s">
        <v>17</v>
      </c>
      <c r="E809" s="8" t="s">
        <v>2362</v>
      </c>
      <c r="F809" s="8" t="s">
        <v>2363</v>
      </c>
    </row>
    <row r="810" spans="1:6" x14ac:dyDescent="0.15">
      <c r="A810" s="8" t="s">
        <v>2364</v>
      </c>
      <c r="B810" s="8" t="s">
        <v>2353</v>
      </c>
      <c r="C810" s="8" t="str">
        <f t="shared" si="16"/>
        <v>att_signalling:inflammation</v>
      </c>
      <c r="D810" s="9" t="s">
        <v>17</v>
      </c>
      <c r="E810" s="8" t="s">
        <v>2365</v>
      </c>
      <c r="F810" s="8" t="s">
        <v>2366</v>
      </c>
    </row>
    <row r="811" spans="1:6" x14ac:dyDescent="0.15">
      <c r="A811" s="8" t="s">
        <v>2367</v>
      </c>
      <c r="B811" s="8" t="s">
        <v>2353</v>
      </c>
      <c r="C811" s="8" t="str">
        <f t="shared" si="16"/>
        <v>att_signalling:insulin</v>
      </c>
      <c r="D811" s="9" t="s">
        <v>17</v>
      </c>
      <c r="E811" s="8" t="s">
        <v>2368</v>
      </c>
      <c r="F811" s="8" t="s">
        <v>2369</v>
      </c>
    </row>
    <row r="812" spans="1:6" x14ac:dyDescent="0.15">
      <c r="A812" s="8" t="s">
        <v>2370</v>
      </c>
      <c r="B812" s="8" t="s">
        <v>2353</v>
      </c>
      <c r="C812" s="8" t="str">
        <f t="shared" si="16"/>
        <v>att_signalling:juxtacrine</v>
      </c>
      <c r="D812" s="9" t="s">
        <v>17</v>
      </c>
      <c r="E812" s="8" t="s">
        <v>2371</v>
      </c>
      <c r="F812" s="8" t="s">
        <v>2372</v>
      </c>
    </row>
    <row r="813" spans="1:6" x14ac:dyDescent="0.15">
      <c r="A813" s="8" t="s">
        <v>2373</v>
      </c>
      <c r="B813" s="8" t="s">
        <v>2353</v>
      </c>
      <c r="C813" s="8" t="str">
        <f t="shared" si="16"/>
        <v>att_signalling:necrosis</v>
      </c>
      <c r="D813" s="9" t="s">
        <v>17</v>
      </c>
      <c r="E813" s="8" t="s">
        <v>2374</v>
      </c>
      <c r="F813" s="8" t="s">
        <v>2375</v>
      </c>
    </row>
    <row r="814" spans="1:6" x14ac:dyDescent="0.15">
      <c r="A814" s="8" t="s">
        <v>2376</v>
      </c>
      <c r="B814" s="8" t="s">
        <v>2353</v>
      </c>
      <c r="C814" s="8" t="str">
        <f t="shared" si="16"/>
        <v>att_signalling:paracrine</v>
      </c>
      <c r="D814" s="9" t="s">
        <v>17</v>
      </c>
      <c r="E814" s="8" t="s">
        <v>2377</v>
      </c>
      <c r="F814" s="8" t="s">
        <v>2378</v>
      </c>
    </row>
    <row r="815" spans="1:6" x14ac:dyDescent="0.15">
      <c r="A815" s="8" t="s">
        <v>1765</v>
      </c>
      <c r="B815" s="8" t="s">
        <v>2353</v>
      </c>
      <c r="C815" s="8" t="str">
        <f t="shared" si="16"/>
        <v>att_signalling:signaling</v>
      </c>
      <c r="D815" s="9" t="s">
        <v>17</v>
      </c>
      <c r="E815" s="8" t="s">
        <v>1766</v>
      </c>
      <c r="F815" s="8" t="s">
        <v>2379</v>
      </c>
    </row>
    <row r="816" spans="1:6" x14ac:dyDescent="0.15">
      <c r="A816" s="8" t="s">
        <v>2380</v>
      </c>
      <c r="B816" s="8" t="s">
        <v>31</v>
      </c>
      <c r="C816" s="8" t="str">
        <f t="shared" si="16"/>
        <v>att_software:diann</v>
      </c>
      <c r="D816" s="9" t="s">
        <v>17</v>
      </c>
      <c r="E816" s="8" t="s">
        <v>2381</v>
      </c>
      <c r="F816" s="8" t="s">
        <v>2382</v>
      </c>
    </row>
    <row r="817" spans="1:6" x14ac:dyDescent="0.15">
      <c r="A817" s="8" t="s">
        <v>2383</v>
      </c>
      <c r="B817" s="8" t="s">
        <v>31</v>
      </c>
      <c r="C817" s="8" t="str">
        <f t="shared" si="16"/>
        <v>att_software:maxquant</v>
      </c>
      <c r="D817" s="9" t="s">
        <v>17</v>
      </c>
      <c r="E817" s="8" t="s">
        <v>2384</v>
      </c>
      <c r="F817" s="8" t="s">
        <v>2385</v>
      </c>
    </row>
    <row r="818" spans="1:6" x14ac:dyDescent="0.15">
      <c r="A818" s="8" t="s">
        <v>2386</v>
      </c>
      <c r="B818" s="8" t="s">
        <v>31</v>
      </c>
      <c r="C818" s="8" t="str">
        <f t="shared" ref="C818:C888" si="18">B818&amp;":"&amp;A818</f>
        <v>att_software:metamorpheus</v>
      </c>
      <c r="D818" s="9" t="s">
        <v>17</v>
      </c>
      <c r="E818" s="8" t="s">
        <v>2387</v>
      </c>
      <c r="F818" s="8" t="s">
        <v>2388</v>
      </c>
    </row>
    <row r="819" spans="1:6" x14ac:dyDescent="0.15">
      <c r="A819" s="8" t="s">
        <v>2389</v>
      </c>
      <c r="B819" s="8" t="s">
        <v>31</v>
      </c>
      <c r="C819" s="8" t="str">
        <f t="shared" si="18"/>
        <v>att_software:minora</v>
      </c>
      <c r="D819" s="9" t="s">
        <v>17</v>
      </c>
      <c r="E819" s="8" t="s">
        <v>2390</v>
      </c>
      <c r="F819" s="8" t="s">
        <v>2391</v>
      </c>
    </row>
    <row r="820" spans="1:6" x14ac:dyDescent="0.15">
      <c r="A820" s="8" t="s">
        <v>2392</v>
      </c>
      <c r="B820" s="8" t="s">
        <v>31</v>
      </c>
      <c r="C820" s="8" t="str">
        <f t="shared" si="18"/>
        <v>att_software:msfragger</v>
      </c>
      <c r="D820" s="9" t="s">
        <v>17</v>
      </c>
      <c r="E820" s="8" t="s">
        <v>2393</v>
      </c>
      <c r="F820" s="8" t="s">
        <v>2394</v>
      </c>
    </row>
    <row r="821" spans="1:6" x14ac:dyDescent="0.15">
      <c r="A821" s="8" t="s">
        <v>2395</v>
      </c>
      <c r="B821" s="8" t="s">
        <v>31</v>
      </c>
      <c r="C821" s="8" t="str">
        <f t="shared" si="18"/>
        <v>att_software:msgf</v>
      </c>
      <c r="D821" s="9" t="s">
        <v>17</v>
      </c>
      <c r="E821" s="8" t="s">
        <v>2396</v>
      </c>
      <c r="F821" s="8" t="s">
        <v>2397</v>
      </c>
    </row>
    <row r="822" spans="1:6" x14ac:dyDescent="0.15">
      <c r="A822" s="8" t="s">
        <v>2398</v>
      </c>
      <c r="B822" s="8" t="s">
        <v>31</v>
      </c>
      <c r="C822" s="8" t="str">
        <f t="shared" si="18"/>
        <v>att_software:spectronaut</v>
      </c>
      <c r="D822" s="9" t="s">
        <v>17</v>
      </c>
      <c r="E822" s="8" t="s">
        <v>2399</v>
      </c>
      <c r="F822" s="8" t="s">
        <v>2400</v>
      </c>
    </row>
    <row r="823" spans="1:6" x14ac:dyDescent="0.15">
      <c r="A823" s="8" t="s">
        <v>2932</v>
      </c>
      <c r="B823" s="8" t="s">
        <v>2930</v>
      </c>
      <c r="C823" s="8" t="str">
        <f t="shared" si="18"/>
        <v>att_subcellular_compartment:wc</v>
      </c>
      <c r="D823" s="9" t="s">
        <v>17</v>
      </c>
      <c r="E823" s="8" t="s">
        <v>2933</v>
      </c>
      <c r="F823" s="8" t="s">
        <v>2934</v>
      </c>
    </row>
    <row r="824" spans="1:6" x14ac:dyDescent="0.15">
      <c r="A824" s="8" t="s">
        <v>2936</v>
      </c>
      <c r="B824" s="8" t="s">
        <v>2930</v>
      </c>
      <c r="C824" s="8" t="str">
        <f t="shared" si="18"/>
        <v>att_subcellular_compartment:membrane</v>
      </c>
      <c r="D824" s="9" t="s">
        <v>17</v>
      </c>
      <c r="E824" s="8" t="s">
        <v>2937</v>
      </c>
      <c r="F824" s="8" t="s">
        <v>2938</v>
      </c>
    </row>
    <row r="825" spans="1:6" x14ac:dyDescent="0.15">
      <c r="A825" s="8" t="s">
        <v>2935</v>
      </c>
      <c r="B825" s="8" t="s">
        <v>2930</v>
      </c>
      <c r="C825" s="8" t="str">
        <f t="shared" ref="C825" si="19">B825&amp;":"&amp;A825</f>
        <v>att_subcellular_compartment:mitochondria</v>
      </c>
      <c r="D825" s="9" t="s">
        <v>17</v>
      </c>
      <c r="E825" s="8" t="s">
        <v>2952</v>
      </c>
      <c r="F825" s="8" t="s">
        <v>2951</v>
      </c>
    </row>
    <row r="826" spans="1:6" x14ac:dyDescent="0.15">
      <c r="A826" s="8" t="s">
        <v>2939</v>
      </c>
      <c r="B826" s="8" t="s">
        <v>2930</v>
      </c>
      <c r="C826" s="8" t="str">
        <f t="shared" si="18"/>
        <v>att_subcellular_compartment:golgi</v>
      </c>
      <c r="D826" s="9" t="s">
        <v>17</v>
      </c>
      <c r="E826" s="8" t="s">
        <v>2940</v>
      </c>
      <c r="F826" s="8" t="s">
        <v>2941</v>
      </c>
    </row>
    <row r="827" spans="1:6" x14ac:dyDescent="0.15">
      <c r="A827" s="8" t="s">
        <v>2942</v>
      </c>
      <c r="B827" s="8" t="s">
        <v>2930</v>
      </c>
      <c r="C827" s="8" t="str">
        <f t="shared" ref="C827:C829" si="20">B827&amp;":"&amp;A827</f>
        <v>att_subcellular_compartment:plasmamembrane</v>
      </c>
      <c r="D827" s="9" t="s">
        <v>17</v>
      </c>
      <c r="E827" s="8" t="s">
        <v>2950</v>
      </c>
      <c r="F827" s="8" t="s">
        <v>2943</v>
      </c>
    </row>
    <row r="828" spans="1:6" x14ac:dyDescent="0.15">
      <c r="A828" s="8" t="s">
        <v>2944</v>
      </c>
      <c r="B828" s="8" t="s">
        <v>2930</v>
      </c>
      <c r="C828" s="8" t="str">
        <f t="shared" si="20"/>
        <v>att_subcellular_compartment:nucleus</v>
      </c>
      <c r="D828" s="9" t="s">
        <v>17</v>
      </c>
      <c r="E828" s="8" t="s">
        <v>2945</v>
      </c>
      <c r="F828" s="8" t="s">
        <v>2946</v>
      </c>
    </row>
    <row r="829" spans="1:6" x14ac:dyDescent="0.15">
      <c r="A829" s="8" t="s">
        <v>2947</v>
      </c>
      <c r="B829" s="8" t="s">
        <v>2930</v>
      </c>
      <c r="C829" s="8" t="str">
        <f t="shared" si="20"/>
        <v>att_subcellular_compartment:cytosol</v>
      </c>
      <c r="D829" s="9" t="s">
        <v>17</v>
      </c>
      <c r="E829" s="8" t="s">
        <v>2948</v>
      </c>
      <c r="F829" s="8" t="s">
        <v>2949</v>
      </c>
    </row>
    <row r="830" spans="1:6" x14ac:dyDescent="0.15">
      <c r="A830" s="8" t="s">
        <v>2401</v>
      </c>
      <c r="B830" s="8" t="s">
        <v>238</v>
      </c>
      <c r="C830" s="8" t="str">
        <f t="shared" si="18"/>
        <v>att_tissue:adipose</v>
      </c>
      <c r="D830" s="8" t="s">
        <v>2401</v>
      </c>
      <c r="E830" s="8" t="s">
        <v>2402</v>
      </c>
      <c r="F830" s="8" t="s">
        <v>2403</v>
      </c>
    </row>
    <row r="831" spans="1:6" x14ac:dyDescent="0.15">
      <c r="A831" s="8" t="s">
        <v>2404</v>
      </c>
      <c r="B831" s="8" t="s">
        <v>238</v>
      </c>
      <c r="C831" s="8" t="str">
        <f t="shared" si="18"/>
        <v>att_tissue:areolar</v>
      </c>
      <c r="D831" s="8" t="s">
        <v>2404</v>
      </c>
      <c r="E831" s="8" t="s">
        <v>2405</v>
      </c>
      <c r="F831" s="8" t="s">
        <v>2406</v>
      </c>
    </row>
    <row r="832" spans="1:6" x14ac:dyDescent="0.15">
      <c r="A832" s="8" t="s">
        <v>2407</v>
      </c>
      <c r="B832" s="8" t="s">
        <v>238</v>
      </c>
      <c r="C832" s="8" t="str">
        <f t="shared" si="18"/>
        <v>att_tissue:blood</v>
      </c>
      <c r="D832" s="8" t="s">
        <v>2407</v>
      </c>
      <c r="E832" s="8" t="s">
        <v>2408</v>
      </c>
      <c r="F832" s="8" t="s">
        <v>2408</v>
      </c>
    </row>
    <row r="833" spans="1:6" x14ac:dyDescent="0.15">
      <c r="A833" s="8" t="s">
        <v>2409</v>
      </c>
      <c r="B833" s="8" t="s">
        <v>238</v>
      </c>
      <c r="C833" s="8" t="str">
        <f t="shared" si="18"/>
        <v>att_tissue:connective</v>
      </c>
      <c r="D833" s="8" t="s">
        <v>2409</v>
      </c>
      <c r="E833" s="8" t="s">
        <v>2410</v>
      </c>
      <c r="F833" s="8" t="s">
        <v>2411</v>
      </c>
    </row>
    <row r="834" spans="1:6" x14ac:dyDescent="0.15">
      <c r="A834" s="8" t="s">
        <v>2412</v>
      </c>
      <c r="B834" s="8" t="s">
        <v>238</v>
      </c>
      <c r="C834" s="8" t="str">
        <f t="shared" si="18"/>
        <v>att_tissue:dermis</v>
      </c>
      <c r="D834" s="8" t="s">
        <v>2412</v>
      </c>
      <c r="E834" s="8" t="s">
        <v>2413</v>
      </c>
      <c r="F834" s="8" t="s">
        <v>2413</v>
      </c>
    </row>
    <row r="835" spans="1:6" x14ac:dyDescent="0.15">
      <c r="A835" s="8" t="s">
        <v>2414</v>
      </c>
      <c r="B835" s="8" t="s">
        <v>238</v>
      </c>
      <c r="C835" s="8" t="str">
        <f t="shared" si="18"/>
        <v>att_tissue:epidermis</v>
      </c>
      <c r="D835" s="8" t="s">
        <v>2414</v>
      </c>
      <c r="E835" s="8" t="s">
        <v>2415</v>
      </c>
      <c r="F835" s="8" t="s">
        <v>2415</v>
      </c>
    </row>
    <row r="836" spans="1:6" x14ac:dyDescent="0.15">
      <c r="A836" s="8" t="s">
        <v>2416</v>
      </c>
      <c r="B836" s="8" t="s">
        <v>238</v>
      </c>
      <c r="C836" s="8" t="str">
        <f t="shared" si="18"/>
        <v>att_tissue:epithelial</v>
      </c>
      <c r="D836" s="8" t="s">
        <v>2416</v>
      </c>
      <c r="E836" s="8" t="s">
        <v>2417</v>
      </c>
      <c r="F836" s="8" t="s">
        <v>2418</v>
      </c>
    </row>
    <row r="837" spans="1:6" x14ac:dyDescent="0.15">
      <c r="A837" s="8" t="s">
        <v>2419</v>
      </c>
      <c r="B837" s="8" t="s">
        <v>238</v>
      </c>
      <c r="C837" s="8" t="str">
        <f t="shared" si="18"/>
        <v>att_tissue:hypodermis</v>
      </c>
      <c r="D837" s="8" t="s">
        <v>2419</v>
      </c>
      <c r="E837" s="8" t="s">
        <v>2420</v>
      </c>
      <c r="F837" s="8" t="s">
        <v>2420</v>
      </c>
    </row>
    <row r="838" spans="1:6" x14ac:dyDescent="0.15">
      <c r="A838" s="8" t="s">
        <v>2421</v>
      </c>
      <c r="B838" s="8" t="s">
        <v>238</v>
      </c>
      <c r="C838" s="8" t="str">
        <f t="shared" si="18"/>
        <v>att_tissue:muscle</v>
      </c>
      <c r="D838" s="8" t="s">
        <v>2421</v>
      </c>
      <c r="E838" s="8" t="s">
        <v>2819</v>
      </c>
      <c r="F838" s="8" t="s">
        <v>2422</v>
      </c>
    </row>
    <row r="839" spans="1:6" x14ac:dyDescent="0.15">
      <c r="A839" s="8" t="s">
        <v>2423</v>
      </c>
      <c r="B839" s="8" t="s">
        <v>238</v>
      </c>
      <c r="C839" s="8" t="str">
        <f t="shared" si="18"/>
        <v>att_tissue:nervous</v>
      </c>
      <c r="D839" s="8" t="s">
        <v>2423</v>
      </c>
      <c r="E839" s="8" t="s">
        <v>2242</v>
      </c>
      <c r="F839" s="8" t="s">
        <v>2424</v>
      </c>
    </row>
    <row r="840" spans="1:6" x14ac:dyDescent="0.15">
      <c r="A840" s="8" t="s">
        <v>2425</v>
      </c>
      <c r="B840" s="8" t="s">
        <v>238</v>
      </c>
      <c r="C840" s="8" t="str">
        <f t="shared" si="18"/>
        <v>att_tissue:reticular</v>
      </c>
      <c r="D840" s="8" t="s">
        <v>2425</v>
      </c>
      <c r="E840" s="8" t="s">
        <v>2426</v>
      </c>
      <c r="F840" s="8" t="s">
        <v>2427</v>
      </c>
    </row>
    <row r="841" spans="1:6" x14ac:dyDescent="0.15">
      <c r="A841" s="8" t="s">
        <v>2428</v>
      </c>
      <c r="B841" s="8" t="s">
        <v>238</v>
      </c>
      <c r="C841" s="8" t="str">
        <f t="shared" si="18"/>
        <v>att_tissue:stromal</v>
      </c>
      <c r="D841" s="8" t="s">
        <v>2428</v>
      </c>
      <c r="E841" s="8" t="s">
        <v>2429</v>
      </c>
      <c r="F841" s="8" t="s">
        <v>2430</v>
      </c>
    </row>
    <row r="842" spans="1:6" x14ac:dyDescent="0.15">
      <c r="A842" s="8" t="s">
        <v>2431</v>
      </c>
      <c r="B842" s="8" t="s">
        <v>240</v>
      </c>
      <c r="C842" s="8" t="str">
        <f t="shared" si="18"/>
        <v>att_tmt_channel:tmt10_126</v>
      </c>
      <c r="D842" s="9" t="s">
        <v>17</v>
      </c>
      <c r="E842" s="8">
        <v>126</v>
      </c>
      <c r="F842" s="9" t="s">
        <v>17</v>
      </c>
    </row>
    <row r="843" spans="1:6" x14ac:dyDescent="0.15">
      <c r="A843" s="8" t="s">
        <v>2432</v>
      </c>
      <c r="B843" s="8" t="s">
        <v>240</v>
      </c>
      <c r="C843" s="8" t="str">
        <f t="shared" si="18"/>
        <v>att_tmt_channel:tmt10_127C</v>
      </c>
      <c r="D843" s="9" t="s">
        <v>17</v>
      </c>
      <c r="E843" s="8" t="s">
        <v>2433</v>
      </c>
      <c r="F843" s="9" t="s">
        <v>17</v>
      </c>
    </row>
    <row r="844" spans="1:6" x14ac:dyDescent="0.15">
      <c r="A844" s="8" t="s">
        <v>2434</v>
      </c>
      <c r="B844" s="8" t="s">
        <v>240</v>
      </c>
      <c r="C844" s="8" t="str">
        <f t="shared" si="18"/>
        <v>att_tmt_channel:tmt10_127N</v>
      </c>
      <c r="D844" s="9" t="s">
        <v>17</v>
      </c>
      <c r="E844" s="8" t="s">
        <v>2435</v>
      </c>
      <c r="F844" s="9" t="s">
        <v>17</v>
      </c>
    </row>
    <row r="845" spans="1:6" x14ac:dyDescent="0.15">
      <c r="A845" s="8" t="s">
        <v>2436</v>
      </c>
      <c r="B845" s="8" t="s">
        <v>240</v>
      </c>
      <c r="C845" s="8" t="str">
        <f t="shared" si="18"/>
        <v>att_tmt_channel:tmt10_128C</v>
      </c>
      <c r="D845" s="9" t="s">
        <v>17</v>
      </c>
      <c r="E845" s="8" t="s">
        <v>2437</v>
      </c>
      <c r="F845" s="9" t="s">
        <v>17</v>
      </c>
    </row>
    <row r="846" spans="1:6" x14ac:dyDescent="0.15">
      <c r="A846" s="8" t="s">
        <v>2438</v>
      </c>
      <c r="B846" s="8" t="s">
        <v>240</v>
      </c>
      <c r="C846" s="8" t="str">
        <f t="shared" si="18"/>
        <v>att_tmt_channel:tmt10_128N</v>
      </c>
      <c r="D846" s="9" t="s">
        <v>17</v>
      </c>
      <c r="E846" s="8" t="s">
        <v>2439</v>
      </c>
      <c r="F846" s="9" t="s">
        <v>17</v>
      </c>
    </row>
    <row r="847" spans="1:6" x14ac:dyDescent="0.15">
      <c r="A847" s="8" t="s">
        <v>2440</v>
      </c>
      <c r="B847" s="8" t="s">
        <v>240</v>
      </c>
      <c r="C847" s="8" t="str">
        <f t="shared" si="18"/>
        <v>att_tmt_channel:tmt10_129C</v>
      </c>
      <c r="D847" s="9" t="s">
        <v>17</v>
      </c>
      <c r="E847" s="8" t="s">
        <v>2441</v>
      </c>
      <c r="F847" s="9" t="s">
        <v>17</v>
      </c>
    </row>
    <row r="848" spans="1:6" x14ac:dyDescent="0.15">
      <c r="A848" s="8" t="s">
        <v>2442</v>
      </c>
      <c r="B848" s="8" t="s">
        <v>240</v>
      </c>
      <c r="C848" s="8" t="str">
        <f t="shared" si="18"/>
        <v>att_tmt_channel:tmt10_129N</v>
      </c>
      <c r="D848" s="9" t="s">
        <v>17</v>
      </c>
      <c r="E848" s="8" t="s">
        <v>2443</v>
      </c>
      <c r="F848" s="9" t="s">
        <v>17</v>
      </c>
    </row>
    <row r="849" spans="1:6" x14ac:dyDescent="0.15">
      <c r="A849" s="8" t="s">
        <v>2444</v>
      </c>
      <c r="B849" s="8" t="s">
        <v>240</v>
      </c>
      <c r="C849" s="8" t="str">
        <f t="shared" si="18"/>
        <v>att_tmt_channel:tmt10_130C</v>
      </c>
      <c r="D849" s="9" t="s">
        <v>17</v>
      </c>
      <c r="E849" s="8" t="s">
        <v>2445</v>
      </c>
      <c r="F849" s="9" t="s">
        <v>17</v>
      </c>
    </row>
    <row r="850" spans="1:6" x14ac:dyDescent="0.15">
      <c r="A850" s="8" t="s">
        <v>2446</v>
      </c>
      <c r="B850" s="8" t="s">
        <v>240</v>
      </c>
      <c r="C850" s="8" t="str">
        <f t="shared" si="18"/>
        <v>att_tmt_channel:tmt10_130N</v>
      </c>
      <c r="D850" s="9" t="s">
        <v>17</v>
      </c>
      <c r="E850" s="8" t="s">
        <v>2447</v>
      </c>
      <c r="F850" s="9" t="s">
        <v>17</v>
      </c>
    </row>
    <row r="851" spans="1:6" x14ac:dyDescent="0.15">
      <c r="A851" s="8" t="s">
        <v>2448</v>
      </c>
      <c r="B851" s="8" t="s">
        <v>240</v>
      </c>
      <c r="C851" s="8" t="str">
        <f t="shared" si="18"/>
        <v>att_tmt_channel:tmt10_131</v>
      </c>
      <c r="D851" s="9" t="s">
        <v>17</v>
      </c>
      <c r="E851" s="8">
        <v>131</v>
      </c>
      <c r="F851" s="9" t="s">
        <v>17</v>
      </c>
    </row>
    <row r="852" spans="1:6" x14ac:dyDescent="0.15">
      <c r="A852" s="8" t="s">
        <v>2449</v>
      </c>
      <c r="B852" s="8" t="s">
        <v>240</v>
      </c>
      <c r="C852" s="8" t="str">
        <f t="shared" si="18"/>
        <v>att_tmt_channel:tmt11_126</v>
      </c>
      <c r="D852" s="9" t="s">
        <v>17</v>
      </c>
      <c r="E852" s="8">
        <v>126</v>
      </c>
      <c r="F852" s="9" t="s">
        <v>17</v>
      </c>
    </row>
    <row r="853" spans="1:6" x14ac:dyDescent="0.15">
      <c r="A853" s="8" t="s">
        <v>2450</v>
      </c>
      <c r="B853" s="8" t="s">
        <v>240</v>
      </c>
      <c r="C853" s="8" t="str">
        <f t="shared" si="18"/>
        <v>att_tmt_channel:tmt11_127C</v>
      </c>
      <c r="D853" s="9" t="s">
        <v>17</v>
      </c>
      <c r="E853" s="8" t="s">
        <v>2433</v>
      </c>
      <c r="F853" s="9" t="s">
        <v>17</v>
      </c>
    </row>
    <row r="854" spans="1:6" x14ac:dyDescent="0.15">
      <c r="A854" s="8" t="s">
        <v>2451</v>
      </c>
      <c r="B854" s="8" t="s">
        <v>240</v>
      </c>
      <c r="C854" s="8" t="str">
        <f t="shared" si="18"/>
        <v>att_tmt_channel:tmt11_127N</v>
      </c>
      <c r="D854" s="9" t="s">
        <v>17</v>
      </c>
      <c r="E854" s="8" t="s">
        <v>2435</v>
      </c>
      <c r="F854" s="9" t="s">
        <v>17</v>
      </c>
    </row>
    <row r="855" spans="1:6" x14ac:dyDescent="0.15">
      <c r="A855" s="8" t="s">
        <v>2452</v>
      </c>
      <c r="B855" s="8" t="s">
        <v>240</v>
      </c>
      <c r="C855" s="8" t="str">
        <f t="shared" si="18"/>
        <v>att_tmt_channel:tmt11_128C</v>
      </c>
      <c r="D855" s="9" t="s">
        <v>17</v>
      </c>
      <c r="E855" s="8" t="s">
        <v>2437</v>
      </c>
      <c r="F855" s="9" t="s">
        <v>17</v>
      </c>
    </row>
    <row r="856" spans="1:6" x14ac:dyDescent="0.15">
      <c r="A856" s="8" t="s">
        <v>2453</v>
      </c>
      <c r="B856" s="8" t="s">
        <v>240</v>
      </c>
      <c r="C856" s="8" t="str">
        <f t="shared" si="18"/>
        <v>att_tmt_channel:tmt11_128N</v>
      </c>
      <c r="D856" s="9" t="s">
        <v>17</v>
      </c>
      <c r="E856" s="8" t="s">
        <v>2439</v>
      </c>
      <c r="F856" s="9" t="s">
        <v>17</v>
      </c>
    </row>
    <row r="857" spans="1:6" x14ac:dyDescent="0.15">
      <c r="A857" s="8" t="s">
        <v>2454</v>
      </c>
      <c r="B857" s="8" t="s">
        <v>240</v>
      </c>
      <c r="C857" s="8" t="str">
        <f t="shared" si="18"/>
        <v>att_tmt_channel:tmt11_129C</v>
      </c>
      <c r="D857" s="9" t="s">
        <v>17</v>
      </c>
      <c r="E857" s="8" t="s">
        <v>2441</v>
      </c>
      <c r="F857" s="9" t="s">
        <v>17</v>
      </c>
    </row>
    <row r="858" spans="1:6" x14ac:dyDescent="0.15">
      <c r="A858" s="8" t="s">
        <v>2455</v>
      </c>
      <c r="B858" s="8" t="s">
        <v>240</v>
      </c>
      <c r="C858" s="8" t="str">
        <f t="shared" si="18"/>
        <v>att_tmt_channel:tmt11_129N</v>
      </c>
      <c r="D858" s="9" t="s">
        <v>17</v>
      </c>
      <c r="E858" s="8" t="s">
        <v>2443</v>
      </c>
      <c r="F858" s="9" t="s">
        <v>17</v>
      </c>
    </row>
    <row r="859" spans="1:6" x14ac:dyDescent="0.15">
      <c r="A859" s="8" t="s">
        <v>2456</v>
      </c>
      <c r="B859" s="8" t="s">
        <v>240</v>
      </c>
      <c r="C859" s="8" t="str">
        <f t="shared" si="18"/>
        <v>att_tmt_channel:tmt11_130C</v>
      </c>
      <c r="D859" s="9" t="s">
        <v>17</v>
      </c>
      <c r="E859" s="8" t="s">
        <v>2445</v>
      </c>
      <c r="F859" s="9" t="s">
        <v>17</v>
      </c>
    </row>
    <row r="860" spans="1:6" x14ac:dyDescent="0.15">
      <c r="A860" s="8" t="s">
        <v>2457</v>
      </c>
      <c r="B860" s="8" t="s">
        <v>240</v>
      </c>
      <c r="C860" s="8" t="str">
        <f t="shared" si="18"/>
        <v>att_tmt_channel:tmt11_130N</v>
      </c>
      <c r="D860" s="9" t="s">
        <v>17</v>
      </c>
      <c r="E860" s="8" t="s">
        <v>2447</v>
      </c>
      <c r="F860" s="9" t="s">
        <v>17</v>
      </c>
    </row>
    <row r="861" spans="1:6" x14ac:dyDescent="0.15">
      <c r="A861" s="8" t="s">
        <v>2458</v>
      </c>
      <c r="B861" s="8" t="s">
        <v>240</v>
      </c>
      <c r="C861" s="8" t="str">
        <f t="shared" si="18"/>
        <v>att_tmt_channel:tmt11_131C</v>
      </c>
      <c r="D861" s="9" t="s">
        <v>17</v>
      </c>
      <c r="E861" s="8" t="s">
        <v>2459</v>
      </c>
      <c r="F861" s="9" t="s">
        <v>17</v>
      </c>
    </row>
    <row r="862" spans="1:6" x14ac:dyDescent="0.15">
      <c r="A862" s="8" t="s">
        <v>2460</v>
      </c>
      <c r="B862" s="8" t="s">
        <v>240</v>
      </c>
      <c r="C862" s="8" t="str">
        <f t="shared" si="18"/>
        <v>att_tmt_channel:tmt11_131N</v>
      </c>
      <c r="D862" s="9" t="s">
        <v>17</v>
      </c>
      <c r="E862" s="8" t="s">
        <v>2461</v>
      </c>
      <c r="F862" s="9" t="s">
        <v>17</v>
      </c>
    </row>
    <row r="863" spans="1:6" x14ac:dyDescent="0.15">
      <c r="A863" s="8" t="s">
        <v>2462</v>
      </c>
      <c r="B863" s="8" t="s">
        <v>240</v>
      </c>
      <c r="C863" s="8" t="str">
        <f t="shared" si="18"/>
        <v>att_tmt_channel:tmt18_126</v>
      </c>
      <c r="D863" s="9" t="s">
        <v>17</v>
      </c>
      <c r="E863" s="8">
        <v>126</v>
      </c>
      <c r="F863" s="9" t="s">
        <v>17</v>
      </c>
    </row>
    <row r="864" spans="1:6" x14ac:dyDescent="0.15">
      <c r="A864" s="8" t="s">
        <v>2463</v>
      </c>
      <c r="B864" s="8" t="s">
        <v>240</v>
      </c>
      <c r="C864" s="8" t="str">
        <f t="shared" si="18"/>
        <v>att_tmt_channel:tmt18_127C</v>
      </c>
      <c r="D864" s="9" t="s">
        <v>17</v>
      </c>
      <c r="E864" s="8" t="s">
        <v>2433</v>
      </c>
      <c r="F864" s="9" t="s">
        <v>17</v>
      </c>
    </row>
    <row r="865" spans="1:6" x14ac:dyDescent="0.15">
      <c r="A865" s="8" t="s">
        <v>2464</v>
      </c>
      <c r="B865" s="8" t="s">
        <v>240</v>
      </c>
      <c r="C865" s="8" t="str">
        <f t="shared" si="18"/>
        <v>att_tmt_channel:tmt18_127N</v>
      </c>
      <c r="D865" s="9" t="s">
        <v>17</v>
      </c>
      <c r="E865" s="8" t="s">
        <v>2435</v>
      </c>
      <c r="F865" s="9" t="s">
        <v>17</v>
      </c>
    </row>
    <row r="866" spans="1:6" x14ac:dyDescent="0.15">
      <c r="A866" s="8" t="s">
        <v>2465</v>
      </c>
      <c r="B866" s="8" t="s">
        <v>240</v>
      </c>
      <c r="C866" s="8" t="str">
        <f t="shared" si="18"/>
        <v>att_tmt_channel:tmt18_128C</v>
      </c>
      <c r="D866" s="9" t="s">
        <v>17</v>
      </c>
      <c r="E866" s="8" t="s">
        <v>2437</v>
      </c>
      <c r="F866" s="9" t="s">
        <v>17</v>
      </c>
    </row>
    <row r="867" spans="1:6" x14ac:dyDescent="0.15">
      <c r="A867" s="8" t="s">
        <v>2466</v>
      </c>
      <c r="B867" s="8" t="s">
        <v>240</v>
      </c>
      <c r="C867" s="8" t="str">
        <f t="shared" si="18"/>
        <v>att_tmt_channel:tmt18_128N</v>
      </c>
      <c r="D867" s="9" t="s">
        <v>17</v>
      </c>
      <c r="E867" s="8" t="s">
        <v>2439</v>
      </c>
      <c r="F867" s="9" t="s">
        <v>17</v>
      </c>
    </row>
    <row r="868" spans="1:6" x14ac:dyDescent="0.15">
      <c r="A868" s="8" t="s">
        <v>2467</v>
      </c>
      <c r="B868" s="8" t="s">
        <v>240</v>
      </c>
      <c r="C868" s="8" t="str">
        <f t="shared" si="18"/>
        <v>att_tmt_channel:tmt18_129C</v>
      </c>
      <c r="D868" s="9" t="s">
        <v>17</v>
      </c>
      <c r="E868" s="8" t="s">
        <v>2441</v>
      </c>
      <c r="F868" s="9" t="s">
        <v>17</v>
      </c>
    </row>
    <row r="869" spans="1:6" x14ac:dyDescent="0.15">
      <c r="A869" s="8" t="s">
        <v>2468</v>
      </c>
      <c r="B869" s="8" t="s">
        <v>240</v>
      </c>
      <c r="C869" s="8" t="str">
        <f t="shared" si="18"/>
        <v>att_tmt_channel:tmt18_129N</v>
      </c>
      <c r="D869" s="9" t="s">
        <v>17</v>
      </c>
      <c r="E869" s="8" t="s">
        <v>2443</v>
      </c>
      <c r="F869" s="9" t="s">
        <v>17</v>
      </c>
    </row>
    <row r="870" spans="1:6" x14ac:dyDescent="0.15">
      <c r="A870" s="8" t="s">
        <v>2469</v>
      </c>
      <c r="B870" s="8" t="s">
        <v>240</v>
      </c>
      <c r="C870" s="8" t="str">
        <f t="shared" si="18"/>
        <v>att_tmt_channel:tmt18_130C</v>
      </c>
      <c r="D870" s="9" t="s">
        <v>17</v>
      </c>
      <c r="E870" s="8" t="s">
        <v>2445</v>
      </c>
      <c r="F870" s="9" t="s">
        <v>17</v>
      </c>
    </row>
    <row r="871" spans="1:6" x14ac:dyDescent="0.15">
      <c r="A871" s="8" t="s">
        <v>2470</v>
      </c>
      <c r="B871" s="8" t="s">
        <v>240</v>
      </c>
      <c r="C871" s="8" t="str">
        <f t="shared" si="18"/>
        <v>att_tmt_channel:tmt18_130N</v>
      </c>
      <c r="D871" s="9" t="s">
        <v>17</v>
      </c>
      <c r="E871" s="8" t="s">
        <v>2447</v>
      </c>
      <c r="F871" s="9" t="s">
        <v>17</v>
      </c>
    </row>
    <row r="872" spans="1:6" x14ac:dyDescent="0.15">
      <c r="A872" s="8" t="s">
        <v>2471</v>
      </c>
      <c r="B872" s="8" t="s">
        <v>240</v>
      </c>
      <c r="C872" s="8" t="str">
        <f t="shared" si="18"/>
        <v>att_tmt_channel:tmt18_131C</v>
      </c>
      <c r="D872" s="9" t="s">
        <v>17</v>
      </c>
      <c r="E872" s="8" t="s">
        <v>2459</v>
      </c>
      <c r="F872" s="9" t="s">
        <v>17</v>
      </c>
    </row>
    <row r="873" spans="1:6" x14ac:dyDescent="0.15">
      <c r="A873" s="8" t="s">
        <v>2472</v>
      </c>
      <c r="B873" s="8" t="s">
        <v>240</v>
      </c>
      <c r="C873" s="8" t="str">
        <f t="shared" si="18"/>
        <v>att_tmt_channel:tmt18_131N</v>
      </c>
      <c r="D873" s="9" t="s">
        <v>17</v>
      </c>
      <c r="E873" s="8" t="s">
        <v>2461</v>
      </c>
      <c r="F873" s="9" t="s">
        <v>17</v>
      </c>
    </row>
    <row r="874" spans="1:6" x14ac:dyDescent="0.15">
      <c r="A874" s="8" t="s">
        <v>2473</v>
      </c>
      <c r="B874" s="8" t="s">
        <v>240</v>
      </c>
      <c r="C874" s="8" t="str">
        <f t="shared" si="18"/>
        <v>att_tmt_channel:tmt18_132C</v>
      </c>
      <c r="D874" s="9" t="s">
        <v>17</v>
      </c>
      <c r="E874" s="8" t="s">
        <v>2474</v>
      </c>
      <c r="F874" s="9" t="s">
        <v>17</v>
      </c>
    </row>
    <row r="875" spans="1:6" x14ac:dyDescent="0.15">
      <c r="A875" s="8" t="s">
        <v>2475</v>
      </c>
      <c r="B875" s="8" t="s">
        <v>240</v>
      </c>
      <c r="C875" s="8" t="str">
        <f t="shared" si="18"/>
        <v>att_tmt_channel:tmt18_132N</v>
      </c>
      <c r="D875" s="9" t="s">
        <v>17</v>
      </c>
      <c r="E875" s="8" t="s">
        <v>2476</v>
      </c>
      <c r="F875" s="9" t="s">
        <v>17</v>
      </c>
    </row>
    <row r="876" spans="1:6" x14ac:dyDescent="0.15">
      <c r="A876" s="8" t="s">
        <v>2477</v>
      </c>
      <c r="B876" s="8" t="s">
        <v>240</v>
      </c>
      <c r="C876" s="8" t="str">
        <f t="shared" si="18"/>
        <v>att_tmt_channel:tmt18_133C</v>
      </c>
      <c r="D876" s="9" t="s">
        <v>17</v>
      </c>
      <c r="E876" s="8" t="s">
        <v>2478</v>
      </c>
      <c r="F876" s="9" t="s">
        <v>17</v>
      </c>
    </row>
    <row r="877" spans="1:6" x14ac:dyDescent="0.15">
      <c r="A877" s="8" t="s">
        <v>2479</v>
      </c>
      <c r="B877" s="8" t="s">
        <v>240</v>
      </c>
      <c r="C877" s="8" t="str">
        <f t="shared" si="18"/>
        <v>att_tmt_channel:tmt18_133N</v>
      </c>
      <c r="D877" s="9" t="s">
        <v>17</v>
      </c>
      <c r="E877" s="8" t="s">
        <v>2480</v>
      </c>
      <c r="F877" s="9" t="s">
        <v>17</v>
      </c>
    </row>
    <row r="878" spans="1:6" x14ac:dyDescent="0.15">
      <c r="A878" s="8" t="s">
        <v>2481</v>
      </c>
      <c r="B878" s="8" t="s">
        <v>240</v>
      </c>
      <c r="C878" s="8" t="str">
        <f t="shared" si="18"/>
        <v>att_tmt_channel:tmt18_134C</v>
      </c>
      <c r="D878" s="9" t="s">
        <v>17</v>
      </c>
      <c r="E878" s="8" t="s">
        <v>2482</v>
      </c>
      <c r="F878" s="9" t="s">
        <v>17</v>
      </c>
    </row>
    <row r="879" spans="1:6" x14ac:dyDescent="0.15">
      <c r="A879" s="8" t="s">
        <v>2483</v>
      </c>
      <c r="B879" s="8" t="s">
        <v>240</v>
      </c>
      <c r="C879" s="8" t="str">
        <f t="shared" si="18"/>
        <v>att_tmt_channel:tmt18_134N</v>
      </c>
      <c r="D879" s="9" t="s">
        <v>17</v>
      </c>
      <c r="E879" s="8" t="s">
        <v>2484</v>
      </c>
      <c r="F879" s="9" t="s">
        <v>17</v>
      </c>
    </row>
    <row r="880" spans="1:6" x14ac:dyDescent="0.15">
      <c r="A880" s="8" t="s">
        <v>2485</v>
      </c>
      <c r="B880" s="8" t="s">
        <v>240</v>
      </c>
      <c r="C880" s="8" t="str">
        <f t="shared" si="18"/>
        <v>att_tmt_channel:tmt18_135N</v>
      </c>
      <c r="D880" s="9" t="s">
        <v>17</v>
      </c>
      <c r="E880" s="8" t="s">
        <v>2486</v>
      </c>
      <c r="F880" s="9" t="s">
        <v>17</v>
      </c>
    </row>
    <row r="881" spans="1:6" x14ac:dyDescent="0.15">
      <c r="A881" s="8" t="s">
        <v>2487</v>
      </c>
      <c r="B881" s="8" t="s">
        <v>240</v>
      </c>
      <c r="C881" s="8" t="str">
        <f t="shared" si="18"/>
        <v>att_tmt_channel:tmt6_126</v>
      </c>
      <c r="D881" s="9" t="s">
        <v>17</v>
      </c>
      <c r="E881" s="8">
        <v>126</v>
      </c>
      <c r="F881" s="9" t="s">
        <v>17</v>
      </c>
    </row>
    <row r="882" spans="1:6" x14ac:dyDescent="0.15">
      <c r="A882" s="8" t="s">
        <v>2488</v>
      </c>
      <c r="B882" s="8" t="s">
        <v>240</v>
      </c>
      <c r="C882" s="8" t="str">
        <f t="shared" si="18"/>
        <v>att_tmt_channel:tmt6_127</v>
      </c>
      <c r="D882" s="9" t="s">
        <v>17</v>
      </c>
      <c r="E882" s="8">
        <v>127</v>
      </c>
      <c r="F882" s="9" t="s">
        <v>17</v>
      </c>
    </row>
    <row r="883" spans="1:6" x14ac:dyDescent="0.15">
      <c r="A883" s="8" t="s">
        <v>2489</v>
      </c>
      <c r="B883" s="8" t="s">
        <v>240</v>
      </c>
      <c r="C883" s="8" t="str">
        <f t="shared" si="18"/>
        <v>att_tmt_channel:tmt6_128</v>
      </c>
      <c r="D883" s="9" t="s">
        <v>17</v>
      </c>
      <c r="E883" s="8">
        <v>128</v>
      </c>
      <c r="F883" s="9" t="s">
        <v>17</v>
      </c>
    </row>
    <row r="884" spans="1:6" x14ac:dyDescent="0.15">
      <c r="A884" s="8" t="s">
        <v>2490</v>
      </c>
      <c r="B884" s="8" t="s">
        <v>240</v>
      </c>
      <c r="C884" s="8" t="str">
        <f t="shared" si="18"/>
        <v>att_tmt_channel:tmt6_129</v>
      </c>
      <c r="D884" s="9" t="s">
        <v>17</v>
      </c>
      <c r="E884" s="8">
        <v>129</v>
      </c>
      <c r="F884" s="9" t="s">
        <v>17</v>
      </c>
    </row>
    <row r="885" spans="1:6" x14ac:dyDescent="0.15">
      <c r="A885" s="8" t="s">
        <v>2491</v>
      </c>
      <c r="B885" s="8" t="s">
        <v>240</v>
      </c>
      <c r="C885" s="8" t="str">
        <f t="shared" si="18"/>
        <v>att_tmt_channel:tmt6_130</v>
      </c>
      <c r="D885" s="9" t="s">
        <v>17</v>
      </c>
      <c r="E885" s="8">
        <v>130</v>
      </c>
      <c r="F885" s="9" t="s">
        <v>17</v>
      </c>
    </row>
    <row r="886" spans="1:6" x14ac:dyDescent="0.15">
      <c r="A886" s="8" t="s">
        <v>2492</v>
      </c>
      <c r="B886" s="8" t="s">
        <v>240</v>
      </c>
      <c r="C886" s="8" t="str">
        <f t="shared" si="18"/>
        <v>att_tmt_channel:tmt6_131</v>
      </c>
      <c r="D886" s="9" t="s">
        <v>17</v>
      </c>
      <c r="E886" s="8">
        <v>131</v>
      </c>
      <c r="F886" s="9" t="s">
        <v>17</v>
      </c>
    </row>
    <row r="887" spans="1:6" x14ac:dyDescent="0.15">
      <c r="A887" s="8" t="s">
        <v>2493</v>
      </c>
      <c r="B887" s="8" t="s">
        <v>248</v>
      </c>
      <c r="C887" s="8" t="str">
        <f t="shared" si="18"/>
        <v>att_user_institute:biochem</v>
      </c>
      <c r="D887" s="9" t="s">
        <v>17</v>
      </c>
      <c r="E887" s="8" t="s">
        <v>2494</v>
      </c>
      <c r="F887" s="8" t="s">
        <v>2495</v>
      </c>
    </row>
    <row r="888" spans="1:6" x14ac:dyDescent="0.15">
      <c r="A888" s="8" t="s">
        <v>2496</v>
      </c>
      <c r="B888" s="8" t="s">
        <v>248</v>
      </c>
      <c r="C888" s="8" t="str">
        <f t="shared" si="18"/>
        <v>att_user_institute:cecad</v>
      </c>
      <c r="D888" s="9" t="s">
        <v>17</v>
      </c>
      <c r="E888" s="8" t="s">
        <v>2497</v>
      </c>
      <c r="F888" s="8" t="s">
        <v>2498</v>
      </c>
    </row>
    <row r="889" spans="1:6" x14ac:dyDescent="0.15">
      <c r="A889" s="8" t="s">
        <v>2499</v>
      </c>
      <c r="B889" s="8" t="s">
        <v>248</v>
      </c>
      <c r="C889" s="8" t="str">
        <f t="shared" ref="C889:C918" si="21">B889&amp;":"&amp;A889</f>
        <v>att_user_institute:mpiage</v>
      </c>
      <c r="D889" s="9" t="s">
        <v>17</v>
      </c>
      <c r="E889" s="8" t="s">
        <v>2500</v>
      </c>
      <c r="F889" s="8" t="s">
        <v>2501</v>
      </c>
    </row>
    <row r="890" spans="1:6" x14ac:dyDescent="0.15">
      <c r="A890" s="8" t="s">
        <v>2502</v>
      </c>
      <c r="B890" s="8" t="s">
        <v>248</v>
      </c>
      <c r="C890" s="8" t="str">
        <f t="shared" si="21"/>
        <v>att_user_institute:mpimetab</v>
      </c>
      <c r="D890" s="9" t="s">
        <v>17</v>
      </c>
      <c r="E890" s="8" t="s">
        <v>2503</v>
      </c>
      <c r="F890" s="8" t="s">
        <v>2504</v>
      </c>
    </row>
    <row r="891" spans="1:6" x14ac:dyDescent="0.15">
      <c r="A891" s="8" t="s">
        <v>2493</v>
      </c>
      <c r="B891" s="8" t="s">
        <v>248</v>
      </c>
      <c r="C891" s="8" t="str">
        <f t="shared" si="21"/>
        <v>att_user_institute:biochem</v>
      </c>
      <c r="D891" s="8" t="s">
        <v>17</v>
      </c>
      <c r="E891" s="8" t="s">
        <v>2494</v>
      </c>
      <c r="F891" s="8" t="s">
        <v>2495</v>
      </c>
    </row>
    <row r="892" spans="1:6" x14ac:dyDescent="0.15">
      <c r="A892" s="8" t="s">
        <v>2496</v>
      </c>
      <c r="B892" s="8" t="s">
        <v>248</v>
      </c>
      <c r="C892" s="8" t="str">
        <f t="shared" si="21"/>
        <v>att_user_institute:cecad</v>
      </c>
      <c r="D892" s="8" t="s">
        <v>17</v>
      </c>
      <c r="E892" s="8" t="s">
        <v>2497</v>
      </c>
      <c r="F892" s="8" t="s">
        <v>2498</v>
      </c>
    </row>
    <row r="893" spans="1:6" x14ac:dyDescent="0.15">
      <c r="A893" s="8" t="s">
        <v>2499</v>
      </c>
      <c r="B893" s="8" t="s">
        <v>248</v>
      </c>
      <c r="C893" s="8" t="str">
        <f t="shared" si="21"/>
        <v>att_user_institute:mpiage</v>
      </c>
      <c r="D893" s="8" t="s">
        <v>17</v>
      </c>
      <c r="E893" s="8" t="s">
        <v>2500</v>
      </c>
      <c r="F893" s="8" t="s">
        <v>2501</v>
      </c>
    </row>
    <row r="894" spans="1:6" x14ac:dyDescent="0.15">
      <c r="A894" s="8" t="s">
        <v>2502</v>
      </c>
      <c r="B894" s="8" t="s">
        <v>248</v>
      </c>
      <c r="C894" s="8" t="str">
        <f t="shared" si="21"/>
        <v>att_user_institute:mpimetab</v>
      </c>
      <c r="D894" s="8" t="s">
        <v>17</v>
      </c>
      <c r="E894" s="8" t="s">
        <v>2503</v>
      </c>
      <c r="F894" s="8" t="s">
        <v>2504</v>
      </c>
    </row>
    <row r="895" spans="1:6" x14ac:dyDescent="0.15">
      <c r="A895" s="8" t="s">
        <v>2505</v>
      </c>
      <c r="B895" s="8" t="s">
        <v>252</v>
      </c>
      <c r="C895" s="8" t="str">
        <f t="shared" si="21"/>
        <v>att_user_research_group:mitoprotea</v>
      </c>
      <c r="D895" s="8" t="s">
        <v>17</v>
      </c>
      <c r="E895" s="8" t="s">
        <v>2506</v>
      </c>
      <c r="F895" s="8" t="s">
        <v>2507</v>
      </c>
    </row>
    <row r="896" spans="1:6" x14ac:dyDescent="0.15">
      <c r="A896" s="8" t="s">
        <v>2508</v>
      </c>
      <c r="B896" s="8" t="s">
        <v>252</v>
      </c>
      <c r="C896" s="8" t="str">
        <f t="shared" si="21"/>
        <v>att_user_research_group:molageing</v>
      </c>
      <c r="D896" s="8" t="s">
        <v>17</v>
      </c>
      <c r="E896" s="8" t="s">
        <v>2509</v>
      </c>
      <c r="F896" s="8" t="s">
        <v>2510</v>
      </c>
    </row>
    <row r="897" spans="1:6" x14ac:dyDescent="0.15">
      <c r="A897" s="8" t="s">
        <v>2874</v>
      </c>
      <c r="B897" s="8" t="s">
        <v>252</v>
      </c>
      <c r="C897" s="8" t="str">
        <f t="shared" si="21"/>
        <v>att_user_research_group:ProtFa</v>
      </c>
      <c r="D897" s="8" t="s">
        <v>17</v>
      </c>
      <c r="E897" s="8" t="s">
        <v>2875</v>
      </c>
      <c r="F897" s="8" t="s">
        <v>2876</v>
      </c>
    </row>
    <row r="898" spans="1:6" x14ac:dyDescent="0.15">
      <c r="A898" s="8" t="s">
        <v>2877</v>
      </c>
      <c r="B898" s="8" t="s">
        <v>252</v>
      </c>
      <c r="C898" s="8" t="str">
        <f t="shared" si="21"/>
        <v>att_user_research_group:frezza</v>
      </c>
      <c r="D898" s="8" t="s">
        <v>17</v>
      </c>
      <c r="E898" s="8" t="s">
        <v>2878</v>
      </c>
      <c r="F898" s="8" t="s">
        <v>2879</v>
      </c>
    </row>
    <row r="899" spans="1:6" x14ac:dyDescent="0.15">
      <c r="A899" s="8" t="s">
        <v>2880</v>
      </c>
      <c r="B899" s="8" t="s">
        <v>252</v>
      </c>
      <c r="C899" s="8" t="str">
        <f t="shared" si="21"/>
        <v>att_user_research_group:krueger</v>
      </c>
      <c r="D899" s="8" t="s">
        <v>17</v>
      </c>
      <c r="E899" s="8" t="s">
        <v>2881</v>
      </c>
      <c r="F899" s="8" t="s">
        <v>2882</v>
      </c>
    </row>
    <row r="900" spans="1:6" x14ac:dyDescent="0.15">
      <c r="A900" s="8" t="s">
        <v>2883</v>
      </c>
      <c r="B900" s="8" t="s">
        <v>252</v>
      </c>
      <c r="C900" s="8" t="str">
        <f t="shared" si="21"/>
        <v>att_user_research_group:rugarli</v>
      </c>
      <c r="D900" s="8" t="s">
        <v>17</v>
      </c>
      <c r="E900" s="8" t="s">
        <v>2884</v>
      </c>
      <c r="F900" s="8" t="s">
        <v>2882</v>
      </c>
    </row>
    <row r="901" spans="1:6" x14ac:dyDescent="0.15">
      <c r="A901" s="8" t="s">
        <v>2885</v>
      </c>
      <c r="B901" s="8" t="s">
        <v>252</v>
      </c>
      <c r="C901" s="8" t="str">
        <f t="shared" si="21"/>
        <v>att_user_research_group:trifunovic</v>
      </c>
      <c r="D901" s="8" t="s">
        <v>17</v>
      </c>
      <c r="E901" s="8" t="s">
        <v>2886</v>
      </c>
      <c r="F901" s="8" t="s">
        <v>2887</v>
      </c>
    </row>
    <row r="902" spans="1:6" x14ac:dyDescent="0.15">
      <c r="A902" s="8" t="s">
        <v>2888</v>
      </c>
      <c r="B902" s="8" t="s">
        <v>252</v>
      </c>
      <c r="C902" s="8" t="str">
        <f t="shared" si="21"/>
        <v>att_user_research_group:niessen</v>
      </c>
      <c r="D902" s="8" t="s">
        <v>17</v>
      </c>
      <c r="E902" s="8" t="s">
        <v>2889</v>
      </c>
      <c r="F902" s="8" t="s">
        <v>2497</v>
      </c>
    </row>
    <row r="903" spans="1:6" x14ac:dyDescent="0.15">
      <c r="A903" s="8" t="s">
        <v>2890</v>
      </c>
      <c r="B903" s="8" t="s">
        <v>252</v>
      </c>
      <c r="C903" s="8" t="str">
        <f t="shared" si="21"/>
        <v>att_user_research_group:gloeckner</v>
      </c>
      <c r="D903" s="8" t="s">
        <v>17</v>
      </c>
      <c r="E903" s="8" t="s">
        <v>2891</v>
      </c>
      <c r="F903" s="8" t="s">
        <v>2892</v>
      </c>
    </row>
    <row r="904" spans="1:6" x14ac:dyDescent="0.15">
      <c r="A904" s="8" t="s">
        <v>2893</v>
      </c>
      <c r="B904" s="8" t="s">
        <v>252</v>
      </c>
      <c r="C904" s="8" t="str">
        <f t="shared" si="21"/>
        <v>att_user_research_group:bazzi</v>
      </c>
      <c r="D904" s="8" t="s">
        <v>17</v>
      </c>
      <c r="E904" s="8" t="s">
        <v>2894</v>
      </c>
      <c r="F904" s="8" t="s">
        <v>2895</v>
      </c>
    </row>
    <row r="905" spans="1:6" x14ac:dyDescent="0.15">
      <c r="A905" s="8" t="s">
        <v>2896</v>
      </c>
      <c r="B905" s="8" t="s">
        <v>252</v>
      </c>
      <c r="C905" s="8" t="str">
        <f t="shared" si="21"/>
        <v>att_user_research_group:hallek</v>
      </c>
      <c r="D905" s="8" t="s">
        <v>17</v>
      </c>
      <c r="E905" s="8" t="s">
        <v>2897</v>
      </c>
      <c r="F905" s="8" t="s">
        <v>2898</v>
      </c>
    </row>
    <row r="906" spans="1:6" x14ac:dyDescent="0.15">
      <c r="A906" s="8" t="s">
        <v>2899</v>
      </c>
      <c r="B906" s="8" t="s">
        <v>252</v>
      </c>
      <c r="C906" s="8" t="str">
        <f t="shared" si="21"/>
        <v>att_user_research_group:benzing</v>
      </c>
      <c r="D906" s="8" t="s">
        <v>17</v>
      </c>
      <c r="E906" s="8" t="s">
        <v>2900</v>
      </c>
      <c r="F906" s="8" t="s">
        <v>2901</v>
      </c>
    </row>
    <row r="907" spans="1:6" x14ac:dyDescent="0.15">
      <c r="A907" s="8" t="s">
        <v>2902</v>
      </c>
      <c r="B907" s="8" t="s">
        <v>252</v>
      </c>
      <c r="C907" s="8" t="str">
        <f t="shared" si="21"/>
        <v>att_user_research_group:hennies</v>
      </c>
      <c r="D907" s="8" t="s">
        <v>17</v>
      </c>
      <c r="E907" s="8" t="s">
        <v>2903</v>
      </c>
      <c r="F907" s="8" t="s">
        <v>2904</v>
      </c>
    </row>
    <row r="908" spans="1:6" x14ac:dyDescent="0.15">
      <c r="A908" s="8" t="s">
        <v>2905</v>
      </c>
      <c r="B908" s="8" t="s">
        <v>252</v>
      </c>
      <c r="C908" s="8" t="str">
        <f t="shared" si="21"/>
        <v>att_user_research_group:vonkarstedt</v>
      </c>
      <c r="D908" s="8" t="s">
        <v>17</v>
      </c>
      <c r="E908" s="8" t="s">
        <v>2906</v>
      </c>
      <c r="F908" s="8" t="s">
        <v>2907</v>
      </c>
    </row>
    <row r="909" spans="1:6" x14ac:dyDescent="0.15">
      <c r="A909" s="8" t="s">
        <v>2908</v>
      </c>
      <c r="B909" s="8" t="s">
        <v>252</v>
      </c>
      <c r="C909" s="8" t="str">
        <f t="shared" si="21"/>
        <v>att_user_research_group:laessig</v>
      </c>
      <c r="D909" s="8" t="s">
        <v>17</v>
      </c>
      <c r="E909" s="8" t="s">
        <v>2909</v>
      </c>
      <c r="F909" s="8" t="s">
        <v>2910</v>
      </c>
    </row>
    <row r="910" spans="1:6" x14ac:dyDescent="0.15">
      <c r="A910" s="8" t="s">
        <v>2911</v>
      </c>
      <c r="B910" s="8" t="s">
        <v>252</v>
      </c>
      <c r="C910" s="8" t="str">
        <f t="shared" si="21"/>
        <v>att_user_research_group:hoppe</v>
      </c>
      <c r="D910" s="8" t="s">
        <v>17</v>
      </c>
      <c r="E910" s="8" t="s">
        <v>2912</v>
      </c>
      <c r="F910" s="8" t="s">
        <v>2913</v>
      </c>
    </row>
    <row r="911" spans="1:6" x14ac:dyDescent="0.15">
      <c r="A911" s="8" t="s">
        <v>2914</v>
      </c>
      <c r="B911" s="8" t="s">
        <v>252</v>
      </c>
      <c r="C911" s="8" t="str">
        <f t="shared" si="21"/>
        <v>att_user_research_group:garcia</v>
      </c>
      <c r="D911" s="8" t="s">
        <v>17</v>
      </c>
      <c r="E911" s="8" t="s">
        <v>2915</v>
      </c>
      <c r="F911" s="8" t="s">
        <v>2913</v>
      </c>
    </row>
    <row r="912" spans="1:6" x14ac:dyDescent="0.15">
      <c r="A912" s="8" t="s">
        <v>2916</v>
      </c>
      <c r="B912" s="8" t="s">
        <v>252</v>
      </c>
      <c r="C912" s="8" t="str">
        <f t="shared" si="21"/>
        <v>att_user_research_group:khaskar</v>
      </c>
      <c r="D912" s="8" t="s">
        <v>17</v>
      </c>
      <c r="E912" s="8" t="s">
        <v>2917</v>
      </c>
      <c r="F912" s="8" t="s">
        <v>2918</v>
      </c>
    </row>
    <row r="913" spans="1:6" x14ac:dyDescent="0.15">
      <c r="A913" s="8" t="s">
        <v>2919</v>
      </c>
      <c r="B913" s="8" t="s">
        <v>252</v>
      </c>
      <c r="C913" s="8" t="str">
        <f t="shared" si="21"/>
        <v>att_user_research_group:krieg</v>
      </c>
      <c r="D913" s="8" t="s">
        <v>17</v>
      </c>
      <c r="E913" s="8" t="s">
        <v>2920</v>
      </c>
      <c r="F913" s="8" t="s">
        <v>2921</v>
      </c>
    </row>
    <row r="914" spans="1:6" x14ac:dyDescent="0.15">
      <c r="A914" s="8" t="s">
        <v>2824</v>
      </c>
      <c r="B914" s="22" t="s">
        <v>2820</v>
      </c>
      <c r="C914" s="8" t="str">
        <f t="shared" si="21"/>
        <v>att_diet:wd</v>
      </c>
      <c r="D914" s="8" t="s">
        <v>17</v>
      </c>
      <c r="E914" s="8" t="s">
        <v>2823</v>
      </c>
      <c r="F914" s="8" t="s">
        <v>2822</v>
      </c>
    </row>
    <row r="915" spans="1:6" x14ac:dyDescent="0.15">
      <c r="A915" s="8" t="s">
        <v>2825</v>
      </c>
      <c r="B915" s="22" t="s">
        <v>2820</v>
      </c>
      <c r="C915" s="8" t="str">
        <f t="shared" si="21"/>
        <v>att_diet:sd</v>
      </c>
      <c r="D915" s="8" t="s">
        <v>17</v>
      </c>
      <c r="E915" s="8" t="s">
        <v>2826</v>
      </c>
    </row>
    <row r="916" spans="1:6" x14ac:dyDescent="0.15">
      <c r="A916" s="8" t="s">
        <v>2827</v>
      </c>
      <c r="B916" s="22" t="s">
        <v>2820</v>
      </c>
      <c r="C916" s="8" t="str">
        <f t="shared" si="21"/>
        <v>att_diet:veg</v>
      </c>
      <c r="D916" s="8" t="s">
        <v>17</v>
      </c>
      <c r="E916" s="8" t="s">
        <v>2828</v>
      </c>
      <c r="F916" s="8" t="s">
        <v>2829</v>
      </c>
    </row>
    <row r="917" spans="1:6" x14ac:dyDescent="0.15">
      <c r="A917" s="8" t="s">
        <v>2832</v>
      </c>
      <c r="B917" s="22" t="s">
        <v>2820</v>
      </c>
      <c r="C917" s="8" t="str">
        <f t="shared" si="21"/>
        <v>att_diet:hg</v>
      </c>
      <c r="D917" s="8" t="s">
        <v>17</v>
      </c>
      <c r="E917" s="8" t="s">
        <v>2830</v>
      </c>
      <c r="F917" s="8" t="s">
        <v>2831</v>
      </c>
    </row>
    <row r="918" spans="1:6" x14ac:dyDescent="0.15">
      <c r="A918" s="8" t="s">
        <v>2835</v>
      </c>
      <c r="B918" s="8" t="s">
        <v>2820</v>
      </c>
      <c r="C918" s="8" t="str">
        <f t="shared" si="21"/>
        <v>att_diet:hfd</v>
      </c>
      <c r="D918" s="8" t="s">
        <v>17</v>
      </c>
      <c r="E918" s="8" t="s">
        <v>2833</v>
      </c>
      <c r="F918"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2024-02-06T16:42:26Z</dcterms:modified>
  <dc:language>en-GB</dc:language>
</cp:coreProperties>
</file>