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nolte/Documents/GitHub/mitocube-backend/resources/units/"/>
    </mc:Choice>
  </mc:AlternateContent>
  <xr:revisionPtr revIDLastSave="0" documentId="13_ncr:1_{DF93A8E9-E92C-B44D-93C3-2D245E8B1DB0}" xr6:coauthVersionLast="47" xr6:coauthVersionMax="47" xr10:uidLastSave="{00000000-0000-0000-0000-000000000000}"/>
  <bookViews>
    <workbookView xWindow="0" yWindow="500" windowWidth="51200" windowHeight="27040" xr2:uid="{E28130DD-1ADD-644F-9A18-B1B9F202D841}"/>
  </bookViews>
  <sheets>
    <sheet name="Sheet1" sheetId="1" r:id="rId1"/>
    <sheet name="Sheet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D49" i="1"/>
  <c r="D48" i="1"/>
  <c r="D47" i="1"/>
  <c r="D46" i="1"/>
  <c r="D45" i="1"/>
  <c r="D44" i="1"/>
  <c r="D43" i="1"/>
  <c r="B3" i="1"/>
  <c r="D3" i="1"/>
  <c r="B4" i="1"/>
  <c r="D4" i="1"/>
  <c r="B5" i="1"/>
  <c r="D5" i="1"/>
  <c r="B6" i="1"/>
  <c r="D6" i="1"/>
  <c r="D7" i="1"/>
  <c r="D8" i="1"/>
  <c r="D9" i="1"/>
  <c r="D10" i="1"/>
  <c r="D11" i="1"/>
  <c r="D12" i="1"/>
  <c r="D13" i="1"/>
  <c r="D14" i="1"/>
  <c r="D15" i="1"/>
  <c r="D16" i="1"/>
  <c r="B17" i="1"/>
  <c r="D17" i="1"/>
  <c r="B18" i="1"/>
  <c r="D18" i="1"/>
  <c r="B19" i="1"/>
  <c r="D19" i="1"/>
  <c r="B20" i="1"/>
  <c r="D20" i="1"/>
  <c r="B21" i="1"/>
  <c r="D21" i="1"/>
  <c r="D22" i="1"/>
  <c r="B23" i="1"/>
  <c r="D23" i="1"/>
  <c r="B24" i="1"/>
  <c r="D24" i="1"/>
  <c r="B25" i="1"/>
  <c r="D25" i="1"/>
  <c r="B26" i="1"/>
  <c r="D26" i="1"/>
  <c r="B27" i="1"/>
  <c r="D27" i="1"/>
  <c r="B28" i="1"/>
  <c r="D28" i="1"/>
  <c r="B29" i="1"/>
  <c r="D29" i="1"/>
  <c r="B30" i="1"/>
  <c r="D30" i="1"/>
  <c r="D32" i="1"/>
  <c r="D33" i="1"/>
  <c r="D34" i="1"/>
  <c r="D35" i="1"/>
  <c r="D36" i="1"/>
  <c r="D37" i="1"/>
  <c r="D38" i="1"/>
  <c r="D39" i="1"/>
  <c r="D40" i="1"/>
  <c r="D41" i="1"/>
  <c r="D42" i="1"/>
  <c r="B2" i="1"/>
  <c r="D2" i="1"/>
</calcChain>
</file>

<file path=xl/sharedStrings.xml><?xml version="1.0" encoding="utf-8"?>
<sst xmlns="http://schemas.openxmlformats.org/spreadsheetml/2006/main" count="288" uniqueCount="185">
  <si>
    <t>UnitType</t>
  </si>
  <si>
    <t>Concentration</t>
  </si>
  <si>
    <t>Flow rate</t>
  </si>
  <si>
    <t>Feature</t>
  </si>
  <si>
    <t>Mass</t>
  </si>
  <si>
    <t>Mass To Charge</t>
  </si>
  <si>
    <t>Temperature</t>
  </si>
  <si>
    <t>Voltage</t>
  </si>
  <si>
    <t>V</t>
  </si>
  <si>
    <t>kg</t>
  </si>
  <si>
    <t>Length</t>
  </si>
  <si>
    <t>m</t>
  </si>
  <si>
    <t>K</t>
  </si>
  <si>
    <t>mg/mL</t>
  </si>
  <si>
    <t>mol/L</t>
  </si>
  <si>
    <t>µg/mL</t>
  </si>
  <si>
    <t>mL/min</t>
  </si>
  <si>
    <t>nL/min</t>
  </si>
  <si>
    <t>s</t>
  </si>
  <si>
    <t>d</t>
  </si>
  <si>
    <t>min</t>
  </si>
  <si>
    <t>w</t>
  </si>
  <si>
    <t>a</t>
  </si>
  <si>
    <t>week</t>
  </si>
  <si>
    <t xml:space="preserve">year </t>
  </si>
  <si>
    <t>hour</t>
  </si>
  <si>
    <t>minute</t>
  </si>
  <si>
    <t>second</t>
  </si>
  <si>
    <t>day</t>
  </si>
  <si>
    <t>g</t>
  </si>
  <si>
    <t>ng</t>
  </si>
  <si>
    <t>m/z</t>
  </si>
  <si>
    <t>kV</t>
  </si>
  <si>
    <t>kilovolt</t>
  </si>
  <si>
    <t>volt</t>
  </si>
  <si>
    <t>metre</t>
  </si>
  <si>
    <t>µm</t>
  </si>
  <si>
    <t>mico-metre</t>
  </si>
  <si>
    <t>cm</t>
  </si>
  <si>
    <t>dm</t>
  </si>
  <si>
    <t>centimetre</t>
  </si>
  <si>
    <t>decimetre</t>
  </si>
  <si>
    <t>mass to chrage (Thomson)</t>
  </si>
  <si>
    <t>Kelvin</t>
  </si>
  <si>
    <t>Celsius</t>
  </si>
  <si>
    <t>°C</t>
  </si>
  <si>
    <t>L/min</t>
  </si>
  <si>
    <t>kilogram</t>
  </si>
  <si>
    <t>gramm</t>
  </si>
  <si>
    <t>nanogramm</t>
  </si>
  <si>
    <t>µg</t>
  </si>
  <si>
    <t>microgramm</t>
  </si>
  <si>
    <t>text</t>
  </si>
  <si>
    <t>UnitType tag</t>
  </si>
  <si>
    <t>tag</t>
  </si>
  <si>
    <t>litre per minute</t>
  </si>
  <si>
    <t>nano litre per minute</t>
  </si>
  <si>
    <t>milli litle per minute</t>
  </si>
  <si>
    <t>microgramm per millilitre</t>
  </si>
  <si>
    <t>mol per litre</t>
  </si>
  <si>
    <t>milligramm per milliliter</t>
  </si>
  <si>
    <t>Volume</t>
  </si>
  <si>
    <t>volume</t>
  </si>
  <si>
    <t>dl</t>
  </si>
  <si>
    <t>decilitre</t>
  </si>
  <si>
    <t>priority</t>
  </si>
  <si>
    <t>µL</t>
  </si>
  <si>
    <t>microlitre</t>
  </si>
  <si>
    <t>nL</t>
  </si>
  <si>
    <t>nanolitre</t>
  </si>
  <si>
    <t>type_priority</t>
  </si>
  <si>
    <t>M</t>
  </si>
  <si>
    <t>molar</t>
  </si>
  <si>
    <t>µM</t>
  </si>
  <si>
    <t>micromolar</t>
  </si>
  <si>
    <t>masstocharge</t>
  </si>
  <si>
    <t>Arbitrary</t>
  </si>
  <si>
    <t>Unique identifier</t>
  </si>
  <si>
    <t>intensity</t>
  </si>
  <si>
    <t>Intensity</t>
  </si>
  <si>
    <t>arbitrary</t>
  </si>
  <si>
    <t>Resolution (at 200 m/z)</t>
  </si>
  <si>
    <t>Resolution (at 400 m/z)</t>
  </si>
  <si>
    <t>Fraction</t>
  </si>
  <si>
    <t>fraction</t>
  </si>
  <si>
    <t>%</t>
  </si>
  <si>
    <t>Percentage</t>
  </si>
  <si>
    <t>‰</t>
  </si>
  <si>
    <t>Per mille</t>
  </si>
  <si>
    <t>Ratio</t>
  </si>
  <si>
    <t>:</t>
  </si>
  <si>
    <t>uid</t>
  </si>
  <si>
    <t>Version</t>
  </si>
  <si>
    <t>version</t>
  </si>
  <si>
    <t>v.</t>
  </si>
  <si>
    <t>Version (v. X.Y.Z)</t>
  </si>
  <si>
    <t>flow_rate</t>
  </si>
  <si>
    <t>h</t>
  </si>
  <si>
    <t>Control proteins (GFP, LUC, ..)</t>
  </si>
  <si>
    <t>concentration</t>
  </si>
  <si>
    <t>ctrl</t>
  </si>
  <si>
    <t>has_feature_value</t>
  </si>
  <si>
    <t>Duration</t>
  </si>
  <si>
    <t>Age</t>
  </si>
  <si>
    <t>description</t>
  </si>
  <si>
    <t>length</t>
  </si>
  <si>
    <t>aa</t>
  </si>
  <si>
    <t>length:aa</t>
  </si>
  <si>
    <t>amino acids</t>
  </si>
  <si>
    <t>R(400m/z)</t>
  </si>
  <si>
    <t>R(200m/z)</t>
  </si>
  <si>
    <t>age</t>
  </si>
  <si>
    <t>duration</t>
  </si>
  <si>
    <t>Position</t>
  </si>
  <si>
    <t>position</t>
  </si>
  <si>
    <t>Amino acid position</t>
  </si>
  <si>
    <t>aa_range</t>
  </si>
  <si>
    <t>Amino acid Range</t>
  </si>
  <si>
    <t>is_feature_position</t>
  </si>
  <si>
    <t>Amino Acid</t>
  </si>
  <si>
    <t>aminoacid</t>
  </si>
  <si>
    <t>Alanine</t>
  </si>
  <si>
    <t>aminoacid:A</t>
  </si>
  <si>
    <t>Non-polar, involved in glucose metabolism and energy production.</t>
  </si>
  <si>
    <t>Arginine</t>
  </si>
  <si>
    <t>aminoacid:R</t>
  </si>
  <si>
    <t>Polar, semi-essential, important in protein synthesis and urea cycle.</t>
  </si>
  <si>
    <t>Asparagine</t>
  </si>
  <si>
    <t>aminoacid:N</t>
  </si>
  <si>
    <t>Polar, plays a role in nitrogen metabolism and neural signaling.</t>
  </si>
  <si>
    <t>Aspartic Acid</t>
  </si>
  <si>
    <t>aminoacid:D</t>
  </si>
  <si>
    <t>Acidic, involved in neurotransmission and urea cycle.</t>
  </si>
  <si>
    <t>Cysteine</t>
  </si>
  <si>
    <t>aminoacid:C</t>
  </si>
  <si>
    <t>Sulfur-containing, forms disulfide bonds for protein structure.</t>
  </si>
  <si>
    <t>Glutamine</t>
  </si>
  <si>
    <t>aminoacid:Q</t>
  </si>
  <si>
    <t>Polar, involved in nitrogen transport and immune function.</t>
  </si>
  <si>
    <t>Glutamic Acid</t>
  </si>
  <si>
    <t>aminoacid:E</t>
  </si>
  <si>
    <t>Acidic, plays a role in neurotransmission and metabolism.</t>
  </si>
  <si>
    <t>Glycine</t>
  </si>
  <si>
    <t>aminoacid:G</t>
  </si>
  <si>
    <t>Non-polar, important for protein structure and collagen.</t>
  </si>
  <si>
    <t>Histidine</t>
  </si>
  <si>
    <t>aminoacid:H</t>
  </si>
  <si>
    <t>Essential, polar, important in enzyme active sites and pH regulation.</t>
  </si>
  <si>
    <t>Isoleucine</t>
  </si>
  <si>
    <t>aminoacid:I</t>
  </si>
  <si>
    <t>Essential, non-polar, involved in muscle metabolism and energy.</t>
  </si>
  <si>
    <t>Leucine</t>
  </si>
  <si>
    <t>aminoacid:L</t>
  </si>
  <si>
    <t>Essential, non-polar, critical for muscle repair and protein synthesis.</t>
  </si>
  <si>
    <t>Lysine</t>
  </si>
  <si>
    <t>aminoacid:K</t>
  </si>
  <si>
    <t>Essential, basic, involved in calcium absorption and collagen formation.</t>
  </si>
  <si>
    <t>Methionine</t>
  </si>
  <si>
    <t>aminoacid:M</t>
  </si>
  <si>
    <t>Essential, sulfur-containing, starts protein synthesis and aids metabolism.</t>
  </si>
  <si>
    <t>Phenylalanine</t>
  </si>
  <si>
    <t>aminoacid:F</t>
  </si>
  <si>
    <t>Essential, non-polar, precursor for neurotransmitters.</t>
  </si>
  <si>
    <t>Proline</t>
  </si>
  <si>
    <t>aminoacid:P</t>
  </si>
  <si>
    <t>Non-polar, important for collagen structure.</t>
  </si>
  <si>
    <t>Serine</t>
  </si>
  <si>
    <t>aminoacid:S</t>
  </si>
  <si>
    <t>Polar, involved in metabolism and enzyme catalysis.</t>
  </si>
  <si>
    <t>Threonine</t>
  </si>
  <si>
    <t>aminoacid:T</t>
  </si>
  <si>
    <t>Essential, polar, involved in immune function and protein synthesis.</t>
  </si>
  <si>
    <t>Tryptophan</t>
  </si>
  <si>
    <t>aminoacid:W</t>
  </si>
  <si>
    <t>Essential, non-polar, precursor for serotonin and melatonin.</t>
  </si>
  <si>
    <t>Tyrosine</t>
  </si>
  <si>
    <t>aminoacid:Y</t>
  </si>
  <si>
    <t>Non-polar, precursor for thyroid hormones and neurotransmitters.</t>
  </si>
  <si>
    <t>Valine</t>
  </si>
  <si>
    <t>aminoacid:V</t>
  </si>
  <si>
    <t>Essential, non-polar, involved in muscle growth and energy.</t>
  </si>
  <si>
    <t>C-term</t>
  </si>
  <si>
    <t>cterm</t>
  </si>
  <si>
    <t>nterm</t>
  </si>
  <si>
    <t>N-term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</si>
</sst>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Roboto-Regula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F2FB-B1B7-F847-9F17-0CF76D341BE1}">
  <dimension ref="A1:I50"/>
  <sheetViews>
    <sheetView tabSelected="1" workbookViewId="0">
      <selection activeCell="G48" sqref="G48"/>
    </sheetView>
  </sheetViews>
  <sheetFormatPr baseColWidth="10" defaultRowHeight="15"/>
  <cols>
    <col min="1" max="2" width="20" customWidth="1"/>
    <col min="3" max="3" width="16.1640625" customWidth="1"/>
    <col min="4" max="4" width="19.1640625" customWidth="1"/>
    <col min="5" max="5" width="16" customWidth="1"/>
    <col min="8" max="8" width="19.1640625" customWidth="1"/>
  </cols>
  <sheetData>
    <row r="1" spans="1:9">
      <c r="A1" t="s">
        <v>0</v>
      </c>
      <c r="B1" t="s">
        <v>53</v>
      </c>
      <c r="C1" t="s">
        <v>52</v>
      </c>
      <c r="D1" t="s">
        <v>54</v>
      </c>
      <c r="E1" t="s">
        <v>104</v>
      </c>
      <c r="F1" t="s">
        <v>70</v>
      </c>
      <c r="G1" t="s">
        <v>65</v>
      </c>
      <c r="H1" t="s">
        <v>101</v>
      </c>
      <c r="I1" t="s">
        <v>118</v>
      </c>
    </row>
    <row r="2" spans="1:9">
      <c r="A2" t="s">
        <v>1</v>
      </c>
      <c r="B2" t="str">
        <f>LOWER(A2)</f>
        <v>concentration</v>
      </c>
      <c r="C2" t="s">
        <v>13</v>
      </c>
      <c r="D2" t="str">
        <f>B2&amp;":"&amp;C2</f>
        <v>concentration:mg/mL</v>
      </c>
      <c r="E2" t="s">
        <v>60</v>
      </c>
      <c r="F2">
        <v>600</v>
      </c>
      <c r="G2">
        <v>500</v>
      </c>
      <c r="H2" t="b">
        <v>0</v>
      </c>
      <c r="I2" t="b">
        <v>0</v>
      </c>
    </row>
    <row r="3" spans="1:9">
      <c r="A3" t="s">
        <v>1</v>
      </c>
      <c r="B3" t="str">
        <f>LOWER(A3)</f>
        <v>concentration</v>
      </c>
      <c r="C3" t="s">
        <v>14</v>
      </c>
      <c r="D3" t="str">
        <f>B3&amp;":"&amp;C3</f>
        <v>concentration:mol/L</v>
      </c>
      <c r="E3" t="s">
        <v>59</v>
      </c>
      <c r="F3">
        <v>600</v>
      </c>
      <c r="G3">
        <v>500</v>
      </c>
      <c r="H3" t="b">
        <v>0</v>
      </c>
      <c r="I3" t="b">
        <v>0</v>
      </c>
    </row>
    <row r="4" spans="1:9">
      <c r="A4" t="s">
        <v>1</v>
      </c>
      <c r="B4" t="str">
        <f>LOWER(A4)</f>
        <v>concentration</v>
      </c>
      <c r="C4" t="s">
        <v>15</v>
      </c>
      <c r="D4" t="str">
        <f>B4&amp;":"&amp;C4</f>
        <v>concentration:µg/mL</v>
      </c>
      <c r="E4" t="s">
        <v>58</v>
      </c>
      <c r="F4">
        <v>700</v>
      </c>
      <c r="G4">
        <v>500</v>
      </c>
      <c r="H4" t="b">
        <v>0</v>
      </c>
      <c r="I4" t="b">
        <v>0</v>
      </c>
    </row>
    <row r="5" spans="1:9">
      <c r="A5" t="s">
        <v>1</v>
      </c>
      <c r="B5" t="str">
        <f>LOWER(A5)</f>
        <v>concentration</v>
      </c>
      <c r="C5" t="s">
        <v>71</v>
      </c>
      <c r="D5" t="str">
        <f>B5&amp;":"&amp;C5</f>
        <v>concentration:M</v>
      </c>
      <c r="E5" t="s">
        <v>72</v>
      </c>
      <c r="F5">
        <v>600</v>
      </c>
      <c r="G5">
        <v>500</v>
      </c>
      <c r="H5" t="b">
        <v>0</v>
      </c>
      <c r="I5" t="b">
        <v>0</v>
      </c>
    </row>
    <row r="6" spans="1:9">
      <c r="A6" t="s">
        <v>1</v>
      </c>
      <c r="B6" t="str">
        <f>LOWER(A6)</f>
        <v>concentration</v>
      </c>
      <c r="C6" t="s">
        <v>73</v>
      </c>
      <c r="D6" t="str">
        <f>B6&amp;":"&amp;C6</f>
        <v>concentration:µM</v>
      </c>
      <c r="E6" t="s">
        <v>74</v>
      </c>
      <c r="F6">
        <v>650</v>
      </c>
      <c r="G6">
        <v>600</v>
      </c>
      <c r="H6" t="b">
        <v>0</v>
      </c>
      <c r="I6" t="b">
        <v>0</v>
      </c>
    </row>
    <row r="7" spans="1:9">
      <c r="A7" t="s">
        <v>1</v>
      </c>
      <c r="B7" t="s">
        <v>99</v>
      </c>
      <c r="C7" t="s">
        <v>85</v>
      </c>
      <c r="D7" t="str">
        <f>B7&amp;":"&amp;C7</f>
        <v>concentration:%</v>
      </c>
      <c r="E7" t="s">
        <v>86</v>
      </c>
      <c r="F7">
        <v>600</v>
      </c>
      <c r="G7">
        <v>450</v>
      </c>
      <c r="H7" t="b">
        <v>0</v>
      </c>
      <c r="I7" t="b">
        <v>0</v>
      </c>
    </row>
    <row r="8" spans="1:9">
      <c r="A8" t="s">
        <v>2</v>
      </c>
      <c r="B8" t="s">
        <v>96</v>
      </c>
      <c r="C8" t="s">
        <v>16</v>
      </c>
      <c r="D8" t="str">
        <f>B8&amp;":"&amp;C8</f>
        <v>flow_rate:mL/min</v>
      </c>
      <c r="E8" t="s">
        <v>57</v>
      </c>
      <c r="F8">
        <v>500</v>
      </c>
      <c r="G8">
        <v>500</v>
      </c>
      <c r="H8" t="b">
        <v>0</v>
      </c>
      <c r="I8" t="b">
        <v>0</v>
      </c>
    </row>
    <row r="9" spans="1:9">
      <c r="A9" t="s">
        <v>2</v>
      </c>
      <c r="B9" t="s">
        <v>96</v>
      </c>
      <c r="C9" t="s">
        <v>17</v>
      </c>
      <c r="D9" t="str">
        <f>B9&amp;":"&amp;C9</f>
        <v>flow_rate:nL/min</v>
      </c>
      <c r="E9" t="s">
        <v>56</v>
      </c>
      <c r="F9">
        <v>500</v>
      </c>
      <c r="G9">
        <v>550</v>
      </c>
      <c r="H9" t="b">
        <v>0</v>
      </c>
      <c r="I9" t="b">
        <v>0</v>
      </c>
    </row>
    <row r="10" spans="1:9">
      <c r="A10" t="s">
        <v>2</v>
      </c>
      <c r="B10" t="s">
        <v>96</v>
      </c>
      <c r="C10" t="s">
        <v>46</v>
      </c>
      <c r="D10" t="str">
        <f>B10&amp;":"&amp;C10</f>
        <v>flow_rate:L/min</v>
      </c>
      <c r="E10" t="s">
        <v>55</v>
      </c>
      <c r="F10">
        <v>500</v>
      </c>
      <c r="G10">
        <v>500</v>
      </c>
      <c r="H10" t="b">
        <v>0</v>
      </c>
      <c r="I10" t="b">
        <v>0</v>
      </c>
    </row>
    <row r="11" spans="1:9">
      <c r="A11" t="s">
        <v>102</v>
      </c>
      <c r="B11" t="s">
        <v>112</v>
      </c>
      <c r="C11" t="s">
        <v>18</v>
      </c>
      <c r="D11" t="str">
        <f>B11&amp;":"&amp;C11</f>
        <v>duration:s</v>
      </c>
      <c r="E11" t="s">
        <v>27</v>
      </c>
      <c r="F11">
        <v>500</v>
      </c>
      <c r="G11">
        <v>550</v>
      </c>
      <c r="H11" t="b">
        <v>0</v>
      </c>
      <c r="I11" t="b">
        <v>0</v>
      </c>
    </row>
    <row r="12" spans="1:9">
      <c r="A12" t="s">
        <v>102</v>
      </c>
      <c r="B12" t="s">
        <v>112</v>
      </c>
      <c r="C12" t="s">
        <v>19</v>
      </c>
      <c r="D12" t="str">
        <f>B12&amp;":"&amp;C12</f>
        <v>duration:d</v>
      </c>
      <c r="E12" t="s">
        <v>28</v>
      </c>
      <c r="F12">
        <v>500</v>
      </c>
      <c r="G12">
        <v>500</v>
      </c>
      <c r="H12" t="b">
        <v>0</v>
      </c>
      <c r="I12" t="b">
        <v>0</v>
      </c>
    </row>
    <row r="13" spans="1:9">
      <c r="A13" t="s">
        <v>102</v>
      </c>
      <c r="B13" t="s">
        <v>112</v>
      </c>
      <c r="C13" t="s">
        <v>97</v>
      </c>
      <c r="D13" t="str">
        <f>B13&amp;":"&amp;C13</f>
        <v>duration:h</v>
      </c>
      <c r="E13" t="s">
        <v>25</v>
      </c>
      <c r="F13">
        <v>500</v>
      </c>
      <c r="G13">
        <v>650</v>
      </c>
      <c r="H13" t="b">
        <v>0</v>
      </c>
      <c r="I13" t="b">
        <v>0</v>
      </c>
    </row>
    <row r="14" spans="1:9">
      <c r="A14" t="s">
        <v>102</v>
      </c>
      <c r="B14" t="s">
        <v>112</v>
      </c>
      <c r="C14" t="s">
        <v>20</v>
      </c>
      <c r="D14" t="str">
        <f>B14&amp;":"&amp;C14</f>
        <v>duration:min</v>
      </c>
      <c r="E14" t="s">
        <v>26</v>
      </c>
      <c r="F14">
        <v>500</v>
      </c>
      <c r="G14">
        <v>600</v>
      </c>
      <c r="H14" t="b">
        <v>0</v>
      </c>
      <c r="I14" t="b">
        <v>0</v>
      </c>
    </row>
    <row r="15" spans="1:9">
      <c r="A15" t="s">
        <v>102</v>
      </c>
      <c r="B15" t="s">
        <v>112</v>
      </c>
      <c r="C15" t="s">
        <v>21</v>
      </c>
      <c r="D15" t="str">
        <f>B15&amp;":"&amp;C15</f>
        <v>duration:w</v>
      </c>
      <c r="E15" t="s">
        <v>23</v>
      </c>
      <c r="F15">
        <v>500</v>
      </c>
      <c r="G15">
        <v>580</v>
      </c>
      <c r="H15" t="b">
        <v>0</v>
      </c>
      <c r="I15" t="b">
        <v>0</v>
      </c>
    </row>
    <row r="16" spans="1:9">
      <c r="A16" t="s">
        <v>102</v>
      </c>
      <c r="B16" t="s">
        <v>112</v>
      </c>
      <c r="C16" t="s">
        <v>22</v>
      </c>
      <c r="D16" t="str">
        <f>B16&amp;":"&amp;C16</f>
        <v>duration:a</v>
      </c>
      <c r="E16" t="s">
        <v>24</v>
      </c>
      <c r="F16">
        <v>500</v>
      </c>
      <c r="G16">
        <v>500</v>
      </c>
      <c r="H16" t="b">
        <v>0</v>
      </c>
      <c r="I16" t="b">
        <v>0</v>
      </c>
    </row>
    <row r="17" spans="1:9">
      <c r="A17" t="s">
        <v>3</v>
      </c>
      <c r="B17" t="str">
        <f>LOWER(A17)</f>
        <v>feature</v>
      </c>
      <c r="C17" t="s">
        <v>100</v>
      </c>
      <c r="D17" t="str">
        <f>B17&amp;":"&amp;C17</f>
        <v>feature:ctrl</v>
      </c>
      <c r="E17" t="s">
        <v>98</v>
      </c>
      <c r="F17">
        <v>800</v>
      </c>
      <c r="G17">
        <v>550</v>
      </c>
      <c r="H17" t="b">
        <v>1</v>
      </c>
      <c r="I17" t="b">
        <v>0</v>
      </c>
    </row>
    <row r="18" spans="1:9">
      <c r="A18" t="s">
        <v>4</v>
      </c>
      <c r="B18" t="str">
        <f>LOWER(A18)</f>
        <v>mass</v>
      </c>
      <c r="C18" t="s">
        <v>9</v>
      </c>
      <c r="D18" t="str">
        <f>B18&amp;":"&amp;C18</f>
        <v>mass:kg</v>
      </c>
      <c r="E18" t="s">
        <v>47</v>
      </c>
      <c r="F18">
        <v>650</v>
      </c>
      <c r="G18">
        <v>500</v>
      </c>
      <c r="H18" t="b">
        <v>0</v>
      </c>
      <c r="I18" t="b">
        <v>0</v>
      </c>
    </row>
    <row r="19" spans="1:9">
      <c r="A19" t="s">
        <v>4</v>
      </c>
      <c r="B19" t="str">
        <f>LOWER(A19)</f>
        <v>mass</v>
      </c>
      <c r="C19" t="s">
        <v>29</v>
      </c>
      <c r="D19" t="str">
        <f>B19&amp;":"&amp;C19</f>
        <v>mass:g</v>
      </c>
      <c r="E19" t="s">
        <v>48</v>
      </c>
      <c r="F19">
        <v>650</v>
      </c>
      <c r="G19">
        <v>500</v>
      </c>
      <c r="H19" t="b">
        <v>0</v>
      </c>
      <c r="I19" t="b">
        <v>0</v>
      </c>
    </row>
    <row r="20" spans="1:9">
      <c r="A20" t="s">
        <v>4</v>
      </c>
      <c r="B20" t="str">
        <f>LOWER(A20)</f>
        <v>mass</v>
      </c>
      <c r="C20" t="s">
        <v>50</v>
      </c>
      <c r="D20" t="str">
        <f>B20&amp;":"&amp;C20</f>
        <v>mass:µg</v>
      </c>
      <c r="E20" t="s">
        <v>51</v>
      </c>
      <c r="F20">
        <v>650</v>
      </c>
      <c r="G20">
        <v>550</v>
      </c>
      <c r="H20" t="b">
        <v>0</v>
      </c>
      <c r="I20" t="b">
        <v>0</v>
      </c>
    </row>
    <row r="21" spans="1:9">
      <c r="A21" t="s">
        <v>4</v>
      </c>
      <c r="B21" t="str">
        <f>LOWER(A21)</f>
        <v>mass</v>
      </c>
      <c r="C21" t="s">
        <v>30</v>
      </c>
      <c r="D21" t="str">
        <f>B21&amp;":"&amp;C21</f>
        <v>mass:ng</v>
      </c>
      <c r="E21" t="s">
        <v>49</v>
      </c>
      <c r="F21">
        <v>650</v>
      </c>
      <c r="G21">
        <v>500</v>
      </c>
      <c r="H21" t="b">
        <v>0</v>
      </c>
      <c r="I21" t="b">
        <v>0</v>
      </c>
    </row>
    <row r="22" spans="1:9">
      <c r="A22" t="s">
        <v>5</v>
      </c>
      <c r="B22" t="s">
        <v>75</v>
      </c>
      <c r="C22" t="s">
        <v>31</v>
      </c>
      <c r="D22" t="str">
        <f>B22&amp;":"&amp;C22</f>
        <v>masstocharge:m/z</v>
      </c>
      <c r="E22" t="s">
        <v>42</v>
      </c>
      <c r="F22">
        <v>550</v>
      </c>
      <c r="G22">
        <v>500</v>
      </c>
      <c r="H22" t="b">
        <v>0</v>
      </c>
      <c r="I22" t="b">
        <v>0</v>
      </c>
    </row>
    <row r="23" spans="1:9">
      <c r="A23" t="s">
        <v>6</v>
      </c>
      <c r="B23" t="str">
        <f>LOWER(A23)</f>
        <v>temperature</v>
      </c>
      <c r="C23" t="s">
        <v>12</v>
      </c>
      <c r="D23" t="str">
        <f>B23&amp;":"&amp;C23</f>
        <v>temperature:K</v>
      </c>
      <c r="E23" t="s">
        <v>43</v>
      </c>
      <c r="F23">
        <v>600</v>
      </c>
      <c r="G23">
        <v>500</v>
      </c>
      <c r="H23" t="b">
        <v>0</v>
      </c>
      <c r="I23" t="b">
        <v>0</v>
      </c>
    </row>
    <row r="24" spans="1:9">
      <c r="A24" t="s">
        <v>6</v>
      </c>
      <c r="B24" t="str">
        <f>LOWER(A24)</f>
        <v>temperature</v>
      </c>
      <c r="C24" t="s">
        <v>45</v>
      </c>
      <c r="D24" t="str">
        <f>B24&amp;":"&amp;C24</f>
        <v>temperature:°C</v>
      </c>
      <c r="E24" t="s">
        <v>44</v>
      </c>
      <c r="F24">
        <v>600</v>
      </c>
      <c r="G24">
        <v>700</v>
      </c>
      <c r="H24" t="b">
        <v>0</v>
      </c>
      <c r="I24" t="b">
        <v>0</v>
      </c>
    </row>
    <row r="25" spans="1:9">
      <c r="A25" t="s">
        <v>7</v>
      </c>
      <c r="B25" t="str">
        <f>LOWER(A25)</f>
        <v>voltage</v>
      </c>
      <c r="C25" t="s">
        <v>8</v>
      </c>
      <c r="D25" t="str">
        <f>B25&amp;":"&amp;C25</f>
        <v>voltage:V</v>
      </c>
      <c r="E25" t="s">
        <v>34</v>
      </c>
      <c r="F25">
        <v>500</v>
      </c>
      <c r="G25">
        <v>500</v>
      </c>
      <c r="H25" t="b">
        <v>0</v>
      </c>
      <c r="I25" t="b">
        <v>0</v>
      </c>
    </row>
    <row r="26" spans="1:9">
      <c r="A26" t="s">
        <v>7</v>
      </c>
      <c r="B26" t="str">
        <f>LOWER(A26)</f>
        <v>voltage</v>
      </c>
      <c r="C26" t="s">
        <v>32</v>
      </c>
      <c r="D26" t="str">
        <f>B26&amp;":"&amp;C26</f>
        <v>voltage:kV</v>
      </c>
      <c r="E26" t="s">
        <v>33</v>
      </c>
      <c r="F26">
        <v>500</v>
      </c>
      <c r="G26">
        <v>550</v>
      </c>
      <c r="H26" t="b">
        <v>0</v>
      </c>
      <c r="I26" t="b">
        <v>0</v>
      </c>
    </row>
    <row r="27" spans="1:9">
      <c r="A27" t="s">
        <v>10</v>
      </c>
      <c r="B27" t="str">
        <f>LOWER(A27)</f>
        <v>length</v>
      </c>
      <c r="C27" t="s">
        <v>11</v>
      </c>
      <c r="D27" t="str">
        <f>B27&amp;":"&amp;C27</f>
        <v>length:m</v>
      </c>
      <c r="E27" t="s">
        <v>35</v>
      </c>
      <c r="F27">
        <v>500</v>
      </c>
      <c r="G27">
        <v>500</v>
      </c>
      <c r="H27" t="b">
        <v>0</v>
      </c>
      <c r="I27" t="b">
        <v>0</v>
      </c>
    </row>
    <row r="28" spans="1:9">
      <c r="A28" t="s">
        <v>10</v>
      </c>
      <c r="B28" t="str">
        <f>LOWER(A28)</f>
        <v>length</v>
      </c>
      <c r="C28" t="s">
        <v>36</v>
      </c>
      <c r="D28" t="str">
        <f>B28&amp;":"&amp;C28</f>
        <v>length:µm</v>
      </c>
      <c r="E28" t="s">
        <v>37</v>
      </c>
      <c r="F28">
        <v>500</v>
      </c>
      <c r="G28">
        <v>700</v>
      </c>
      <c r="H28" t="b">
        <v>0</v>
      </c>
      <c r="I28" t="b">
        <v>0</v>
      </c>
    </row>
    <row r="29" spans="1:9">
      <c r="A29" t="s">
        <v>10</v>
      </c>
      <c r="B29" t="str">
        <f>LOWER(A29)</f>
        <v>length</v>
      </c>
      <c r="C29" t="s">
        <v>38</v>
      </c>
      <c r="D29" t="str">
        <f>B29&amp;":"&amp;C29</f>
        <v>length:cm</v>
      </c>
      <c r="E29" t="s">
        <v>40</v>
      </c>
      <c r="F29">
        <v>500</v>
      </c>
      <c r="G29">
        <v>800</v>
      </c>
      <c r="H29" t="b">
        <v>0</v>
      </c>
      <c r="I29" t="b">
        <v>0</v>
      </c>
    </row>
    <row r="30" spans="1:9">
      <c r="A30" t="s">
        <v>10</v>
      </c>
      <c r="B30" t="str">
        <f>LOWER(A30)</f>
        <v>length</v>
      </c>
      <c r="C30" t="s">
        <v>39</v>
      </c>
      <c r="D30" t="str">
        <f>B30&amp;":"&amp;C30</f>
        <v>length:dm</v>
      </c>
      <c r="E30" t="s">
        <v>41</v>
      </c>
      <c r="F30">
        <v>500</v>
      </c>
      <c r="G30">
        <v>500</v>
      </c>
      <c r="H30" t="b">
        <v>0</v>
      </c>
      <c r="I30" t="b">
        <v>0</v>
      </c>
    </row>
    <row r="31" spans="1:9">
      <c r="A31" t="s">
        <v>10</v>
      </c>
      <c r="B31" t="s">
        <v>105</v>
      </c>
      <c r="C31" t="s">
        <v>106</v>
      </c>
      <c r="D31" t="s">
        <v>107</v>
      </c>
      <c r="E31" t="s">
        <v>108</v>
      </c>
      <c r="F31">
        <v>500</v>
      </c>
      <c r="G31">
        <v>500</v>
      </c>
      <c r="H31" t="b">
        <v>0</v>
      </c>
      <c r="I31" t="b">
        <v>0</v>
      </c>
    </row>
    <row r="32" spans="1:9">
      <c r="A32" t="s">
        <v>61</v>
      </c>
      <c r="B32" t="s">
        <v>62</v>
      </c>
      <c r="C32" t="s">
        <v>63</v>
      </c>
      <c r="D32" t="str">
        <f>B32&amp;":"&amp;C32</f>
        <v>volume:dl</v>
      </c>
      <c r="E32" t="s">
        <v>64</v>
      </c>
      <c r="F32">
        <v>500</v>
      </c>
      <c r="G32">
        <v>500</v>
      </c>
      <c r="H32" t="b">
        <v>0</v>
      </c>
      <c r="I32" t="b">
        <v>0</v>
      </c>
    </row>
    <row r="33" spans="1:9">
      <c r="A33" t="s">
        <v>61</v>
      </c>
      <c r="B33" t="s">
        <v>62</v>
      </c>
      <c r="C33" t="s">
        <v>66</v>
      </c>
      <c r="D33" t="str">
        <f>B33&amp;":"&amp;C33</f>
        <v>volume:µL</v>
      </c>
      <c r="E33" t="s">
        <v>67</v>
      </c>
      <c r="F33">
        <v>500</v>
      </c>
      <c r="G33">
        <v>600</v>
      </c>
      <c r="H33" t="b">
        <v>0</v>
      </c>
      <c r="I33" t="b">
        <v>0</v>
      </c>
    </row>
    <row r="34" spans="1:9">
      <c r="A34" t="s">
        <v>61</v>
      </c>
      <c r="B34" t="s">
        <v>62</v>
      </c>
      <c r="C34" t="s">
        <v>68</v>
      </c>
      <c r="D34" t="str">
        <f>B34&amp;":"&amp;C34</f>
        <v>volume:nL</v>
      </c>
      <c r="E34" t="s">
        <v>69</v>
      </c>
      <c r="F34">
        <v>500</v>
      </c>
      <c r="G34">
        <v>550</v>
      </c>
      <c r="H34" t="b">
        <v>0</v>
      </c>
      <c r="I34" t="b">
        <v>0</v>
      </c>
    </row>
    <row r="35" spans="1:9">
      <c r="A35" t="s">
        <v>76</v>
      </c>
      <c r="B35" t="s">
        <v>80</v>
      </c>
      <c r="C35" t="s">
        <v>91</v>
      </c>
      <c r="D35" t="str">
        <f>B35&amp;":"&amp;C35</f>
        <v>arbitrary:uid</v>
      </c>
      <c r="E35" t="s">
        <v>77</v>
      </c>
      <c r="F35">
        <v>500</v>
      </c>
      <c r="G35">
        <v>550</v>
      </c>
      <c r="H35" t="b">
        <v>0</v>
      </c>
      <c r="I35" t="b">
        <v>0</v>
      </c>
    </row>
    <row r="36" spans="1:9">
      <c r="A36" t="s">
        <v>76</v>
      </c>
      <c r="B36" t="s">
        <v>80</v>
      </c>
      <c r="C36" t="s">
        <v>78</v>
      </c>
      <c r="D36" t="str">
        <f>B36&amp;":"&amp;C36</f>
        <v>arbitrary:intensity</v>
      </c>
      <c r="E36" t="s">
        <v>79</v>
      </c>
      <c r="F36">
        <v>500</v>
      </c>
      <c r="G36">
        <v>500</v>
      </c>
      <c r="H36" t="b">
        <v>0</v>
      </c>
      <c r="I36" t="b">
        <v>0</v>
      </c>
    </row>
    <row r="37" spans="1:9">
      <c r="A37" t="s">
        <v>76</v>
      </c>
      <c r="B37" t="s">
        <v>80</v>
      </c>
      <c r="C37" t="s">
        <v>110</v>
      </c>
      <c r="D37" t="str">
        <f>B37&amp;":"&amp;C37</f>
        <v>arbitrary:R(200m/z)</v>
      </c>
      <c r="E37" t="s">
        <v>81</v>
      </c>
      <c r="F37">
        <v>500</v>
      </c>
      <c r="G37">
        <v>520</v>
      </c>
      <c r="H37" t="b">
        <v>0</v>
      </c>
      <c r="I37" t="b">
        <v>0</v>
      </c>
    </row>
    <row r="38" spans="1:9">
      <c r="A38" t="s">
        <v>76</v>
      </c>
      <c r="B38" t="s">
        <v>80</v>
      </c>
      <c r="C38" t="s">
        <v>109</v>
      </c>
      <c r="D38" t="str">
        <f>B38&amp;":"&amp;C38</f>
        <v>arbitrary:R(400m/z)</v>
      </c>
      <c r="E38" t="s">
        <v>82</v>
      </c>
      <c r="F38">
        <v>500</v>
      </c>
      <c r="G38">
        <v>500</v>
      </c>
      <c r="H38" t="b">
        <v>0</v>
      </c>
      <c r="I38" t="b">
        <v>0</v>
      </c>
    </row>
    <row r="39" spans="1:9">
      <c r="A39" t="s">
        <v>83</v>
      </c>
      <c r="B39" t="s">
        <v>84</v>
      </c>
      <c r="C39" t="s">
        <v>85</v>
      </c>
      <c r="D39" t="str">
        <f>B39&amp;":"&amp;C39</f>
        <v>fraction:%</v>
      </c>
      <c r="E39" t="s">
        <v>86</v>
      </c>
      <c r="F39">
        <v>600</v>
      </c>
      <c r="G39">
        <v>600</v>
      </c>
      <c r="H39" t="b">
        <v>0</v>
      </c>
      <c r="I39" t="b">
        <v>0</v>
      </c>
    </row>
    <row r="40" spans="1:9">
      <c r="A40" t="s">
        <v>83</v>
      </c>
      <c r="B40" t="s">
        <v>84</v>
      </c>
      <c r="C40" t="s">
        <v>87</v>
      </c>
      <c r="D40" t="str">
        <f>B40&amp;":"&amp;C40</f>
        <v>fraction:‰</v>
      </c>
      <c r="E40" t="s">
        <v>88</v>
      </c>
      <c r="F40">
        <v>600</v>
      </c>
      <c r="G40">
        <v>500</v>
      </c>
      <c r="H40" t="b">
        <v>0</v>
      </c>
      <c r="I40" t="b">
        <v>0</v>
      </c>
    </row>
    <row r="41" spans="1:9">
      <c r="A41" t="s">
        <v>83</v>
      </c>
      <c r="B41" t="s">
        <v>84</v>
      </c>
      <c r="C41" t="s">
        <v>90</v>
      </c>
      <c r="D41" t="str">
        <f>B41&amp;":"&amp;C41</f>
        <v>fraction::</v>
      </c>
      <c r="E41" t="s">
        <v>89</v>
      </c>
      <c r="F41">
        <v>600</v>
      </c>
      <c r="G41">
        <v>550</v>
      </c>
      <c r="H41" t="b">
        <v>0</v>
      </c>
      <c r="I41" t="b">
        <v>0</v>
      </c>
    </row>
    <row r="42" spans="1:9">
      <c r="A42" t="s">
        <v>92</v>
      </c>
      <c r="B42" t="s">
        <v>93</v>
      </c>
      <c r="C42" t="s">
        <v>94</v>
      </c>
      <c r="D42" t="str">
        <f>B42&amp;":"&amp;C42</f>
        <v>version:v.</v>
      </c>
      <c r="E42" t="s">
        <v>95</v>
      </c>
      <c r="F42">
        <v>400</v>
      </c>
      <c r="G42">
        <v>500</v>
      </c>
      <c r="H42" t="b">
        <v>0</v>
      </c>
      <c r="I42" t="b">
        <v>0</v>
      </c>
    </row>
    <row r="43" spans="1:9">
      <c r="A43" t="s">
        <v>103</v>
      </c>
      <c r="B43" t="s">
        <v>111</v>
      </c>
      <c r="C43" t="s">
        <v>19</v>
      </c>
      <c r="D43" t="str">
        <f>B43&amp;":"&amp;C43</f>
        <v>age:d</v>
      </c>
      <c r="E43" t="s">
        <v>28</v>
      </c>
      <c r="F43">
        <v>500</v>
      </c>
      <c r="G43">
        <v>500</v>
      </c>
      <c r="H43" t="b">
        <v>0</v>
      </c>
      <c r="I43" t="b">
        <v>0</v>
      </c>
    </row>
    <row r="44" spans="1:9">
      <c r="A44" t="s">
        <v>103</v>
      </c>
      <c r="B44" t="s">
        <v>111</v>
      </c>
      <c r="C44" t="s">
        <v>97</v>
      </c>
      <c r="D44" t="str">
        <f>B44&amp;":"&amp;C44</f>
        <v>age:h</v>
      </c>
      <c r="E44" t="s">
        <v>25</v>
      </c>
      <c r="F44">
        <v>500</v>
      </c>
      <c r="G44">
        <v>200</v>
      </c>
      <c r="H44" t="b">
        <v>0</v>
      </c>
      <c r="I44" t="b">
        <v>0</v>
      </c>
    </row>
    <row r="45" spans="1:9">
      <c r="A45" t="s">
        <v>103</v>
      </c>
      <c r="B45" t="s">
        <v>111</v>
      </c>
      <c r="C45" t="s">
        <v>21</v>
      </c>
      <c r="D45" t="str">
        <f>B45&amp;":"&amp;C45</f>
        <v>age:w</v>
      </c>
      <c r="E45" t="s">
        <v>23</v>
      </c>
      <c r="F45">
        <v>500</v>
      </c>
      <c r="G45">
        <v>750</v>
      </c>
      <c r="H45" t="b">
        <v>0</v>
      </c>
      <c r="I45" t="b">
        <v>0</v>
      </c>
    </row>
    <row r="46" spans="1:9">
      <c r="A46" t="s">
        <v>103</v>
      </c>
      <c r="B46" t="s">
        <v>111</v>
      </c>
      <c r="C46" t="s">
        <v>22</v>
      </c>
      <c r="D46" t="str">
        <f>B46&amp;":"&amp;C46</f>
        <v>age:a</v>
      </c>
      <c r="E46" t="s">
        <v>24</v>
      </c>
      <c r="F46">
        <v>500</v>
      </c>
      <c r="G46">
        <v>600</v>
      </c>
      <c r="H46" t="b">
        <v>0</v>
      </c>
      <c r="I46" t="b">
        <v>0</v>
      </c>
    </row>
    <row r="47" spans="1:9">
      <c r="A47" t="s">
        <v>113</v>
      </c>
      <c r="B47" t="s">
        <v>114</v>
      </c>
      <c r="C47" t="s">
        <v>106</v>
      </c>
      <c r="D47" t="str">
        <f>B47&amp;":"&amp;C47</f>
        <v>position:aa</v>
      </c>
      <c r="E47" t="s">
        <v>115</v>
      </c>
      <c r="F47">
        <v>500</v>
      </c>
      <c r="G47">
        <v>600</v>
      </c>
      <c r="H47" t="b">
        <v>0</v>
      </c>
      <c r="I47" t="b">
        <v>1</v>
      </c>
    </row>
    <row r="48" spans="1:9">
      <c r="A48" t="s">
        <v>113</v>
      </c>
      <c r="B48" t="s">
        <v>114</v>
      </c>
      <c r="C48" t="s">
        <v>116</v>
      </c>
      <c r="D48" t="str">
        <f>B48&amp;":"&amp;C48</f>
        <v>position:aa_range</v>
      </c>
      <c r="E48" t="s">
        <v>117</v>
      </c>
      <c r="F48">
        <v>500</v>
      </c>
      <c r="G48">
        <v>550</v>
      </c>
      <c r="H48" t="b">
        <v>0</v>
      </c>
      <c r="I48" t="b">
        <v>1</v>
      </c>
    </row>
    <row r="49" spans="1:9">
      <c r="A49" t="s">
        <v>113</v>
      </c>
      <c r="B49" t="s">
        <v>114</v>
      </c>
      <c r="C49" t="s">
        <v>182</v>
      </c>
      <c r="D49" t="str">
        <f>B49&amp;":"&amp;C49</f>
        <v>position:cterm</v>
      </c>
      <c r="E49" t="s">
        <v>181</v>
      </c>
      <c r="F49">
        <v>500</v>
      </c>
      <c r="G49">
        <v>650</v>
      </c>
      <c r="H49" t="b">
        <v>0</v>
      </c>
      <c r="I49" t="b">
        <v>1</v>
      </c>
    </row>
    <row r="50" spans="1:9">
      <c r="A50" t="s">
        <v>113</v>
      </c>
      <c r="B50" t="s">
        <v>114</v>
      </c>
      <c r="C50" t="s">
        <v>183</v>
      </c>
      <c r="D50" t="str">
        <f>B50&amp;":"&amp;C50</f>
        <v>position:nterm</v>
      </c>
      <c r="E50" t="s">
        <v>184</v>
      </c>
      <c r="F50">
        <v>500</v>
      </c>
      <c r="G50">
        <v>700</v>
      </c>
      <c r="H50" t="b">
        <v>0</v>
      </c>
      <c r="I50" t="b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0F9C-6409-C34F-9580-7D523175A34D}">
  <dimension ref="A1:I20"/>
  <sheetViews>
    <sheetView workbookViewId="0">
      <selection activeCell="G34" sqref="G34"/>
    </sheetView>
  </sheetViews>
  <sheetFormatPr baseColWidth="10" defaultRowHeight="15"/>
  <sheetData>
    <row r="1" spans="1:9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>
        <v>500</v>
      </c>
      <c r="G1">
        <v>600</v>
      </c>
      <c r="H1" t="b">
        <v>0</v>
      </c>
      <c r="I1" t="b">
        <v>0</v>
      </c>
    </row>
    <row r="2" spans="1:9">
      <c r="A2" t="s">
        <v>119</v>
      </c>
      <c r="B2" t="s">
        <v>120</v>
      </c>
      <c r="C2" t="s">
        <v>124</v>
      </c>
      <c r="D2" t="s">
        <v>125</v>
      </c>
      <c r="E2" t="s">
        <v>126</v>
      </c>
      <c r="F2">
        <v>500</v>
      </c>
      <c r="G2">
        <v>600</v>
      </c>
      <c r="H2" t="b">
        <v>0</v>
      </c>
      <c r="I2" t="b">
        <v>0</v>
      </c>
    </row>
    <row r="3" spans="1:9">
      <c r="A3" t="s">
        <v>119</v>
      </c>
      <c r="B3" t="s">
        <v>120</v>
      </c>
      <c r="C3" t="s">
        <v>127</v>
      </c>
      <c r="D3" t="s">
        <v>128</v>
      </c>
      <c r="E3" t="s">
        <v>129</v>
      </c>
      <c r="F3">
        <v>500</v>
      </c>
      <c r="G3">
        <v>600</v>
      </c>
      <c r="H3" t="b">
        <v>0</v>
      </c>
      <c r="I3" t="b">
        <v>0</v>
      </c>
    </row>
    <row r="4" spans="1:9">
      <c r="A4" t="s">
        <v>119</v>
      </c>
      <c r="B4" t="s">
        <v>120</v>
      </c>
      <c r="C4" t="s">
        <v>130</v>
      </c>
      <c r="D4" t="s">
        <v>131</v>
      </c>
      <c r="E4" t="s">
        <v>132</v>
      </c>
      <c r="F4">
        <v>500</v>
      </c>
      <c r="G4">
        <v>600</v>
      </c>
      <c r="H4" t="b">
        <v>0</v>
      </c>
      <c r="I4" t="b">
        <v>0</v>
      </c>
    </row>
    <row r="5" spans="1:9">
      <c r="A5" t="s">
        <v>119</v>
      </c>
      <c r="B5" t="s">
        <v>120</v>
      </c>
      <c r="C5" t="s">
        <v>133</v>
      </c>
      <c r="D5" t="s">
        <v>134</v>
      </c>
      <c r="E5" t="s">
        <v>135</v>
      </c>
      <c r="F5">
        <v>500</v>
      </c>
      <c r="G5">
        <v>600</v>
      </c>
      <c r="H5" t="b">
        <v>0</v>
      </c>
      <c r="I5" t="b">
        <v>0</v>
      </c>
    </row>
    <row r="6" spans="1:9">
      <c r="A6" t="s">
        <v>119</v>
      </c>
      <c r="B6" t="s">
        <v>120</v>
      </c>
      <c r="C6" t="s">
        <v>136</v>
      </c>
      <c r="D6" t="s">
        <v>137</v>
      </c>
      <c r="E6" t="s">
        <v>138</v>
      </c>
      <c r="F6">
        <v>500</v>
      </c>
      <c r="G6">
        <v>600</v>
      </c>
      <c r="H6" t="b">
        <v>0</v>
      </c>
      <c r="I6" t="b">
        <v>0</v>
      </c>
    </row>
    <row r="7" spans="1:9">
      <c r="A7" t="s">
        <v>119</v>
      </c>
      <c r="B7" t="s">
        <v>120</v>
      </c>
      <c r="C7" t="s">
        <v>139</v>
      </c>
      <c r="D7" t="s">
        <v>140</v>
      </c>
      <c r="E7" t="s">
        <v>141</v>
      </c>
      <c r="F7">
        <v>500</v>
      </c>
      <c r="G7">
        <v>600</v>
      </c>
      <c r="H7" t="b">
        <v>0</v>
      </c>
      <c r="I7" t="b">
        <v>0</v>
      </c>
    </row>
    <row r="8" spans="1:9">
      <c r="A8" t="s">
        <v>119</v>
      </c>
      <c r="B8" t="s">
        <v>120</v>
      </c>
      <c r="C8" t="s">
        <v>142</v>
      </c>
      <c r="D8" t="s">
        <v>143</v>
      </c>
      <c r="E8" t="s">
        <v>144</v>
      </c>
      <c r="F8">
        <v>500</v>
      </c>
      <c r="G8">
        <v>600</v>
      </c>
      <c r="H8" t="b">
        <v>0</v>
      </c>
      <c r="I8" t="b">
        <v>0</v>
      </c>
    </row>
    <row r="9" spans="1:9">
      <c r="A9" t="s">
        <v>119</v>
      </c>
      <c r="B9" t="s">
        <v>120</v>
      </c>
      <c r="C9" t="s">
        <v>145</v>
      </c>
      <c r="D9" t="s">
        <v>146</v>
      </c>
      <c r="E9" t="s">
        <v>147</v>
      </c>
      <c r="F9">
        <v>500</v>
      </c>
      <c r="G9">
        <v>600</v>
      </c>
      <c r="H9" t="b">
        <v>0</v>
      </c>
      <c r="I9" t="b">
        <v>0</v>
      </c>
    </row>
    <row r="10" spans="1:9">
      <c r="A10" t="s">
        <v>119</v>
      </c>
      <c r="B10" t="s">
        <v>120</v>
      </c>
      <c r="C10" t="s">
        <v>148</v>
      </c>
      <c r="D10" t="s">
        <v>149</v>
      </c>
      <c r="E10" t="s">
        <v>150</v>
      </c>
      <c r="F10">
        <v>500</v>
      </c>
      <c r="G10">
        <v>600</v>
      </c>
      <c r="H10" t="b">
        <v>0</v>
      </c>
      <c r="I10" t="b">
        <v>0</v>
      </c>
    </row>
    <row r="11" spans="1:9">
      <c r="A11" t="s">
        <v>119</v>
      </c>
      <c r="B11" t="s">
        <v>120</v>
      </c>
      <c r="C11" t="s">
        <v>151</v>
      </c>
      <c r="D11" t="s">
        <v>152</v>
      </c>
      <c r="E11" t="s">
        <v>153</v>
      </c>
      <c r="F11">
        <v>500</v>
      </c>
      <c r="G11">
        <v>600</v>
      </c>
      <c r="H11" t="b">
        <v>0</v>
      </c>
      <c r="I11" t="b">
        <v>0</v>
      </c>
    </row>
    <row r="12" spans="1:9">
      <c r="A12" t="s">
        <v>119</v>
      </c>
      <c r="B12" t="s">
        <v>120</v>
      </c>
      <c r="C12" t="s">
        <v>154</v>
      </c>
      <c r="D12" t="s">
        <v>155</v>
      </c>
      <c r="E12" t="s">
        <v>156</v>
      </c>
      <c r="F12">
        <v>500</v>
      </c>
      <c r="G12">
        <v>600</v>
      </c>
      <c r="H12" t="b">
        <v>0</v>
      </c>
      <c r="I12" t="b">
        <v>0</v>
      </c>
    </row>
    <row r="13" spans="1:9">
      <c r="A13" t="s">
        <v>119</v>
      </c>
      <c r="B13" t="s">
        <v>120</v>
      </c>
      <c r="C13" t="s">
        <v>157</v>
      </c>
      <c r="D13" t="s">
        <v>158</v>
      </c>
      <c r="E13" t="s">
        <v>159</v>
      </c>
      <c r="F13">
        <v>500</v>
      </c>
      <c r="G13">
        <v>600</v>
      </c>
      <c r="H13" t="b">
        <v>0</v>
      </c>
      <c r="I13" t="b">
        <v>0</v>
      </c>
    </row>
    <row r="14" spans="1:9">
      <c r="A14" t="s">
        <v>119</v>
      </c>
      <c r="B14" t="s">
        <v>120</v>
      </c>
      <c r="C14" t="s">
        <v>160</v>
      </c>
      <c r="D14" t="s">
        <v>161</v>
      </c>
      <c r="E14" t="s">
        <v>162</v>
      </c>
      <c r="F14">
        <v>500</v>
      </c>
      <c r="G14">
        <v>600</v>
      </c>
      <c r="H14" t="b">
        <v>0</v>
      </c>
      <c r="I14" t="b">
        <v>0</v>
      </c>
    </row>
    <row r="15" spans="1:9">
      <c r="A15" t="s">
        <v>119</v>
      </c>
      <c r="B15" t="s">
        <v>120</v>
      </c>
      <c r="C15" t="s">
        <v>163</v>
      </c>
      <c r="D15" t="s">
        <v>164</v>
      </c>
      <c r="E15" t="s">
        <v>165</v>
      </c>
      <c r="F15">
        <v>500</v>
      </c>
      <c r="G15">
        <v>600</v>
      </c>
      <c r="H15" t="b">
        <v>0</v>
      </c>
      <c r="I15" t="b">
        <v>0</v>
      </c>
    </row>
    <row r="16" spans="1:9">
      <c r="A16" t="s">
        <v>119</v>
      </c>
      <c r="B16" t="s">
        <v>120</v>
      </c>
      <c r="C16" t="s">
        <v>166</v>
      </c>
      <c r="D16" t="s">
        <v>167</v>
      </c>
      <c r="E16" t="s">
        <v>168</v>
      </c>
      <c r="F16">
        <v>500</v>
      </c>
      <c r="G16">
        <v>600</v>
      </c>
      <c r="H16" t="b">
        <v>0</v>
      </c>
      <c r="I16" t="b">
        <v>0</v>
      </c>
    </row>
    <row r="17" spans="1:9">
      <c r="A17" t="s">
        <v>119</v>
      </c>
      <c r="B17" t="s">
        <v>120</v>
      </c>
      <c r="C17" t="s">
        <v>169</v>
      </c>
      <c r="D17" t="s">
        <v>170</v>
      </c>
      <c r="E17" t="s">
        <v>171</v>
      </c>
      <c r="F17">
        <v>500</v>
      </c>
      <c r="G17">
        <v>600</v>
      </c>
      <c r="H17" t="b">
        <v>0</v>
      </c>
      <c r="I17" t="b">
        <v>0</v>
      </c>
    </row>
    <row r="18" spans="1:9">
      <c r="A18" t="s">
        <v>119</v>
      </c>
      <c r="B18" t="s">
        <v>120</v>
      </c>
      <c r="C18" t="s">
        <v>172</v>
      </c>
      <c r="D18" t="s">
        <v>173</v>
      </c>
      <c r="E18" t="s">
        <v>174</v>
      </c>
      <c r="F18">
        <v>500</v>
      </c>
      <c r="G18">
        <v>600</v>
      </c>
      <c r="H18" t="b">
        <v>0</v>
      </c>
      <c r="I18" t="b">
        <v>0</v>
      </c>
    </row>
    <row r="19" spans="1:9">
      <c r="A19" t="s">
        <v>119</v>
      </c>
      <c r="B19" t="s">
        <v>120</v>
      </c>
      <c r="C19" t="s">
        <v>175</v>
      </c>
      <c r="D19" t="s">
        <v>176</v>
      </c>
      <c r="E19" t="s">
        <v>177</v>
      </c>
      <c r="F19">
        <v>500</v>
      </c>
      <c r="G19">
        <v>600</v>
      </c>
      <c r="H19" t="b">
        <v>0</v>
      </c>
      <c r="I19" t="b">
        <v>0</v>
      </c>
    </row>
    <row r="20" spans="1:9">
      <c r="A20" t="s">
        <v>119</v>
      </c>
      <c r="B20" t="s">
        <v>120</v>
      </c>
      <c r="C20" t="s">
        <v>178</v>
      </c>
      <c r="D20" t="s">
        <v>179</v>
      </c>
      <c r="E20" t="s">
        <v>180</v>
      </c>
      <c r="F20">
        <v>500</v>
      </c>
      <c r="G20">
        <v>600</v>
      </c>
      <c r="H20" t="b">
        <v>0</v>
      </c>
      <c r="I2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 Nolte</dc:creator>
  <cp:lastModifiedBy>Hendrik Nolte</cp:lastModifiedBy>
  <dcterms:created xsi:type="dcterms:W3CDTF">2024-11-08T14:50:01Z</dcterms:created>
  <dcterms:modified xsi:type="dcterms:W3CDTF">2024-12-13T15:12:26Z</dcterms:modified>
</cp:coreProperties>
</file>